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OLA\Downloads\"/>
    </mc:Choice>
  </mc:AlternateContent>
  <xr:revisionPtr revIDLastSave="0" documentId="13_ncr:1_{BC63FABD-BBF7-425D-BDD4-F9955606256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GENOVA" sheetId="1" r:id="rId1"/>
    <sheet name="BUENAVISTA" sheetId="2" r:id="rId2"/>
    <sheet name="SEVILLA RURAL" sheetId="3" r:id="rId3"/>
    <sheet name="CAICEDONIA" sheetId="4" r:id="rId4"/>
    <sheet name="BARRAGAN" sheetId="5" r:id="rId5"/>
    <sheet name="SEVILLA" sheetId="6" r:id="rId6"/>
    <sheet name="CLIENTES RET JUN" sheetId="7" r:id="rId7"/>
    <sheet name="CLIENTES RET OCT" sheetId="8" r:id="rId8"/>
    <sheet name="CLIENTES RET MARZO" sheetId="9" r:id="rId9"/>
    <sheet name="CLIENTE NUEVOS MARZO" sheetId="10" r:id="rId10"/>
    <sheet name="CLIENTES RET ABRIL" sheetId="11" r:id="rId11"/>
    <sheet name="CLIENTES RET MAYO" sheetId="12" r:id="rId12"/>
    <sheet name="PENDIENTES" sheetId="13" r:id="rId13"/>
  </sheets>
  <definedNames>
    <definedName name="_xlnm._FilterDatabase" localSheetId="4" hidden="1">BARRAGAN!$B$1:$W$160</definedName>
    <definedName name="_xlnm._FilterDatabase" localSheetId="1" hidden="1">BUENAVISTA!$A$1:$Y$59</definedName>
    <definedName name="_xlnm._FilterDatabase" localSheetId="3" hidden="1">CAICEDONIA!$D$1:$X$65</definedName>
    <definedName name="_xlnm._FilterDatabase" localSheetId="9" hidden="1">'CLIENTE NUEVOS MARZO'!$A$1:$T$51</definedName>
    <definedName name="_xlnm._FilterDatabase" localSheetId="0" hidden="1">GENOVA!$A$1:$W$572</definedName>
    <definedName name="_xlnm._FilterDatabase" localSheetId="5" hidden="1">SEVILLA!$D$1:$X$50</definedName>
    <definedName name="_xlnm._FilterDatabase" localSheetId="2" hidden="1">'SEVILLA RURAL'!$B$1:$X$79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7" roundtripDataChecksum="5egwm0rP/BKsndfyXYn9XxgP2prdgdQJSfRXyU+zIVw="/>
    </ext>
  </extLst>
</workbook>
</file>

<file path=xl/calcChain.xml><?xml version="1.0" encoding="utf-8"?>
<calcChain xmlns="http://schemas.openxmlformats.org/spreadsheetml/2006/main">
  <c r="K63" i="5" l="1"/>
  <c r="J178" i="7" l="1"/>
  <c r="J177" i="7"/>
  <c r="K167" i="7"/>
  <c r="L32" i="4" l="1"/>
  <c r="I149" i="7"/>
  <c r="I146" i="7"/>
  <c r="I145" i="7"/>
  <c r="I144" i="7"/>
  <c r="J139" i="7"/>
  <c r="J135" i="7"/>
  <c r="J131" i="7"/>
  <c r="I27" i="12"/>
  <c r="I25" i="12"/>
  <c r="I20" i="11"/>
  <c r="I17" i="11"/>
  <c r="I14" i="11"/>
  <c r="I5" i="11"/>
  <c r="I31" i="9"/>
  <c r="I30" i="9"/>
  <c r="I29" i="9"/>
  <c r="I28" i="9"/>
  <c r="I25" i="9"/>
  <c r="I21" i="9"/>
  <c r="I20" i="9"/>
  <c r="I18" i="9"/>
  <c r="I107" i="8"/>
  <c r="I92" i="8"/>
  <c r="I91" i="8"/>
  <c r="I75" i="8"/>
  <c r="I74" i="8"/>
  <c r="I66" i="8"/>
  <c r="I63" i="8"/>
  <c r="J60" i="8"/>
  <c r="I53" i="8"/>
  <c r="I52" i="8"/>
  <c r="I51" i="8"/>
  <c r="I44" i="8"/>
  <c r="I43" i="8"/>
  <c r="J40" i="8"/>
  <c r="I36" i="8"/>
  <c r="I35" i="8"/>
  <c r="I34" i="8"/>
  <c r="I31" i="8"/>
  <c r="I24" i="8"/>
  <c r="I23" i="8"/>
  <c r="I19" i="8"/>
  <c r="I16" i="8"/>
  <c r="I15" i="8"/>
  <c r="I14" i="8"/>
  <c r="I119" i="7"/>
  <c r="J103" i="7"/>
  <c r="I80" i="7"/>
  <c r="I66" i="7"/>
  <c r="I9" i="7"/>
  <c r="L37" i="6"/>
  <c r="L36" i="6"/>
  <c r="L35" i="6"/>
  <c r="L34" i="6"/>
  <c r="L33" i="6"/>
  <c r="L32" i="6"/>
  <c r="L31" i="6"/>
  <c r="L30" i="6"/>
  <c r="L29" i="6"/>
  <c r="L28" i="6"/>
  <c r="L26" i="6"/>
  <c r="L25" i="6"/>
  <c r="L24" i="6"/>
  <c r="L23" i="6"/>
  <c r="L22" i="6"/>
  <c r="L21" i="6"/>
  <c r="L20" i="6"/>
  <c r="L19" i="6"/>
  <c r="L18" i="6"/>
  <c r="L17" i="6"/>
  <c r="L16" i="6"/>
  <c r="L14" i="6"/>
  <c r="L13" i="6"/>
  <c r="L12" i="6"/>
  <c r="L11" i="6"/>
  <c r="L10" i="6"/>
  <c r="L9" i="6"/>
  <c r="L8" i="6"/>
  <c r="L7" i="6"/>
  <c r="L6" i="6"/>
  <c r="L5" i="6"/>
  <c r="L4" i="6"/>
  <c r="L3" i="6"/>
  <c r="K137" i="5"/>
  <c r="K75" i="5"/>
  <c r="K72" i="5"/>
  <c r="K70" i="5"/>
  <c r="K66" i="5"/>
  <c r="K64" i="5"/>
  <c r="K61" i="5"/>
  <c r="K60" i="5"/>
  <c r="K59" i="5"/>
  <c r="K56" i="5"/>
  <c r="K55" i="5"/>
  <c r="K54" i="5"/>
  <c r="K53" i="5"/>
  <c r="K52" i="5"/>
  <c r="K51" i="5"/>
  <c r="K50" i="5"/>
  <c r="K49" i="5"/>
  <c r="K48" i="5"/>
  <c r="K46" i="5"/>
  <c r="K45" i="5"/>
  <c r="K44" i="5"/>
  <c r="K43" i="5"/>
  <c r="K42" i="5"/>
  <c r="K41" i="5"/>
  <c r="K40" i="5"/>
  <c r="K39" i="5"/>
  <c r="K38" i="5"/>
  <c r="K35" i="5"/>
  <c r="K34" i="5"/>
  <c r="K33" i="5"/>
  <c r="K32" i="5"/>
  <c r="K31" i="5"/>
  <c r="K30" i="5"/>
  <c r="K29" i="5"/>
  <c r="K28" i="5"/>
  <c r="K27" i="5"/>
  <c r="K25" i="5"/>
  <c r="K24" i="5"/>
  <c r="K20" i="5"/>
  <c r="K19" i="5"/>
  <c r="K18" i="5"/>
  <c r="K17" i="5"/>
  <c r="K16" i="5"/>
  <c r="K15" i="5"/>
  <c r="K14" i="5"/>
  <c r="K13" i="5"/>
  <c r="K12" i="5"/>
  <c r="K11" i="5"/>
  <c r="K10" i="5"/>
  <c r="K5" i="5"/>
  <c r="K4" i="5"/>
  <c r="K3" i="5"/>
  <c r="L33" i="4"/>
  <c r="L31" i="4"/>
  <c r="L30" i="4"/>
  <c r="L29" i="4"/>
  <c r="L28" i="4"/>
  <c r="L27" i="4"/>
  <c r="L26" i="4"/>
  <c r="L25" i="4"/>
  <c r="L24" i="4"/>
  <c r="L23" i="4"/>
  <c r="L22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56" i="3"/>
  <c r="L33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0" i="3"/>
  <c r="L9" i="3"/>
  <c r="L8" i="3"/>
  <c r="L7" i="3"/>
  <c r="L6" i="3"/>
  <c r="L5" i="3"/>
  <c r="L4" i="3"/>
  <c r="L3" i="3"/>
  <c r="L2" i="3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<sst xmlns="http://schemas.openxmlformats.org/spreadsheetml/2006/main" count="13818" uniqueCount="5648">
  <si>
    <t>NOMBRE</t>
  </si>
  <si>
    <t xml:space="preserve">CEDULA </t>
  </si>
  <si>
    <t>CELULAR</t>
  </si>
  <si>
    <t>PPPOE</t>
  </si>
  <si>
    <t>SERVIDOR</t>
  </si>
  <si>
    <t>AMARRA</t>
  </si>
  <si>
    <t>PLAN DE SERVICIO</t>
  </si>
  <si>
    <t>VALOR PLAN</t>
  </si>
  <si>
    <t>VALOR A PAGAR</t>
  </si>
  <si>
    <t>ESTADO DE PAGO</t>
  </si>
  <si>
    <t>FORMA DE PAGO</t>
  </si>
  <si>
    <t>VALOR PAGADO</t>
  </si>
  <si>
    <t>FECHA DEL PAGO</t>
  </si>
  <si>
    <t>CENTRO DE COSTOS</t>
  </si>
  <si>
    <t>ESTADO USUARIO</t>
  </si>
  <si>
    <t xml:space="preserve">FECHA DE RETIRO </t>
  </si>
  <si>
    <t>DIRECCION</t>
  </si>
  <si>
    <t>BARRIO</t>
  </si>
  <si>
    <t>CORREO ELECTRONICO</t>
  </si>
  <si>
    <t>CATEGORIAS</t>
  </si>
  <si>
    <t xml:space="preserve">ACTIVO </t>
  </si>
  <si>
    <t>LUIS</t>
  </si>
  <si>
    <t>LAURA LISETH VIDALES ROJAS</t>
  </si>
  <si>
    <t>3136286418 - 3137608330</t>
  </si>
  <si>
    <t>GENO 512</t>
  </si>
  <si>
    <t>100 MEGAS</t>
  </si>
  <si>
    <t>AL DIA</t>
  </si>
  <si>
    <t>FACILISIMO</t>
  </si>
  <si>
    <t>GENOVA</t>
  </si>
  <si>
    <t>CRA 12 25 51</t>
  </si>
  <si>
    <t>CENTRO</t>
  </si>
  <si>
    <t>lauravidales165@gmail.com</t>
  </si>
  <si>
    <t>XIOMARA ALEJANDRA SANCHEZ OSSA</t>
  </si>
  <si>
    <t>3182183581 - 3215897305</t>
  </si>
  <si>
    <t>GENO 534</t>
  </si>
  <si>
    <t>150 MEGAS</t>
  </si>
  <si>
    <t>COOPERATIVO</t>
  </si>
  <si>
    <t>MANZ D CASA 5</t>
  </si>
  <si>
    <t>hamiltonms822@gmail.com</t>
  </si>
  <si>
    <t>LUISA FERNAND URREGO FLOREZ</t>
  </si>
  <si>
    <t>3009447461 - 3104557965</t>
  </si>
  <si>
    <t>GENO 1004</t>
  </si>
  <si>
    <t>CRA 10 17 51</t>
  </si>
  <si>
    <t>TEJARES</t>
  </si>
  <si>
    <t>ferurrego3@gmail.com</t>
  </si>
  <si>
    <t xml:space="preserve">MARLENE ESTHER QUINTERO </t>
  </si>
  <si>
    <t>3136158456 - 3128978401</t>
  </si>
  <si>
    <t xml:space="preserve">GENO 406 </t>
  </si>
  <si>
    <t>CRA 9 CASA 5 ESU</t>
  </si>
  <si>
    <t>SANTA LUCIA</t>
  </si>
  <si>
    <t>marlequintero_20@gmail.com</t>
  </si>
  <si>
    <t>GINA PAOLA RAMIREZ ROJAS</t>
  </si>
  <si>
    <t>3135428028 - 3106823975</t>
  </si>
  <si>
    <t>GENO 549</t>
  </si>
  <si>
    <t>300 MEGAS</t>
  </si>
  <si>
    <t>CRA 10 16 41</t>
  </si>
  <si>
    <t>ginapaolaramirezrojas@gmail.com</t>
  </si>
  <si>
    <t>JAIME EDUARDO GOMEZ FRANCO</t>
  </si>
  <si>
    <t>3216120901 - 3137685762</t>
  </si>
  <si>
    <t>GENO 42</t>
  </si>
  <si>
    <t>CALLE 29 6 85</t>
  </si>
  <si>
    <t>20 DE JULIO</t>
  </si>
  <si>
    <t>villagloria2015@gmail.com</t>
  </si>
  <si>
    <t>ISLENA SOTO CHAPARRO</t>
  </si>
  <si>
    <t>3146433773 - 3218923098</t>
  </si>
  <si>
    <t>GENO 343</t>
  </si>
  <si>
    <t>AMARRA 517</t>
  </si>
  <si>
    <t>NUEVA ESPERANZA</t>
  </si>
  <si>
    <t>MANZ 1 CASA 22</t>
  </si>
  <si>
    <t>islenasotochaparro37@gmail.com</t>
  </si>
  <si>
    <t>DARYERY HORTUA HOLGUIN</t>
  </si>
  <si>
    <t>3145226828 - 3145196437</t>
  </si>
  <si>
    <t>GENO 380</t>
  </si>
  <si>
    <t>AMARRA 518</t>
  </si>
  <si>
    <t>CRA 12 # 27 . 74</t>
  </si>
  <si>
    <t>daryery1@gmail.com</t>
  </si>
  <si>
    <t>DEIVYS JOSE DE SOUSA JAYARO</t>
  </si>
  <si>
    <t>3213299180 - 3234786175</t>
  </si>
  <si>
    <t>GENO 179</t>
  </si>
  <si>
    <t>AMARRA 519</t>
  </si>
  <si>
    <t>CRA 10 # 27 29</t>
  </si>
  <si>
    <t>manuelgarciam@gmail.com</t>
  </si>
  <si>
    <t>CARLOS ANDRES SUAREZ TREJOS</t>
  </si>
  <si>
    <t>3202528089 - 3225624186</t>
  </si>
  <si>
    <t>GENO 289</t>
  </si>
  <si>
    <t>EFECTY</t>
  </si>
  <si>
    <t>CALLE 29 # 6 71</t>
  </si>
  <si>
    <t>suareztrejoscarlos@gmail.com</t>
  </si>
  <si>
    <t>NATALIA LONDOÑO ALVAREZ</t>
  </si>
  <si>
    <t>3113562857 - 3222208912</t>
  </si>
  <si>
    <t>GENO 149</t>
  </si>
  <si>
    <t>AMARRA 526</t>
  </si>
  <si>
    <t>SALIDA EL DORADO</t>
  </si>
  <si>
    <t>CALLE 21 # 13 -. 43</t>
  </si>
  <si>
    <t>natalialomdoñoalvarez5@gmail.com</t>
  </si>
  <si>
    <t>MARTHA ISABEL MURILLO MARTINEZ</t>
  </si>
  <si>
    <t>3136781842 - 3209597251</t>
  </si>
  <si>
    <t>GENO 434</t>
  </si>
  <si>
    <t>AMARRA 520</t>
  </si>
  <si>
    <t>CRA 13 # 22 23</t>
  </si>
  <si>
    <t>marthaisabelmurillo@hotmail.com</t>
  </si>
  <si>
    <t>MARLENY BARBOSA BENAVIDES</t>
  </si>
  <si>
    <t>3202652753 - 3146712195</t>
  </si>
  <si>
    <t>GENO 436</t>
  </si>
  <si>
    <t>AMARRA 443</t>
  </si>
  <si>
    <t>100 Megas</t>
  </si>
  <si>
    <t xml:space="preserve">MANZ 1 CASA 1 </t>
  </si>
  <si>
    <t>ALAMOS</t>
  </si>
  <si>
    <t>ruben5018@hotmail.com</t>
  </si>
  <si>
    <t>MICHAEL ARBEY SANCHEZ VARRERA</t>
  </si>
  <si>
    <t>3233062212 - 3163569596</t>
  </si>
  <si>
    <t xml:space="preserve">GENO 435 </t>
  </si>
  <si>
    <t>AMARRA 318</t>
  </si>
  <si>
    <t>CRA 10 # 26 -09</t>
  </si>
  <si>
    <t>maicolsanchez12001@gmail.com</t>
  </si>
  <si>
    <t xml:space="preserve">CECILIA GRANADA OSPINA </t>
  </si>
  <si>
    <t>3203689307 - 3147812936</t>
  </si>
  <si>
    <t>GENO 440</t>
  </si>
  <si>
    <t>AMARRA 523</t>
  </si>
  <si>
    <t>CRA 12 # 16 39</t>
  </si>
  <si>
    <t>ceciliagra41@gmail.com</t>
  </si>
  <si>
    <t>CARLOS DUILLIN MONTOYA GALLEGO</t>
  </si>
  <si>
    <t>3226633026 - 3127932938</t>
  </si>
  <si>
    <t>GENO 425</t>
  </si>
  <si>
    <t>AMARRA 524</t>
  </si>
  <si>
    <t>MANZ 3 APT 5</t>
  </si>
  <si>
    <t>LA ISLA</t>
  </si>
  <si>
    <t>montoyagallego@gmail.com</t>
  </si>
  <si>
    <t>MERCEDES MAYORGA</t>
  </si>
  <si>
    <t>3234955410 - 3133729208</t>
  </si>
  <si>
    <t>GENO 433</t>
  </si>
  <si>
    <t>AMARRA 500</t>
  </si>
  <si>
    <t xml:space="preserve">CRA 13 # 17 47 </t>
  </si>
  <si>
    <t>mayorgamercedes649@gmail.com</t>
  </si>
  <si>
    <t>LIBARDO ANTONIO RIVERA SANCHEZ</t>
  </si>
  <si>
    <t>3117979278 - 3137189379</t>
  </si>
  <si>
    <t>GENO 399</t>
  </si>
  <si>
    <t>AMARRA 528</t>
  </si>
  <si>
    <t>CALLE 30 # 10 28</t>
  </si>
  <si>
    <t>libardo_rivera@hotmail.com</t>
  </si>
  <si>
    <t>MARIA ALEJANDRA HENAO CASTRILLON</t>
  </si>
  <si>
    <t>3105118877 - 3235271811</t>
  </si>
  <si>
    <t>GENO 256</t>
  </si>
  <si>
    <t>AMARRA 529</t>
  </si>
  <si>
    <t>CALLE 27 # 12 46</t>
  </si>
  <si>
    <t>alejandrasofia716@gmail.com</t>
  </si>
  <si>
    <t>LUIS FERNANDO GARCIA HERRERA</t>
  </si>
  <si>
    <t>3216917914 - 3148609491</t>
  </si>
  <si>
    <t>GENO 55</t>
  </si>
  <si>
    <t>AMARRA 527</t>
  </si>
  <si>
    <t>CALLE 15A # 10 - 21</t>
  </si>
  <si>
    <t>SEGUNDO HENAO</t>
  </si>
  <si>
    <t>herreraluzdary681@gmail.com</t>
  </si>
  <si>
    <t xml:space="preserve">ESTA HOSPITALIZADA PAGA CUANDO SALGA </t>
  </si>
  <si>
    <t>BLANCA IRMA MONSALVE VASQUEZ</t>
  </si>
  <si>
    <t>3127845945 - 3127313297</t>
  </si>
  <si>
    <t>GENO 389</t>
  </si>
  <si>
    <t>AMARRA 532</t>
  </si>
  <si>
    <t>CRA 10  CALLE 30 29 45</t>
  </si>
  <si>
    <t>ENTRADA RIO GRIS</t>
  </si>
  <si>
    <t>amonsalve922@gmail.com</t>
  </si>
  <si>
    <t>SEBASTIAN QUINTERO ECHEVERRY</t>
  </si>
  <si>
    <t>GENO 204</t>
  </si>
  <si>
    <t>AMARRA 187</t>
  </si>
  <si>
    <t>CRA 10  24 25</t>
  </si>
  <si>
    <t>quinteroeceheverrisebastian@gmail.com</t>
  </si>
  <si>
    <t>JHOANA GARCIA MORENO</t>
  </si>
  <si>
    <t>3218084428 - 3128213122</t>
  </si>
  <si>
    <t>GENO 246</t>
  </si>
  <si>
    <t>CALLE 23 14 14</t>
  </si>
  <si>
    <t>CENTRO ANTIGUO MATADERO</t>
  </si>
  <si>
    <t>juangonsalez1968@gmail.com</t>
  </si>
  <si>
    <t>HELLEN MANUELA VALLADA HERRERA</t>
  </si>
  <si>
    <t>3197962013 - 3232936531</t>
  </si>
  <si>
    <t>GENO 311</t>
  </si>
  <si>
    <t>AMARRA 534</t>
  </si>
  <si>
    <t>CRA 12 16 39</t>
  </si>
  <si>
    <t>ALAMOS FRENTE AL HOSPITAL</t>
  </si>
  <si>
    <t>manuelavillada1999@gmail.com</t>
  </si>
  <si>
    <t>JOSE LIBARDO MEDINA JIMENEZ</t>
  </si>
  <si>
    <t>3152984280 - 3216843728</t>
  </si>
  <si>
    <t>GENO 326</t>
  </si>
  <si>
    <t>AMARRA 536</t>
  </si>
  <si>
    <t>CALLE 26 11 25</t>
  </si>
  <si>
    <t>joselibardomedinajimenez@gmail.com</t>
  </si>
  <si>
    <t>HECTOR FABIO LOAIZA</t>
  </si>
  <si>
    <t>3108931565 - 3218957858</t>
  </si>
  <si>
    <t>GENO 442</t>
  </si>
  <si>
    <t>200 MEGAS</t>
  </si>
  <si>
    <t>NEQUI</t>
  </si>
  <si>
    <t>CRA 11 26 36</t>
  </si>
  <si>
    <t>ESQUINA CENTRO</t>
  </si>
  <si>
    <t>hectorfabioloaiza18@gmail.com</t>
  </si>
  <si>
    <t>MARTA YISELA JARAMILLO MEJIA</t>
  </si>
  <si>
    <t>3123410845 - 3233976879</t>
  </si>
  <si>
    <t>GENO 443</t>
  </si>
  <si>
    <t>AMARRA 537</t>
  </si>
  <si>
    <t>CRA 12 12 68</t>
  </si>
  <si>
    <t>SAN VICENTE</t>
  </si>
  <si>
    <t>eduardisarelisvivasvera@gmail.com</t>
  </si>
  <si>
    <t xml:space="preserve">JORGE WILDER JIMENEZ ARTUNDUAGA </t>
  </si>
  <si>
    <t>3103952457 - 3146339223</t>
  </si>
  <si>
    <t>GENO 445</t>
  </si>
  <si>
    <t>AMARRA 103</t>
  </si>
  <si>
    <t>CRA 10 # 16 04</t>
  </si>
  <si>
    <t>jorwijimenezartunduaga@gmail.com</t>
  </si>
  <si>
    <t>LAIDY JHOANA AGUDELO ORREGO</t>
  </si>
  <si>
    <t>3234712632 - 3108403607</t>
  </si>
  <si>
    <t>GENO 315</t>
  </si>
  <si>
    <t>AMRRA 393</t>
  </si>
  <si>
    <t xml:space="preserve">CASA 2 ETAPA 2 </t>
  </si>
  <si>
    <t>anyelarivera176@gmail.com</t>
  </si>
  <si>
    <t>FLOR ALBA MARTINEZ VARGAZ</t>
  </si>
  <si>
    <t>3217146026 - 3226424817</t>
  </si>
  <si>
    <t>GENO 449</t>
  </si>
  <si>
    <t>AMARRA 549</t>
  </si>
  <si>
    <t>CALLE 17 10 34</t>
  </si>
  <si>
    <t>LOS TEJARES</t>
  </si>
  <si>
    <t>polaniamartinez0125@gmail.com</t>
  </si>
  <si>
    <t>NO CONTESTO</t>
  </si>
  <si>
    <t>ANTHONY YONAIKER SUAREZ RIVAS</t>
  </si>
  <si>
    <t>3218626944 - 3122801344</t>
  </si>
  <si>
    <t>GENO 451</t>
  </si>
  <si>
    <t>CRA 11 33 34</t>
  </si>
  <si>
    <t>LA PLAYA</t>
  </si>
  <si>
    <t>anthonysuarezrivas77@gmail.com</t>
  </si>
  <si>
    <t>CRISTIAN DAVID RENDON CAMACHO</t>
  </si>
  <si>
    <t>3145904392 - 3234007450</t>
  </si>
  <si>
    <t>AMARRA 542</t>
  </si>
  <si>
    <t>CRA 14 19 02</t>
  </si>
  <si>
    <t>cristianrendon379@gmail.com</t>
  </si>
  <si>
    <t>FABIAN ANDRES RODRIGUEZ MEJIA</t>
  </si>
  <si>
    <t>GENO 453</t>
  </si>
  <si>
    <t>AMARRA 543</t>
  </si>
  <si>
    <t>PENDIENTE</t>
  </si>
  <si>
    <t>CALLE 31 9 24</t>
  </si>
  <si>
    <t>PORVENIR</t>
  </si>
  <si>
    <t>LUIS GERARDO SOLORZANO GOMEZ</t>
  </si>
  <si>
    <t>3113412339 - 3135701873</t>
  </si>
  <si>
    <t>GENO 306</t>
  </si>
  <si>
    <t>AMARRA 612</t>
  </si>
  <si>
    <t>MAZN 1 CASA 17 PISO 2</t>
  </si>
  <si>
    <t>luisdolorzano450@gmail.com</t>
  </si>
  <si>
    <t>ALBA MARINA RESTREPO CASTELLANOS</t>
  </si>
  <si>
    <t>GENO 429</t>
  </si>
  <si>
    <t>CALLE 20 12 37</t>
  </si>
  <si>
    <t>perezjankarlo42@GMA</t>
  </si>
  <si>
    <t>HECTOR JAIRO DIAZ CRUZ</t>
  </si>
  <si>
    <t>3103904657 - 3108358230</t>
  </si>
  <si>
    <t>GENO 330</t>
  </si>
  <si>
    <t>AMARRA 550</t>
  </si>
  <si>
    <t>CALLE 18 # 12 - 29</t>
  </si>
  <si>
    <t>hjairod75@gmail.com</t>
  </si>
  <si>
    <t>LINA MARIA RESTREPO POSADA</t>
  </si>
  <si>
    <t>3137464673 - 3146304805</t>
  </si>
  <si>
    <t>GENO 88</t>
  </si>
  <si>
    <t>CRA 29 # 7 - 16</t>
  </si>
  <si>
    <t>linamariarestrepo995@gmail.com</t>
  </si>
  <si>
    <t>FRANKLIN RUBEN BLANCO PACHECO</t>
  </si>
  <si>
    <t>3150419127 - 3233605770</t>
  </si>
  <si>
    <t>GENO 3</t>
  </si>
  <si>
    <t>CRA 12 # 21 29</t>
  </si>
  <si>
    <t>franklin19061988@gmail.com</t>
  </si>
  <si>
    <t>DIANA MARCELA GUZMAN CASTILLO</t>
  </si>
  <si>
    <t>3218778763 - 3137099890</t>
  </si>
  <si>
    <t>GENO 378</t>
  </si>
  <si>
    <t xml:space="preserve">CRA 11 # 19 25 </t>
  </si>
  <si>
    <t>GELERIA</t>
  </si>
  <si>
    <t>alizz8989@hotmail.com</t>
  </si>
  <si>
    <t>ISMENIA CERON MOSQUERA</t>
  </si>
  <si>
    <t>3104430984 - 3135405770</t>
  </si>
  <si>
    <t>GENO 226</t>
  </si>
  <si>
    <t>AMARRA 553</t>
  </si>
  <si>
    <t xml:space="preserve">CRA 12 # 12 34 </t>
  </si>
  <si>
    <t>ceronjimena@gmail.com</t>
  </si>
  <si>
    <t>LUZ EDITH GARCIA URREA</t>
  </si>
  <si>
    <t>3233799284 - 3234263354</t>
  </si>
  <si>
    <t>GENO 320</t>
  </si>
  <si>
    <t>AMARRA 556</t>
  </si>
  <si>
    <t>MAZ 1 CASA 3 PISO 2</t>
  </si>
  <si>
    <t>luzgarciaurrea@gmail.com</t>
  </si>
  <si>
    <t>BERTILIO RESTREPO JARAMILLO</t>
  </si>
  <si>
    <t>3122928840 - 3113233835</t>
  </si>
  <si>
    <t>GENO 260</t>
  </si>
  <si>
    <t>AMARRA 555</t>
  </si>
  <si>
    <t>CRA 10 CENTRO AGROINDUSTRIAL</t>
  </si>
  <si>
    <t>GALERIA</t>
  </si>
  <si>
    <t>asociacionproductoresagro@hotmail.com</t>
  </si>
  <si>
    <t>JESUS SIGIFREDO CERON GOMEZ</t>
  </si>
  <si>
    <t>3207032321 - 3125608627</t>
  </si>
  <si>
    <t>GENO 454</t>
  </si>
  <si>
    <t>MAZ 1 CSA 1 ESQUINA</t>
  </si>
  <si>
    <t>NUEVA ESOERANZA</t>
  </si>
  <si>
    <t>jesusilfredo@gmail.com</t>
  </si>
  <si>
    <t>DIDIER ALCIDES GIL ROA</t>
  </si>
  <si>
    <t>3127052262 - 3137221325</t>
  </si>
  <si>
    <t>GENO 455</t>
  </si>
  <si>
    <t>AMARRA 557</t>
  </si>
  <si>
    <t>CRA 12 # 17 - 48</t>
  </si>
  <si>
    <t>londonolina72@gmail.com</t>
  </si>
  <si>
    <t>GERALDINE LATORRE BUITRAGO</t>
  </si>
  <si>
    <t>3154462782 - 3170886095</t>
  </si>
  <si>
    <t>GENO 117</t>
  </si>
  <si>
    <t xml:space="preserve">AMARRA </t>
  </si>
  <si>
    <t xml:space="preserve">MAZ 2 CSA 37 PISO 1 </t>
  </si>
  <si>
    <t>huverivanocampo@gmail.com</t>
  </si>
  <si>
    <t>MARTHA CECILIA DUQUE ARBOLEDA</t>
  </si>
  <si>
    <t>3124831940 - 3132887932</t>
  </si>
  <si>
    <t>GENO 456</t>
  </si>
  <si>
    <t>AMARRA 559</t>
  </si>
  <si>
    <t>CAR 9 # 26 37 PISO 1</t>
  </si>
  <si>
    <t>interfronterasfacturas@gmail.com</t>
  </si>
  <si>
    <t>DEYSY EVELYN GONZALEZ DE GALIDEZ</t>
  </si>
  <si>
    <t>3122237158 - 3126758062</t>
  </si>
  <si>
    <t>GENO 457</t>
  </si>
  <si>
    <t>MANZANA C CASA 5</t>
  </si>
  <si>
    <t>PAGA AGOSTO Y SEP FIN MES</t>
  </si>
  <si>
    <t>BLANCA MARCELA IZA ARIAS</t>
  </si>
  <si>
    <t>3009020612 - 3015362750</t>
  </si>
  <si>
    <t>GENO 459</t>
  </si>
  <si>
    <t>AMARRA 561</t>
  </si>
  <si>
    <t>CRA 13 # 17 - 48</t>
  </si>
  <si>
    <t>SANDRA LORENA ORTEGA CUBILOS</t>
  </si>
  <si>
    <t>3134296121 - 3207829642</t>
  </si>
  <si>
    <t>GENO 17</t>
  </si>
  <si>
    <t>CRA 11 # 27 - 11</t>
  </si>
  <si>
    <t>loerenaortegac391@gmail.com</t>
  </si>
  <si>
    <t>ISAIC RAMOS LOPEZ</t>
  </si>
  <si>
    <t>3137266007 - 3226473727</t>
  </si>
  <si>
    <t>GENO 461</t>
  </si>
  <si>
    <t>MAZ 1 X¡CASA 5</t>
  </si>
  <si>
    <t>PATRICIA CAROLINA VILLEGAS ROJAS</t>
  </si>
  <si>
    <t>3185856573 - 3135215872</t>
  </si>
  <si>
    <t>GENO 464</t>
  </si>
  <si>
    <t>CRA 12  24 21</t>
  </si>
  <si>
    <t>YENI ESTEFANIA LANCHEROS VALENCIA</t>
  </si>
  <si>
    <t>3148673431 - 3148766288</t>
  </si>
  <si>
    <t xml:space="preserve">GENO 319 </t>
  </si>
  <si>
    <t>MANZA A CASA 13</t>
  </si>
  <si>
    <t>yenilancheros581@gmail.com</t>
  </si>
  <si>
    <t>MARTHA CECILIA MORALES</t>
  </si>
  <si>
    <t>3127908585 - 3127891180</t>
  </si>
  <si>
    <t>GENO 441</t>
  </si>
  <si>
    <t>AMARRA 564</t>
  </si>
  <si>
    <t>MAZ 1 CASA 1  PRIMER PISO</t>
  </si>
  <si>
    <t>ceciliamoralesmartha392@gmail.com</t>
  </si>
  <si>
    <t>DIANA MARCELA GIRALDO BUITRAGO</t>
  </si>
  <si>
    <t>3147467165 - 3178376284</t>
  </si>
  <si>
    <t>GENO 319</t>
  </si>
  <si>
    <t>CALLE 29 5 10</t>
  </si>
  <si>
    <t>jhoneduarsaldarriaga@gmail.com</t>
  </si>
  <si>
    <t>EVELIN DAYANA CHAMORRO RIVERA</t>
  </si>
  <si>
    <t>3145861831 - 3202401622</t>
  </si>
  <si>
    <t>GENO 344</t>
  </si>
  <si>
    <t>AMARRA 568</t>
  </si>
  <si>
    <t>MAZ 3 CASA 3 PISO 1</t>
  </si>
  <si>
    <t>daya2020nana@gmail.com</t>
  </si>
  <si>
    <t>FABIAN RUIZ MORA</t>
  </si>
  <si>
    <t>3172431517 - 3182592075</t>
  </si>
  <si>
    <t>GENO 437</t>
  </si>
  <si>
    <t>CRA 10 # 30 - 28</t>
  </si>
  <si>
    <t>fabianruizmora14@gmail.com</t>
  </si>
  <si>
    <t>DERLY YANIRI CASTELLANO</t>
  </si>
  <si>
    <t>3216865384 - 3218634700</t>
  </si>
  <si>
    <t xml:space="preserve">GENO 247 </t>
  </si>
  <si>
    <t>AMARRA 075</t>
  </si>
  <si>
    <t>RINCON QUINDIANO</t>
  </si>
  <si>
    <t>APT 501 BLOQUE 1 PISO 5</t>
  </si>
  <si>
    <t>derlicastellanos5@gmail.com</t>
  </si>
  <si>
    <t>RUBIAN DE JESUS CANO RIVERA</t>
  </si>
  <si>
    <t>3145297267 - 3226409824</t>
  </si>
  <si>
    <t>GENO 195</t>
  </si>
  <si>
    <t>AMARRA 570</t>
  </si>
  <si>
    <t>CALLE 20 # 12 - 36</t>
  </si>
  <si>
    <t>faisuiorozco@icloud.com</t>
  </si>
  <si>
    <t>LAURA MARCELA RAMOS LOPEZ</t>
  </si>
  <si>
    <t>3132671864 - 3232907451</t>
  </si>
  <si>
    <t>GENO 426</t>
  </si>
  <si>
    <t>AMARRA 573</t>
  </si>
  <si>
    <t>CRA 12 # 24 - 49</t>
  </si>
  <si>
    <t>lauramarcelaramoslopez@gmail.com</t>
  </si>
  <si>
    <t>CARLOS ALBERTO CANO</t>
  </si>
  <si>
    <t>3218298107 - 3122238399</t>
  </si>
  <si>
    <t>GENO 292</t>
  </si>
  <si>
    <t>VILLA MERCEDES</t>
  </si>
  <si>
    <t>CSA 301</t>
  </si>
  <si>
    <t>camilohenao972@gmail.com</t>
  </si>
  <si>
    <t>DIANA MARCELA MONJE ARTUNDUAGA</t>
  </si>
  <si>
    <t>3224269414 - 3146266854</t>
  </si>
  <si>
    <t>GENO 469</t>
  </si>
  <si>
    <t>CRA 12 # 25 30</t>
  </si>
  <si>
    <t>dianamonart2020@gmail.com</t>
  </si>
  <si>
    <t>GABRIELA PATRICIA ESCOBAR</t>
  </si>
  <si>
    <t>3206037261 - 3205103755</t>
  </si>
  <si>
    <t>GENO 414</t>
  </si>
  <si>
    <t>AMARRA 577</t>
  </si>
  <si>
    <t>CRA 12 # 11 35</t>
  </si>
  <si>
    <t>HENRY SARMIENTO MEZA</t>
  </si>
  <si>
    <t xml:space="preserve">GENO 419 </t>
  </si>
  <si>
    <t>MANZ 1 CASA 6</t>
  </si>
  <si>
    <t xml:space="preserve">LUIS </t>
  </si>
  <si>
    <t>MARIA YAJAIRA PEREZ ABARCA</t>
  </si>
  <si>
    <t>3015214958-3144438664</t>
  </si>
  <si>
    <t>GENO 423</t>
  </si>
  <si>
    <t xml:space="preserve">CRA 29 8 64 </t>
  </si>
  <si>
    <t>IDALBA ESCALANTE NIETO</t>
  </si>
  <si>
    <t>3186437266-3207721698</t>
  </si>
  <si>
    <t>GENO 468</t>
  </si>
  <si>
    <t xml:space="preserve">CRA 13 18 19 </t>
  </si>
  <si>
    <t>FUNDACION AMAZING GRACE</t>
  </si>
  <si>
    <t>3135819140-3146019951</t>
  </si>
  <si>
    <t>GENO472</t>
  </si>
  <si>
    <t xml:space="preserve">GENOVA </t>
  </si>
  <si>
    <t>CRA 10 18 61</t>
  </si>
  <si>
    <t>MARIO VANEGAS TORRES</t>
  </si>
  <si>
    <t>3104452939-3205664417</t>
  </si>
  <si>
    <t>GENO 471</t>
  </si>
  <si>
    <t>CRA 12 26 A ESQUINA</t>
  </si>
  <si>
    <t>CENTRO PRIMER PISO</t>
  </si>
  <si>
    <t>DIEGO</t>
  </si>
  <si>
    <t>LUZ YANETH UNI GONZALEZ</t>
  </si>
  <si>
    <t>30 MEGAS</t>
  </si>
  <si>
    <t>FINA PORVENIR</t>
  </si>
  <si>
    <t>VEREDA LOS BALSOS</t>
  </si>
  <si>
    <t>HENRY ALBERTO MURIEL ROJAS</t>
  </si>
  <si>
    <t>3134905821-3225876046</t>
  </si>
  <si>
    <t>GENO473</t>
  </si>
  <si>
    <t>BANCOLOMBIA</t>
  </si>
  <si>
    <t>CALLE 29 3 68</t>
  </si>
  <si>
    <t>YULEIDIS JOHANNA ALTAMAR VEGA</t>
  </si>
  <si>
    <t>3016557708-3135454479</t>
  </si>
  <si>
    <t>GENO103</t>
  </si>
  <si>
    <t>CRA 12 17 50</t>
  </si>
  <si>
    <t>MAIRA ALEJANDRA LOPEZ GONZALES</t>
  </si>
  <si>
    <t>3225876046-3135372491</t>
  </si>
  <si>
    <t>GENO431</t>
  </si>
  <si>
    <t>MZ 2 CASA 30 PRIMER PISO</t>
  </si>
  <si>
    <t xml:space="preserve">OLGA LUCIA ESCOBAR RAMIREZ </t>
  </si>
  <si>
    <t>3122765084-3106814841</t>
  </si>
  <si>
    <t>GENO 240</t>
  </si>
  <si>
    <t>TORREFACTORA</t>
  </si>
  <si>
    <t>olgaluchia742@gmail.com</t>
  </si>
  <si>
    <t>JHONATAN JIMENEZ TABAREZ</t>
  </si>
  <si>
    <t>3225986908-3124029790</t>
  </si>
  <si>
    <t>GENO 370</t>
  </si>
  <si>
    <t>CRA 10 27 11 PRIMER PISO</t>
  </si>
  <si>
    <t>MIRIAM DE LOURDES CHAVEZ CARRILLO</t>
  </si>
  <si>
    <t>GENO 304</t>
  </si>
  <si>
    <t>500 MEGAS</t>
  </si>
  <si>
    <t>CRA 11 29 04</t>
  </si>
  <si>
    <t>MORRO SECO</t>
  </si>
  <si>
    <t>DANIELA SAMACA MONTOYA</t>
  </si>
  <si>
    <t>GENO 321</t>
  </si>
  <si>
    <t>CONDONADO</t>
  </si>
  <si>
    <t>CRA 12 16 27</t>
  </si>
  <si>
    <t xml:space="preserve">MILTON DIAZ BERNATE </t>
  </si>
  <si>
    <t>ARP 11.0.4</t>
  </si>
  <si>
    <t>VEREDA EL CEDRAL</t>
  </si>
  <si>
    <t>ESPERANZA MEDINA ARCILA</t>
  </si>
  <si>
    <t>3137755561-3187899566</t>
  </si>
  <si>
    <t>GENO420</t>
  </si>
  <si>
    <t>CRA 13 21 12</t>
  </si>
  <si>
    <t>MARLENY ALVAREZ BELTRAN</t>
  </si>
  <si>
    <t>3104678522-3117093671</t>
  </si>
  <si>
    <t>GENO474</t>
  </si>
  <si>
    <t>SIN COSTO</t>
  </si>
  <si>
    <t>CRA 26 A 11 10</t>
  </si>
  <si>
    <t>JHONATAN DAVID MONTENEGRO GUALTERO</t>
  </si>
  <si>
    <t>3127922857-3126825857</t>
  </si>
  <si>
    <t>GENO 430</t>
  </si>
  <si>
    <t>ETAPA 1 CASA 39</t>
  </si>
  <si>
    <t>LUISA FERNANDA GONZALEZ PULGARIN</t>
  </si>
  <si>
    <t>3135462203-3114184469</t>
  </si>
  <si>
    <t>GENO 475</t>
  </si>
  <si>
    <t>CRA 10 27 11 PISO 2</t>
  </si>
  <si>
    <t>LAURA YISED SALAZAR NIEVA</t>
  </si>
  <si>
    <t>3148891453 - 3168413443</t>
  </si>
  <si>
    <t>GENO 327</t>
  </si>
  <si>
    <t>CALL 29 9 - 08</t>
  </si>
  <si>
    <t>3197962013 - 3197962013</t>
  </si>
  <si>
    <t>GENO 215</t>
  </si>
  <si>
    <t>JARDIN INFANTIL LA ISLA</t>
  </si>
  <si>
    <t>MARIA ISNELDA SILVA RENDON</t>
  </si>
  <si>
    <t>3106435855 - 3137077860</t>
  </si>
  <si>
    <t>GENO 477</t>
  </si>
  <si>
    <t>CRA 10 20 14</t>
  </si>
  <si>
    <t>jennylopez2506@gmail.com</t>
  </si>
  <si>
    <t>JUAN CRALOS MARROQUIN ANGEL</t>
  </si>
  <si>
    <t>3226609009 - 3116453289</t>
  </si>
  <si>
    <t>GENO 8</t>
  </si>
  <si>
    <t>CRA 12  26 O1</t>
  </si>
  <si>
    <t>BOMBEROS</t>
  </si>
  <si>
    <t>bomberos.genova@gmail.com</t>
  </si>
  <si>
    <t>VIVIANA ANDREA VARGAS ROJAS</t>
  </si>
  <si>
    <t>3234007445 - 3217933690</t>
  </si>
  <si>
    <t>GENO 478</t>
  </si>
  <si>
    <t>CRA 11 34 190</t>
  </si>
  <si>
    <t>OLAYA HERRERA</t>
  </si>
  <si>
    <t>juanesneider171@gmail.com</t>
  </si>
  <si>
    <t>LINA PAOLA CABOS</t>
  </si>
  <si>
    <t>3105985250 - 3116929715</t>
  </si>
  <si>
    <t>GENO 316</t>
  </si>
  <si>
    <t>CRA 11 23 09</t>
  </si>
  <si>
    <t>yinapaolac2016@gmail.com</t>
  </si>
  <si>
    <t>PEDRO FERNANDO GOMEZ BAQUERO</t>
  </si>
  <si>
    <t>3218945158 - 3136482539</t>
  </si>
  <si>
    <t>GENO 480</t>
  </si>
  <si>
    <t>CRA 12  18 00</t>
  </si>
  <si>
    <t>ESQUINA</t>
  </si>
  <si>
    <t>dulceepo187@gmail.com</t>
  </si>
  <si>
    <t>OSCAR GARCIA DUQUE</t>
  </si>
  <si>
    <t>3234243173 - 3126365308</t>
  </si>
  <si>
    <t>GENO 479</t>
  </si>
  <si>
    <t>CRA 12 25 17</t>
  </si>
  <si>
    <t>oscargarciaduque1958@gmail.com</t>
  </si>
  <si>
    <t>SARAH MUÑOZ PRIETO</t>
  </si>
  <si>
    <t>3114427964 - 3222021503</t>
  </si>
  <si>
    <t>GENO 357</t>
  </si>
  <si>
    <t>170 MEGAS</t>
  </si>
  <si>
    <t>MANZA A CASA 3</t>
  </si>
  <si>
    <t>sarahmupri@gmail.com</t>
  </si>
  <si>
    <t>ALBERTO DAZA RIAÑO</t>
  </si>
  <si>
    <t>3216708753 - 3108687181</t>
  </si>
  <si>
    <t>GENO 220</t>
  </si>
  <si>
    <t>CALLE 13  18 19</t>
  </si>
  <si>
    <t>daza1965alberto@gmail.com</t>
  </si>
  <si>
    <t>KAREN LADINO CRADONA</t>
  </si>
  <si>
    <t>3026654605 - 3113569139</t>
  </si>
  <si>
    <t>GENO 483</t>
  </si>
  <si>
    <t>CALLE 29  8 17</t>
  </si>
  <si>
    <t>ladinocardonakaren6@gmail.com</t>
  </si>
  <si>
    <t>LUZ PIEDAD MARIN GALLEGO</t>
  </si>
  <si>
    <t>3146351000 - 3144597670</t>
  </si>
  <si>
    <t>GENO 476</t>
  </si>
  <si>
    <t>CRA 12  23 25</t>
  </si>
  <si>
    <t>gallegolupita27@gmail.com</t>
  </si>
  <si>
    <t>FRANCY YULIETH CRADONA JARAMILLO</t>
  </si>
  <si>
    <t>3114488619 - 3244715262</t>
  </si>
  <si>
    <t>GENO 254</t>
  </si>
  <si>
    <t>VILLA MERCEDES 9 PISO 1</t>
  </si>
  <si>
    <t>francycardona24@gmail.com</t>
  </si>
  <si>
    <t>GLORIA ISABEL CORREA ALVAREZ</t>
  </si>
  <si>
    <t>3137649545 - 3234192112</t>
  </si>
  <si>
    <t>GENO 485</t>
  </si>
  <si>
    <t xml:space="preserve">CAFÉ BAR LA CAMPESINA </t>
  </si>
  <si>
    <t>CRA 12  24 32</t>
  </si>
  <si>
    <t>MARIA CAMILA CRUZ JIMENEZ</t>
  </si>
  <si>
    <t>GENO 488</t>
  </si>
  <si>
    <t>CRA 10  23  20</t>
  </si>
  <si>
    <t>mariacamilacruzjimenez@gmail.com</t>
  </si>
  <si>
    <t>RAFAEL ANGEL HENAO CANO</t>
  </si>
  <si>
    <t>GENO 487</t>
  </si>
  <si>
    <t>CALLE 18  10 22</t>
  </si>
  <si>
    <t>ALEXA FERNANDA MARTINEZ</t>
  </si>
  <si>
    <t>3146650112 - 3107163277</t>
  </si>
  <si>
    <t>GENO 458</t>
  </si>
  <si>
    <t>CRA 13  21 36</t>
  </si>
  <si>
    <t>alexa11uribe@gmail.com</t>
  </si>
  <si>
    <t>JAZMIN GALLO CASTELLANO</t>
  </si>
  <si>
    <t>3134742331 - 3148127530</t>
  </si>
  <si>
    <t>GENO 490</t>
  </si>
  <si>
    <t>NUVA ESPERANZA</t>
  </si>
  <si>
    <t>MANZ 3 CASA 4 PISO 2</t>
  </si>
  <si>
    <t>jazmingallocastellanos@gmail.com</t>
  </si>
  <si>
    <t>BRYAN</t>
  </si>
  <si>
    <t>ALCALDIA MUNICIPAL GENOVA</t>
  </si>
  <si>
    <t>GENO 491</t>
  </si>
  <si>
    <t>NO PAGA</t>
  </si>
  <si>
    <t>EDIFICIO PLAZA CAFÉ</t>
  </si>
  <si>
    <t>CRA 12   10 00 ENTRADA PUEBLO</t>
  </si>
  <si>
    <t>LAURA MELISSA HENAO LONDOÑO</t>
  </si>
  <si>
    <t>GENO 275</t>
  </si>
  <si>
    <t xml:space="preserve">CRA 10  23 31 </t>
  </si>
  <si>
    <t>DIAGONAL A LA NOTARIA 2DO PIOS</t>
  </si>
  <si>
    <t>lauhenao9612@gmail.com</t>
  </si>
  <si>
    <t>JORGE MARIO CAMACHO</t>
  </si>
  <si>
    <t>3205457984 - 3122357046</t>
  </si>
  <si>
    <t>GENO 352</t>
  </si>
  <si>
    <t>jorgemcroa228@gmail.com</t>
  </si>
  <si>
    <t>INGRID DANIELA MADRIGAL OSORIO</t>
  </si>
  <si>
    <t>3103132201 - 3102924925</t>
  </si>
  <si>
    <t>GENO 492</t>
  </si>
  <si>
    <t>CALLE 23 13 34 APT 2</t>
  </si>
  <si>
    <t>CALLE MATADERO</t>
  </si>
  <si>
    <t>ingridosorio3121@gmail.com</t>
  </si>
  <si>
    <t>MARIBEL NUÑEZ CORTEZ</t>
  </si>
  <si>
    <t>3126481234 - 3204968249</t>
  </si>
  <si>
    <t>GENO 212</t>
  </si>
  <si>
    <t>ALAMOS MANZA 1 CASA 6</t>
  </si>
  <si>
    <t>cortesmary559@gmail.com</t>
  </si>
  <si>
    <t>LUZ STELLA GIRALDO REY</t>
  </si>
  <si>
    <t>3207545467 - 3122445916</t>
  </si>
  <si>
    <t>GENO 493</t>
  </si>
  <si>
    <t>CRA 12 27 47</t>
  </si>
  <si>
    <t>MARIA JUDITH PAREDES AGUIRRE</t>
  </si>
  <si>
    <t>3137836595 - 3146209710</t>
  </si>
  <si>
    <t>GENO 494</t>
  </si>
  <si>
    <t>CALLE 27 12A 40</t>
  </si>
  <si>
    <t>SANDRA PATRICIA ALAGUNA LENIS</t>
  </si>
  <si>
    <t>3128560645 - 3023885043</t>
  </si>
  <si>
    <t>GENO 193</t>
  </si>
  <si>
    <t xml:space="preserve">MANZ 2 CASA 4 </t>
  </si>
  <si>
    <t>CRISTIAN FERNANDO BEDOYA CASTRILLON</t>
  </si>
  <si>
    <t>3178553341 - 3145464868</t>
  </si>
  <si>
    <t>GENO 495</t>
  </si>
  <si>
    <t>CRA 13 CL 16</t>
  </si>
  <si>
    <t>CASA 2 ATRÁS CASA 2A</t>
  </si>
  <si>
    <t>MARIA ELIZABETH GUEVARA BAQUERO</t>
  </si>
  <si>
    <t>3145247885 - 3146652321</t>
  </si>
  <si>
    <t>GENO 496</t>
  </si>
  <si>
    <t>CALLE 23 12 71</t>
  </si>
  <si>
    <t>PAGA HOY 14</t>
  </si>
  <si>
    <t>YULIAN FELIPE AGUDELO</t>
  </si>
  <si>
    <t>3177311311 - 3218907560</t>
  </si>
  <si>
    <t>GENO 498</t>
  </si>
  <si>
    <t>CRA 12 23 20</t>
  </si>
  <si>
    <t>CLAUDIA LORENA BELTRAN ROMAN</t>
  </si>
  <si>
    <t>3225786568 - 3233404034</t>
  </si>
  <si>
    <t>GENO 382</t>
  </si>
  <si>
    <t>MAZ 3 CASA 5 APTO 1</t>
  </si>
  <si>
    <t>LAISLA</t>
  </si>
  <si>
    <t>JAIRO DE JESUS ARREDONDO VASCO</t>
  </si>
  <si>
    <t>3216156028 - 3225825289</t>
  </si>
  <si>
    <t>GENO 500</t>
  </si>
  <si>
    <t xml:space="preserve">LA PLAYA </t>
  </si>
  <si>
    <t>BELLO RINCON QUINDIANO BLOQUE 3 APTO 203</t>
  </si>
  <si>
    <t>3182592075 - 3172431517</t>
  </si>
  <si>
    <t>GENO 501</t>
  </si>
  <si>
    <t>CASA 8 SANTA LUCIA</t>
  </si>
  <si>
    <t>NATALIA ALVARADO GARAY</t>
  </si>
  <si>
    <t>3227227287 - 3127258353</t>
  </si>
  <si>
    <t>GENO 502</t>
  </si>
  <si>
    <t>CRA 12 24 32</t>
  </si>
  <si>
    <t>MARTHA ISABEL TOVAR MARULANDA</t>
  </si>
  <si>
    <t>3114467176 - 317740000</t>
  </si>
  <si>
    <t>GENO 503</t>
  </si>
  <si>
    <t>ETAPA 2 MANZA 3 NUMERO 10</t>
  </si>
  <si>
    <t>YEIMI DAHIANA ARIAS RINCON</t>
  </si>
  <si>
    <t>3106429880 - 3127822505</t>
  </si>
  <si>
    <t>GENO 504</t>
  </si>
  <si>
    <t>MANZ A CASA 11</t>
  </si>
  <si>
    <t>CAROLINA HERNANDEZ ROJAS</t>
  </si>
  <si>
    <t>3114498020 - 3128160905</t>
  </si>
  <si>
    <t>GENO 505</t>
  </si>
  <si>
    <t>MAZ 1 CASA 15</t>
  </si>
  <si>
    <t>ORLANDO BENITEZ LONDOÑO</t>
  </si>
  <si>
    <t>3158703409 - 3233085994</t>
  </si>
  <si>
    <t>GENO 506</t>
  </si>
  <si>
    <t>MANZ B CASA 4</t>
  </si>
  <si>
    <t>ERIKA YULIE VELASQUEZ</t>
  </si>
  <si>
    <t>GENO 145</t>
  </si>
  <si>
    <t>CARRERA 12 CALLE 27 01 ESQUINA</t>
  </si>
  <si>
    <t>MIGUEL JOSE MENESES ERAZO</t>
  </si>
  <si>
    <t>3117538031 - 3215966468</t>
  </si>
  <si>
    <t>GENO 395</t>
  </si>
  <si>
    <t>CALLE 20 11 08</t>
  </si>
  <si>
    <t>LEIDY JOHANA CERON VALENZUELA</t>
  </si>
  <si>
    <t>3217567319 - 3235232857</t>
  </si>
  <si>
    <t>GENO 417</t>
  </si>
  <si>
    <t>CRA 12 11 86</t>
  </si>
  <si>
    <t>BLADIMIR MENDEZ SIMACA</t>
  </si>
  <si>
    <t>GENO 507</t>
  </si>
  <si>
    <t>MANZ A CASA 17  PRIMER PISO</t>
  </si>
  <si>
    <t xml:space="preserve">KAREN MARITZA ATEHORTUA </t>
  </si>
  <si>
    <t>3126301802 - 3135703082</t>
  </si>
  <si>
    <t>GENO 283</t>
  </si>
  <si>
    <t>CRA 11 19 21</t>
  </si>
  <si>
    <t xml:space="preserve">SEGUNDO PISO  </t>
  </si>
  <si>
    <t>LUIS EDUARDO FRANCO DIAZ</t>
  </si>
  <si>
    <t>3128926200 - 3217001014</t>
  </si>
  <si>
    <t>GENO 508</t>
  </si>
  <si>
    <t>CRA 26 # 13 35</t>
  </si>
  <si>
    <t>ANYI PAOLA GARCIA VALENCIA</t>
  </si>
  <si>
    <t>3113789205 - 3187134191</t>
  </si>
  <si>
    <t>GENO 284</t>
  </si>
  <si>
    <t>CALLE 20 # 10 26</t>
  </si>
  <si>
    <t xml:space="preserve">MARIA ALEJANDRA RIVERA MOLINA </t>
  </si>
  <si>
    <t>3215014146 - 3234271876</t>
  </si>
  <si>
    <t>GENO 113</t>
  </si>
  <si>
    <t>CASA SUEGRA</t>
  </si>
  <si>
    <t>LEIDY JOHANA RIOS</t>
  </si>
  <si>
    <t>GENO 509</t>
  </si>
  <si>
    <t>MAZ 1 CASA 31</t>
  </si>
  <si>
    <t>SEGUNDO PISO</t>
  </si>
  <si>
    <t>DIEGO FERNANDO LONDOÑO GOMEZ</t>
  </si>
  <si>
    <t>3212332180 - 3127053674</t>
  </si>
  <si>
    <t>MANZ 4 CASA 6</t>
  </si>
  <si>
    <t>JHON DIDIER RIVERA RENDON</t>
  </si>
  <si>
    <t>3148059690 - 3136280681</t>
  </si>
  <si>
    <t>GENO 416</t>
  </si>
  <si>
    <t>CRA 12 17 64</t>
  </si>
  <si>
    <t>NORMA ERAZO</t>
  </si>
  <si>
    <t>3155128934 - 3155749127</t>
  </si>
  <si>
    <t>GENO 293</t>
  </si>
  <si>
    <t>CALLE 25 13 75</t>
  </si>
  <si>
    <t>JHONATAN DAVID CLAVIJO PULGARIN</t>
  </si>
  <si>
    <t>3225670742 - 3147627425</t>
  </si>
  <si>
    <t>GENO 100</t>
  </si>
  <si>
    <t>CARRERA 12 34 24</t>
  </si>
  <si>
    <t>DETRÁS DEL INSTITUTO</t>
  </si>
  <si>
    <t>DORALIA SUSANA ARAMBULO LEYTON</t>
  </si>
  <si>
    <t>3107847148 - 3217219091</t>
  </si>
  <si>
    <t>GENO 374</t>
  </si>
  <si>
    <t>CRA 10 18 27</t>
  </si>
  <si>
    <t>VERONICA GONZALEZ PULGARIN</t>
  </si>
  <si>
    <t>3147684154 - 3147472714</t>
  </si>
  <si>
    <t>GENO 301</t>
  </si>
  <si>
    <t>CRA 12 12 20</t>
  </si>
  <si>
    <t>GLORIA VIVIANA GOMEZ GUTIERREZ</t>
  </si>
  <si>
    <t>GENO 511</t>
  </si>
  <si>
    <t xml:space="preserve">GENOVA QUINDIO </t>
  </si>
  <si>
    <t>Cra 11#29-24</t>
  </si>
  <si>
    <t>RUBEN DARIO ALARCON MONSALVE</t>
  </si>
  <si>
    <t>3207773949 - 3117982530</t>
  </si>
  <si>
    <t>GENO 180</t>
  </si>
  <si>
    <t>BLOQUE 2 APAT 202</t>
  </si>
  <si>
    <t>BELLO RINCON QUINDIANO</t>
  </si>
  <si>
    <t>DIEGO ALEJANDRO ZAPATA</t>
  </si>
  <si>
    <t>3226070383 - 3116795531</t>
  </si>
  <si>
    <t>GENO 510</t>
  </si>
  <si>
    <t xml:space="preserve">ETAPA 2 </t>
  </si>
  <si>
    <t>VICTOR ALFONSO HERRERA OSPINA</t>
  </si>
  <si>
    <t>GENO521</t>
  </si>
  <si>
    <t>CRA 10 12 33</t>
  </si>
  <si>
    <t>SANDRA MILENA LOAIZA BERNAL</t>
  </si>
  <si>
    <t>3226060237 - 3125069890</t>
  </si>
  <si>
    <t>GENO 158</t>
  </si>
  <si>
    <t>CALLE 15 A 10 15</t>
  </si>
  <si>
    <t>ADRIANA PATRICIA GUERRERO PARRA</t>
  </si>
  <si>
    <t>3104492794 - 3106825963</t>
  </si>
  <si>
    <t>GENO 230</t>
  </si>
  <si>
    <t>CASA 34 - 10</t>
  </si>
  <si>
    <t>aguerreroparra77@gmail.com</t>
  </si>
  <si>
    <t>DIEGO ALEJANDRO OSORIO PIÑEROS</t>
  </si>
  <si>
    <t>3234838579 - 3122611943</t>
  </si>
  <si>
    <t>GENO 514</t>
  </si>
  <si>
    <t>MAZ 4 CASA 1 PISO 2</t>
  </si>
  <si>
    <t>pinerosdiego627@gmail.com</t>
  </si>
  <si>
    <t>FLOR ANGELA MAHECHA</t>
  </si>
  <si>
    <t>3128191712 - 3209093193</t>
  </si>
  <si>
    <t>GENO 39</t>
  </si>
  <si>
    <t>CALL 23 9 17</t>
  </si>
  <si>
    <t>alexmonotaller@gmail.com</t>
  </si>
  <si>
    <t>NATALIA GUTIERREZ ARICAPA</t>
  </si>
  <si>
    <t>GENO 203</t>
  </si>
  <si>
    <t>MANZ A CASA 13</t>
  </si>
  <si>
    <t>aricapanatalia0@gmail.com</t>
  </si>
  <si>
    <t>LILIANA CERON ORTEGA</t>
  </si>
  <si>
    <t>3234987716 - 3207806063</t>
  </si>
  <si>
    <t>GENO 173</t>
  </si>
  <si>
    <t>MAZ A CASA 12</t>
  </si>
  <si>
    <t>ceron1523@gmail.com</t>
  </si>
  <si>
    <t>LUIS GERARDO VILLA VELEZ</t>
  </si>
  <si>
    <t>3103026532 - 3117774702</t>
  </si>
  <si>
    <t>GENO 517</t>
  </si>
  <si>
    <t xml:space="preserve">NUEVA COLOMBIA </t>
  </si>
  <si>
    <t xml:space="preserve">M A lote 6 segundo piso </t>
  </si>
  <si>
    <t>luisvillavelez@gmail.com</t>
  </si>
  <si>
    <t>MARTHA MEREDITH GONZALEZ GUTIERREZ</t>
  </si>
  <si>
    <t>GENO 518</t>
  </si>
  <si>
    <t>CRA 11 27 19</t>
  </si>
  <si>
    <t>jhonardavidr2010@gmail.com</t>
  </si>
  <si>
    <t>SANDRA VIVIANA RODRIGUEZ SEGURA</t>
  </si>
  <si>
    <t>3224757162 - 3135705681</t>
  </si>
  <si>
    <t>GENO 519</t>
  </si>
  <si>
    <t>CRA 10 14 66</t>
  </si>
  <si>
    <t>letradorodriguezj6@gmail.com</t>
  </si>
  <si>
    <t>XIOMARA RENDON ECHEVERRY</t>
  </si>
  <si>
    <t>3229362909 - 3116098225</t>
  </si>
  <si>
    <t>GENO 368</t>
  </si>
  <si>
    <t>CRA 12  14 03</t>
  </si>
  <si>
    <t>BARRIO COOPERATIVO</t>
  </si>
  <si>
    <t>xiomirendon11@gmail.com</t>
  </si>
  <si>
    <t>JULIAN ANDRES URUEÑA RODRIGUEZ</t>
  </si>
  <si>
    <t>3117700249 - 3135704656</t>
  </si>
  <si>
    <t>GENO 299</t>
  </si>
  <si>
    <t>CALLE 21  10 16</t>
  </si>
  <si>
    <t>juliandres661@gmail.com</t>
  </si>
  <si>
    <t>BLANCA NERY PULGARIN BETANCOURTH</t>
  </si>
  <si>
    <t>3135173774 - 3135185321</t>
  </si>
  <si>
    <t xml:space="preserve">GENO 499 </t>
  </si>
  <si>
    <t>LA ISLA MANZ 1 CASA 36</t>
  </si>
  <si>
    <t>deibypulgarin6@gmail.com</t>
  </si>
  <si>
    <t>ALEXANDER GUADAÑITA TOVAR</t>
  </si>
  <si>
    <t>3128781095 - 3126271414</t>
  </si>
  <si>
    <t>GENO 353</t>
  </si>
  <si>
    <t>CRUSERO</t>
  </si>
  <si>
    <t>CRA 11 # 31 ESQUINA SEGUNDO PISO</t>
  </si>
  <si>
    <t>alexandertt1123@gmail.com</t>
  </si>
  <si>
    <t>PAOLA ANDREA SALAZAR MORALES</t>
  </si>
  <si>
    <t>3148514509 - 3183108685</t>
  </si>
  <si>
    <t>GENO 396</t>
  </si>
  <si>
    <t>BOLA ROJA</t>
  </si>
  <si>
    <t>CRA 11 29 18</t>
  </si>
  <si>
    <t>mariagemelassamez@gmail.com</t>
  </si>
  <si>
    <t>ALBA RUBY CALDERON</t>
  </si>
  <si>
    <t>3187430262 - 3173460102</t>
  </si>
  <si>
    <t>GENO 347</t>
  </si>
  <si>
    <t>CALLE 12 # 12 07</t>
  </si>
  <si>
    <t>rubiss.calderon@gmail.com</t>
  </si>
  <si>
    <t>ALONSO ARIAS LONDOÑO</t>
  </si>
  <si>
    <t>3205520002 - 3128227049</t>
  </si>
  <si>
    <t>GENO 404</t>
  </si>
  <si>
    <t>CRA 12  26 10</t>
  </si>
  <si>
    <t>ariasalonsozarco@gmail.com</t>
  </si>
  <si>
    <t>JHON FABER GALLEGO LOPEZ</t>
  </si>
  <si>
    <t>3207111983 - 3212480692</t>
  </si>
  <si>
    <t>GENO 184</t>
  </si>
  <si>
    <t>CRA 13 20 23</t>
  </si>
  <si>
    <t>jfgallegolopez91@gmail.com</t>
  </si>
  <si>
    <t>KERLY VIVIANA CAÑAS JIMENEZ</t>
  </si>
  <si>
    <t>3108111939 - 3125803718</t>
  </si>
  <si>
    <t>GENO 489</t>
  </si>
  <si>
    <t>CALLE 29  9 10</t>
  </si>
  <si>
    <t>kerlyvivianacanas@gmail.com</t>
  </si>
  <si>
    <t xml:space="preserve">NO ESTA PARA RECOGER EQUIPO </t>
  </si>
  <si>
    <t>ANGIE TATIANA HERNANDEZ</t>
  </si>
  <si>
    <t>3105239775 - 3214565757</t>
  </si>
  <si>
    <t>GENO 446</t>
  </si>
  <si>
    <t>NUEVA COLOMBIA</t>
  </si>
  <si>
    <t>MAZ A B6</t>
  </si>
  <si>
    <t>tatmontoya1999@gmail.com</t>
  </si>
  <si>
    <t>ISLENA MERTINEZ RODRIGUEZ</t>
  </si>
  <si>
    <t>3105165481 - 3146565696</t>
  </si>
  <si>
    <t xml:space="preserve">GENO 50 </t>
  </si>
  <si>
    <t>CRA 12  23 15</t>
  </si>
  <si>
    <t>islenamartinezrodriguez0@gmail.com</t>
  </si>
  <si>
    <t>ONEIDA RIASCOS DORADO</t>
  </si>
  <si>
    <t>3207782975 - 3124593211</t>
  </si>
  <si>
    <t>GENO 448</t>
  </si>
  <si>
    <t>BLOQUE 4 APT 404</t>
  </si>
  <si>
    <t>riascosangie052@gmail.com</t>
  </si>
  <si>
    <t xml:space="preserve">LUIS DAVID BARRERA PARRA </t>
  </si>
  <si>
    <t>3207781729 - 3105110345</t>
  </si>
  <si>
    <t>GENO 486</t>
  </si>
  <si>
    <t>CRA 10 # 30 45</t>
  </si>
  <si>
    <t>davidbarrerao51294@gmail.com</t>
  </si>
  <si>
    <t>YAIDY PAOLA HENAO CHITIVA</t>
  </si>
  <si>
    <t>3215236461 - 3234782439</t>
  </si>
  <si>
    <t>GENO 159</t>
  </si>
  <si>
    <t>CALLE 29 6 24</t>
  </si>
  <si>
    <t>henaoyaidy@gamil.com</t>
  </si>
  <si>
    <t>NENCER GONZALEZ VARGAZ</t>
  </si>
  <si>
    <t>3133481036 - 3206574072</t>
  </si>
  <si>
    <t>GENO 524</t>
  </si>
  <si>
    <t>CRA 11 24 26</t>
  </si>
  <si>
    <t>nencergonzalezvargas25@gmail.com</t>
  </si>
  <si>
    <t>ELIBETH COROMOTO MARTINEZ CASTRO</t>
  </si>
  <si>
    <t>GENO 522</t>
  </si>
  <si>
    <t>CRA 12 16 65</t>
  </si>
  <si>
    <t>elibetgmartinez393@gmail.com</t>
  </si>
  <si>
    <t>NORBAY GALLEGO MONTERO</t>
  </si>
  <si>
    <t>3128222743 - 3207111983</t>
  </si>
  <si>
    <t>GENO 526</t>
  </si>
  <si>
    <t>CARLOS ANDRES RODRIGUEZ SAAVEDRA</t>
  </si>
  <si>
    <t>3127849785 - 3225070940</t>
  </si>
  <si>
    <t>GENO 513</t>
  </si>
  <si>
    <t xml:space="preserve">MANZA 2 CASA 6 </t>
  </si>
  <si>
    <t>DIEGO ANDRES HENAO SANCHEZ</t>
  </si>
  <si>
    <t>3226500575 - 3226500571</t>
  </si>
  <si>
    <t>GENO 516</t>
  </si>
  <si>
    <t>CASA 6 ETAPA 2</t>
  </si>
  <si>
    <t>dahs1818@gmail.com</t>
  </si>
  <si>
    <t>YURI NATALIA GUARIN HERNANDEZ</t>
  </si>
  <si>
    <t>3234004930 - 3206674951</t>
  </si>
  <si>
    <t>CRA 12 12 36</t>
  </si>
  <si>
    <t>guarinhernandezyurinatalia@gmail.com</t>
  </si>
  <si>
    <t>AMPARO ALFOSO GARAY</t>
  </si>
  <si>
    <t>3136236768 - 3128157715</t>
  </si>
  <si>
    <t>GENO 528</t>
  </si>
  <si>
    <t>CASA 9 FRENTE A LA ENTRADA DEL JARDON INFANTIL</t>
  </si>
  <si>
    <t>michellstefanny925@gmail.com</t>
  </si>
  <si>
    <t>YAMILE HOLGUIN CASTRO</t>
  </si>
  <si>
    <t>GENO 527</t>
  </si>
  <si>
    <t>CRA 12 A  19 20</t>
  </si>
  <si>
    <t>adharalonsonoholguin@gmail.com</t>
  </si>
  <si>
    <t>JAIRO ALBERTO CERON ORTEGA</t>
  </si>
  <si>
    <t>3148781345 - 3053410508</t>
  </si>
  <si>
    <t>GENO 529</t>
  </si>
  <si>
    <t>CRA 14 27 16</t>
  </si>
  <si>
    <t>jairoalbertoceron2283@gmail.com</t>
  </si>
  <si>
    <t>MARIA NANCY CERON ORTEGA</t>
  </si>
  <si>
    <t>3207806063 - 3234987716</t>
  </si>
  <si>
    <t>GENO 530</t>
  </si>
  <si>
    <t>ETAPA 2 CASA 3</t>
  </si>
  <si>
    <t>nancyceronortega23@gmail.com</t>
  </si>
  <si>
    <t>JAKELINE LEON RESTREPO</t>
  </si>
  <si>
    <t>3217225401 - 3115003070</t>
  </si>
  <si>
    <t>GENO 531</t>
  </si>
  <si>
    <t>ETAPA 1 CASA 8</t>
  </si>
  <si>
    <t>jakelineleon18@gmail.com</t>
  </si>
  <si>
    <t>ADRIANA AMPARO JARAMILLO MEJIA</t>
  </si>
  <si>
    <t>3104494900 - 3155283213</t>
  </si>
  <si>
    <t>GENO 532</t>
  </si>
  <si>
    <t>CALLE 25  10 14</t>
  </si>
  <si>
    <t>herbolariamatecaña8@gmail.com</t>
  </si>
  <si>
    <t>MARTA LILIANA MARTINEZ GAMBOA</t>
  </si>
  <si>
    <t>3003045699 - 3147166084</t>
  </si>
  <si>
    <t>GENO 533</t>
  </si>
  <si>
    <t>AMARRA #362</t>
  </si>
  <si>
    <t xml:space="preserve">BANCOLOMBIA </t>
  </si>
  <si>
    <t>MZ C CASA #11</t>
  </si>
  <si>
    <t>martalilianamartinezgamboa@gmail.com</t>
  </si>
  <si>
    <t>CORAIMA QUIROZ MORA</t>
  </si>
  <si>
    <t>GENO 535</t>
  </si>
  <si>
    <t>MAZ 5 CASA 2 PISO 2</t>
  </si>
  <si>
    <t>coraimaquiroz44@gmail.com</t>
  </si>
  <si>
    <t>DANIEL GARCIA GOMEZ</t>
  </si>
  <si>
    <t>3135213901 - 3137871616</t>
  </si>
  <si>
    <t>GENO 536</t>
  </si>
  <si>
    <t>CASA 4 PISO 1</t>
  </si>
  <si>
    <t>danielgarcia091983@gmail.com</t>
  </si>
  <si>
    <t>CRISTIAN DAVID SANCHEZ ORREGO</t>
  </si>
  <si>
    <t>3146832344 - 3217667865</t>
  </si>
  <si>
    <t>ARP 11.0.05</t>
  </si>
  <si>
    <t xml:space="preserve">VEREDA COQUETA </t>
  </si>
  <si>
    <t>FINCA EL PARAISO</t>
  </si>
  <si>
    <t>cristiandavidsanchez0@gmail.com</t>
  </si>
  <si>
    <t>LUBIN LEMOS CARVAJAL</t>
  </si>
  <si>
    <t>GENO 67</t>
  </si>
  <si>
    <t>CRA 13 25 09</t>
  </si>
  <si>
    <t>juliana_dilan@hotmail.com</t>
  </si>
  <si>
    <t>ANA FABIOLA MEDINA ARCILA</t>
  </si>
  <si>
    <t>3225904552 - 3203711109</t>
  </si>
  <si>
    <t>GENO 537</t>
  </si>
  <si>
    <t>CRA 12 18 10</t>
  </si>
  <si>
    <t>anaf17218@gmail.com</t>
  </si>
  <si>
    <t>ALBA DORIS SOTO CASTAÑEDA</t>
  </si>
  <si>
    <t>3148068463 - 3206726448</t>
  </si>
  <si>
    <t>GENO 538</t>
  </si>
  <si>
    <t>YESIKA ALEJANDRA NARANJO</t>
  </si>
  <si>
    <t>3148609478 - 3217053339</t>
  </si>
  <si>
    <t>GENO 166</t>
  </si>
  <si>
    <t>MAZ B CASA 6 SEGÚNDO P</t>
  </si>
  <si>
    <t>yalajandra.1924@gmail.com</t>
  </si>
  <si>
    <t>ADBUL RODRIGUEZ PINZON</t>
  </si>
  <si>
    <t>3159265160 - 3188598589</t>
  </si>
  <si>
    <t>GENO 360</t>
  </si>
  <si>
    <t>CRA 11 20 07</t>
  </si>
  <si>
    <t>abdulpasdo@hotmail.com</t>
  </si>
  <si>
    <t>LEONARDO CLAVIJO CASTELLANO</t>
  </si>
  <si>
    <t>3116504847 - 3206214492</t>
  </si>
  <si>
    <t>GENO 141</t>
  </si>
  <si>
    <t>CRA 12 20 26</t>
  </si>
  <si>
    <t>CENTRO ESQUINA SEGUNDO PISO</t>
  </si>
  <si>
    <t>aidaquinter@gmail.com</t>
  </si>
  <si>
    <t>NURY FLOREZ PEREZ</t>
  </si>
  <si>
    <t>3105981718 - 3138955305</t>
  </si>
  <si>
    <t>GENO 520</t>
  </si>
  <si>
    <t>MORROSECO</t>
  </si>
  <si>
    <t>CRA 11 28 04</t>
  </si>
  <si>
    <t>florezperezn.11@hotmail.com</t>
  </si>
  <si>
    <t>FABIAN ANDRES HERNANDEZ ALVAREZ</t>
  </si>
  <si>
    <t>GENO 470</t>
  </si>
  <si>
    <t>CALLE 17 10 36</t>
  </si>
  <si>
    <t>fandres8989@gmail.com</t>
  </si>
  <si>
    <t>MARIELA DE JESUS TORREZ GONZALEZ</t>
  </si>
  <si>
    <t>3178376284 - 3107213512</t>
  </si>
  <si>
    <t>GENO 313</t>
  </si>
  <si>
    <t>CALLE 20 12 36</t>
  </si>
  <si>
    <t>mayersal2003@gmail.com</t>
  </si>
  <si>
    <t>MARIA NELFY COY SALINAS</t>
  </si>
  <si>
    <t>3135169496 - 3138613062</t>
  </si>
  <si>
    <t>GENO 258</t>
  </si>
  <si>
    <t>CRA 13 19 56 SEGUNDO PISO</t>
  </si>
  <si>
    <t>mariane40kt@gmail.com</t>
  </si>
  <si>
    <t>JOHAN ESTIVEN ALZATE RODRIGUEZ</t>
  </si>
  <si>
    <t>3148066065 - 3148600781</t>
  </si>
  <si>
    <t>GENO 379</t>
  </si>
  <si>
    <t>CRA 12 12 14</t>
  </si>
  <si>
    <t>andreaher3120@gmail.com</t>
  </si>
  <si>
    <t>YESICA RIOS FLOREZ</t>
  </si>
  <si>
    <t>3215352998 - 3117332236</t>
  </si>
  <si>
    <t xml:space="preserve">GENO 465 </t>
  </si>
  <si>
    <t>MAZ 3 CASA 6</t>
  </si>
  <si>
    <t>GENO 421</t>
  </si>
  <si>
    <t>CRA 10 20 26</t>
  </si>
  <si>
    <t>LAURA MARCELA BOHORQUEZ DIAZ</t>
  </si>
  <si>
    <t>3108453699 - 3237456286</t>
  </si>
  <si>
    <t>GENO 539</t>
  </si>
  <si>
    <t>CRA 12 26 49</t>
  </si>
  <si>
    <t>laurabohorquez.juridica@gmail.com</t>
  </si>
  <si>
    <t>LUISA FERNANDA MORALES</t>
  </si>
  <si>
    <t>3117931818 - 3147418368</t>
  </si>
  <si>
    <t>GENO 542</t>
  </si>
  <si>
    <t>MAZ A CASA 5 PISO 1</t>
  </si>
  <si>
    <t>im7304851@gmail.com</t>
  </si>
  <si>
    <t>MARIA JOSE SANTAMARIA MEDINA</t>
  </si>
  <si>
    <t>3234037385 - 3004136174</t>
  </si>
  <si>
    <t>GENO 543</t>
  </si>
  <si>
    <t>AMARRA #805</t>
  </si>
  <si>
    <t>MZ 3-16 PISO 1</t>
  </si>
  <si>
    <t xml:space="preserve">NUENA ESPERANZA </t>
  </si>
  <si>
    <t>mariajosekira225@gmail.com</t>
  </si>
  <si>
    <t>ALBEIRO ANTONIO HERNANDEZ COBOS</t>
  </si>
  <si>
    <t>3106274101 - 3113126645</t>
  </si>
  <si>
    <t>GENO 1000</t>
  </si>
  <si>
    <t>MANZ 1 CASA 12</t>
  </si>
  <si>
    <t>alberthcoboz2019@gmail.com</t>
  </si>
  <si>
    <t>DIANA MARACELA DURANGO ALVAREZ</t>
  </si>
  <si>
    <t>3216938353 - 3135805434</t>
  </si>
  <si>
    <t>GENO 1003</t>
  </si>
  <si>
    <t>CRA 13 26 15</t>
  </si>
  <si>
    <t>dianamarcelaalvarezdurango@gmail.com</t>
  </si>
  <si>
    <t>ALEXA FERNANDA MARTINEZ URIBE</t>
  </si>
  <si>
    <t>GENO 136</t>
  </si>
  <si>
    <t>CRA 13 18 53</t>
  </si>
  <si>
    <t>KAREN MELISA PLAZAS ALVARADO</t>
  </si>
  <si>
    <t>3204487143 - 3234522405</t>
  </si>
  <si>
    <t>GENO 76</t>
  </si>
  <si>
    <t xml:space="preserve">CRA 10 29 29 </t>
  </si>
  <si>
    <t>SEGUNDO PISO ENTRADA 20 JULIO</t>
  </si>
  <si>
    <t>karen04plazas@gmail.com</t>
  </si>
  <si>
    <t>YURI MARCELA PINZON SALAZAR</t>
  </si>
  <si>
    <t>3136450556 - 3146752081</t>
  </si>
  <si>
    <t>GENO 544</t>
  </si>
  <si>
    <t>CRA 12 21 29</t>
  </si>
  <si>
    <t>LUZ ENSUEÑO CORRALES VALENCIA</t>
  </si>
  <si>
    <t>3154163154 - 3145457399</t>
  </si>
  <si>
    <t>GENO 1002</t>
  </si>
  <si>
    <t>CRA 10 17 73</t>
  </si>
  <si>
    <t>corralesvalencialuz@gmail.com</t>
  </si>
  <si>
    <t>MARIA DANIELA PINO PIEDRAHITA</t>
  </si>
  <si>
    <t>3215869696 - 3235271692</t>
  </si>
  <si>
    <t>CALLE 25 10 24</t>
  </si>
  <si>
    <t>piedrahitadaniela323@gmail.com</t>
  </si>
  <si>
    <t>LUCERO SALAZAR</t>
  </si>
  <si>
    <t>3028092901 - 3137562902</t>
  </si>
  <si>
    <t>GENO 1005</t>
  </si>
  <si>
    <t>CRA 11 34 96</t>
  </si>
  <si>
    <t>valentinatjuand@gmail.com</t>
  </si>
  <si>
    <t>ANGIE PAOLA GRANADA VERANO</t>
  </si>
  <si>
    <t>3213355663 - 3127540799</t>
  </si>
  <si>
    <t>GENO 484</t>
  </si>
  <si>
    <t>AMARRA #641</t>
  </si>
  <si>
    <t>BLOQUE 3 APARTAMENTO 205</t>
  </si>
  <si>
    <t>NELSON FABIAN GARZON GUTIERREZ</t>
  </si>
  <si>
    <t>3106022851 - 3143428715</t>
  </si>
  <si>
    <t>GENO 19</t>
  </si>
  <si>
    <t>CALLE 23 14 45</t>
  </si>
  <si>
    <t>ANTIGUO MATADERO</t>
  </si>
  <si>
    <t>polochogarzon@gmail.com</t>
  </si>
  <si>
    <t>KAROL YULIANA GOMEZ SANCHEZ</t>
  </si>
  <si>
    <t>3225062194 - 3108309183</t>
  </si>
  <si>
    <t>GENO 545</t>
  </si>
  <si>
    <t>CRA 12A 12 70</t>
  </si>
  <si>
    <t>gomezsancheskarolyuliana98@gmail.com</t>
  </si>
  <si>
    <t xml:space="preserve">IMELDA COROMOTO CASTRO </t>
  </si>
  <si>
    <t>3215837399 - 3147528237</t>
  </si>
  <si>
    <t xml:space="preserve">CRA 10 27 31 </t>
  </si>
  <si>
    <t>ismeldacastro0@gmail.com</t>
  </si>
  <si>
    <t>YENNI LORENA CASTILLO ESPINOSA</t>
  </si>
  <si>
    <t>3175876362 - 3173072498</t>
  </si>
  <si>
    <t>GENO 333</t>
  </si>
  <si>
    <t>CRA 13 18 61</t>
  </si>
  <si>
    <t>lore315castilloespinosa@gmail.com</t>
  </si>
  <si>
    <t>MARIA DEL SOCORRO MOLINA MARIN</t>
  </si>
  <si>
    <t>3127957864 - 3138856185</t>
  </si>
  <si>
    <t>GENO373</t>
  </si>
  <si>
    <t>CRA 10 27 09</t>
  </si>
  <si>
    <t>socorromolina.078@gmail.com</t>
  </si>
  <si>
    <t>MARISOL MORALES LOPEZ</t>
  </si>
  <si>
    <t>3234316250 - 3135821434</t>
  </si>
  <si>
    <t>GENO 547</t>
  </si>
  <si>
    <t>CRA 10 27 08</t>
  </si>
  <si>
    <t>marilo13112006@gmail.com</t>
  </si>
  <si>
    <t>LUZ ADRIANA GUEVARA ORREGO</t>
  </si>
  <si>
    <t>3136476670 - 3218537443</t>
  </si>
  <si>
    <t>GENO 447</t>
  </si>
  <si>
    <t xml:space="preserve">MANZ 2 CASA 5 </t>
  </si>
  <si>
    <t>luzadrianaguevara83@gmail.com</t>
  </si>
  <si>
    <t>SANDRA MILENA SANCHEZ MORENO</t>
  </si>
  <si>
    <t>3118664935 - 3128721607</t>
  </si>
  <si>
    <t>GENO 550</t>
  </si>
  <si>
    <t>CRA 11 22 11</t>
  </si>
  <si>
    <t>sanmisamo@gmail.com</t>
  </si>
  <si>
    <t>MARIA ALEJANDRA BUITRAGO RODRIGUEZ</t>
  </si>
  <si>
    <t>3215715137 - 3215908806</t>
  </si>
  <si>
    <t>GENO 551</t>
  </si>
  <si>
    <t>MAZ D CASA 13</t>
  </si>
  <si>
    <t>maale9304@gmail.com</t>
  </si>
  <si>
    <t>PEDRONEL CAMACHO GUADA</t>
  </si>
  <si>
    <t>3127886434 - 3117342094</t>
  </si>
  <si>
    <t>GENO 28</t>
  </si>
  <si>
    <t>CRA 10 89 60</t>
  </si>
  <si>
    <t>pedronelcamacho123@gmail.com</t>
  </si>
  <si>
    <t>GISELA CAMACHO LONDOÑO</t>
  </si>
  <si>
    <t>3135357246 - 3166433112</t>
  </si>
  <si>
    <t>GENO 552</t>
  </si>
  <si>
    <t>CRA 12 32 29</t>
  </si>
  <si>
    <t>xiomaracatalinaalca@outlook.es</t>
  </si>
  <si>
    <t>MICHAEL ESTIBEN GIRALDO SOTO</t>
  </si>
  <si>
    <t>3142297819 - 3113672319</t>
  </si>
  <si>
    <t>MAZ 3 CASA 22 PISO 1</t>
  </si>
  <si>
    <t>JESUS SANTIAGO HERRERA MONTAÑA</t>
  </si>
  <si>
    <t>3128862470 - 3146700798</t>
  </si>
  <si>
    <t>GENO 553</t>
  </si>
  <si>
    <t>CRA 10 25 13</t>
  </si>
  <si>
    <t>claudialetrado123040@gmail.com</t>
  </si>
  <si>
    <t>BRIANNY MARIANA ALZATE VILLEGAS</t>
  </si>
  <si>
    <t>3147415814 - 3216526738</t>
  </si>
  <si>
    <t>GENO 232</t>
  </si>
  <si>
    <t>diogorodriguez667@gmail.com</t>
  </si>
  <si>
    <t>JOSE IGNACIO PINO MARTINEZ</t>
  </si>
  <si>
    <t>3174722180 - 3215873486</t>
  </si>
  <si>
    <t>GENO 57</t>
  </si>
  <si>
    <t>BLOQUE 3 PISO 5 APRT 503</t>
  </si>
  <si>
    <t>ignaciopino13pm@gmail.com</t>
  </si>
  <si>
    <t>JENIFER ANDREA SANCHEZ ONOFRE</t>
  </si>
  <si>
    <t>3106708799 - 3107381772</t>
  </si>
  <si>
    <t>GENO155</t>
  </si>
  <si>
    <t>MAZ 5 CASA 8 PISO 1</t>
  </si>
  <si>
    <t>LUZ EDITH RAMIREZ JURADO</t>
  </si>
  <si>
    <t>3143621229 - 3218281670</t>
  </si>
  <si>
    <t>GENO 270</t>
  </si>
  <si>
    <t>CRA 12 32 13</t>
  </si>
  <si>
    <t>FRENTE CANCHAS</t>
  </si>
  <si>
    <t>ramirezjuradoluzedith@gmail.com</t>
  </si>
  <si>
    <t>NOHORA GARCIA GOMEZ</t>
  </si>
  <si>
    <t>3133498034 - 3244835677</t>
  </si>
  <si>
    <t>GENO 481</t>
  </si>
  <si>
    <t>CALLE 22 CRA 14 06</t>
  </si>
  <si>
    <t>nohoragarciagomez@gmail.com</t>
  </si>
  <si>
    <t>OSCAR UREÑA PINEDA</t>
  </si>
  <si>
    <t>GENO 554</t>
  </si>
  <si>
    <t>CRA 13 25 66</t>
  </si>
  <si>
    <t>oscarruruana0@gmail.com</t>
  </si>
  <si>
    <t>MIRIAM ROSA MORILLO</t>
  </si>
  <si>
    <t>3148239175 - 3232869868</t>
  </si>
  <si>
    <t>GENO553</t>
  </si>
  <si>
    <t>BLOQUE 1 APAT 301</t>
  </si>
  <si>
    <t>rosamirillo28@gmail.com</t>
  </si>
  <si>
    <t>SANDRA LILIANA MEDINA SANCHEZ</t>
  </si>
  <si>
    <t>GENO 555</t>
  </si>
  <si>
    <t>CRA 12 12 66</t>
  </si>
  <si>
    <t>sandraliliana745@gmail.com</t>
  </si>
  <si>
    <t>EDWIN ADRIAN ARBOLEDA DIAZ</t>
  </si>
  <si>
    <t>3148402051 - 3103506850</t>
  </si>
  <si>
    <t>GENO 482</t>
  </si>
  <si>
    <t>CRA 10 17 16</t>
  </si>
  <si>
    <t>edwinadrianarboledadiaz@gmail.com</t>
  </si>
  <si>
    <t>ERIKA ALEXANDRA CARDONA LOPEZ</t>
  </si>
  <si>
    <t>3136364190 - 3137652031</t>
  </si>
  <si>
    <t>GENO 557</t>
  </si>
  <si>
    <t>CASA DE LA CANCHA SINTETICA</t>
  </si>
  <si>
    <t>cardonaalexa1997@gmail.com</t>
  </si>
  <si>
    <t>LILIANA FONSECA PEREZ</t>
  </si>
  <si>
    <t>3205620149 - 3146726913</t>
  </si>
  <si>
    <t>GENO 559</t>
  </si>
  <si>
    <t>CALLE 13 CRA 19 ESQUINA</t>
  </si>
  <si>
    <t>LOS ALAMOS</t>
  </si>
  <si>
    <t>LINA VIVIANA DUQUE ARANGO</t>
  </si>
  <si>
    <t>3116047811 - 3217953842</t>
  </si>
  <si>
    <t>GENO 558</t>
  </si>
  <si>
    <t>CRA 12 26 66</t>
  </si>
  <si>
    <t>3 PISO CENTRO</t>
  </si>
  <si>
    <t>guslisa1964@gmail.com</t>
  </si>
  <si>
    <t>NATALIA ARIAS SOTO</t>
  </si>
  <si>
    <t>3216533138 - 3205820870</t>
  </si>
  <si>
    <t>GENO 541</t>
  </si>
  <si>
    <t>CRA 12 26 49 PISO 3</t>
  </si>
  <si>
    <t>nataliaarias047@gmail.com</t>
  </si>
  <si>
    <t>ADRIANA BOHORQUEZ MORA</t>
  </si>
  <si>
    <t>3113729517 3187999823</t>
  </si>
  <si>
    <t>GENO 43</t>
  </si>
  <si>
    <t>AMARRA 809</t>
  </si>
  <si>
    <t>MANZ 1 CASA 4</t>
  </si>
  <si>
    <t>kevinandress09@hotmail.com</t>
  </si>
  <si>
    <t>AMELIA DIAZ CLAVIJO</t>
  </si>
  <si>
    <t>3113195310 - 3148430509</t>
  </si>
  <si>
    <t>GENO 154</t>
  </si>
  <si>
    <t>CASA # 3</t>
  </si>
  <si>
    <t>marirod@cqteeduca.edu.co</t>
  </si>
  <si>
    <t>ANA GISEL MEDINA ARCILA</t>
  </si>
  <si>
    <t>GENO 124</t>
  </si>
  <si>
    <t>CRA 12 # 12 - 30</t>
  </si>
  <si>
    <t>yicelyevelin@gmail.com</t>
  </si>
  <si>
    <t>ANA MARIA GOMEZ MORALES</t>
  </si>
  <si>
    <t>GENO 74</t>
  </si>
  <si>
    <t>AMARRA 830</t>
  </si>
  <si>
    <t xml:space="preserve">CALLE 21 # 12 - 45 </t>
  </si>
  <si>
    <t>ANGELA MARIA CANO</t>
  </si>
  <si>
    <t>GENO 73</t>
  </si>
  <si>
    <t>BLOQUE 3 APT 202</t>
  </si>
  <si>
    <t>anmaca734@gmail.com</t>
  </si>
  <si>
    <t>PAOLA ANDREA ARBOLEDA</t>
  </si>
  <si>
    <t>GENO 051</t>
  </si>
  <si>
    <t xml:space="preserve">MANZ B - CASA 6 </t>
  </si>
  <si>
    <t>arboledapaola@gmail.com</t>
  </si>
  <si>
    <t>BEATRIZ LORENA GONZALES</t>
  </si>
  <si>
    <t>GENO 147</t>
  </si>
  <si>
    <t>CRA 10 16 70</t>
  </si>
  <si>
    <t>loregonza2201@gmail.com</t>
  </si>
  <si>
    <t>CELMIRA ROA HUERTAS</t>
  </si>
  <si>
    <t>GENO 151</t>
  </si>
  <si>
    <t>CRA 11 # 19-03</t>
  </si>
  <si>
    <t>CENEIDA SALAZAR ZAPATA</t>
  </si>
  <si>
    <t>GENO 93</t>
  </si>
  <si>
    <t>CRA 10 # 17 - 08</t>
  </si>
  <si>
    <t>cenaidasalazarzapata#@@gmail.com</t>
  </si>
  <si>
    <t>MIRIAM DE LOURDES CHAVES</t>
  </si>
  <si>
    <t>3105484714 - 3127070309</t>
  </si>
  <si>
    <t>GENO 09</t>
  </si>
  <si>
    <t>CRA 11 # 26 A - 06</t>
  </si>
  <si>
    <t>my_luluch1@outlook.com</t>
  </si>
  <si>
    <t>LEIDY YULIETH SEGOVIA GONZALEZ</t>
  </si>
  <si>
    <t>GENO 10</t>
  </si>
  <si>
    <t xml:space="preserve"> </t>
  </si>
  <si>
    <t>MANZANA A CASA 3</t>
  </si>
  <si>
    <t>segovialeidy5678@gmail.com</t>
  </si>
  <si>
    <t>DIANA CATALINA DIOSA COY</t>
  </si>
  <si>
    <t>GENO 108</t>
  </si>
  <si>
    <t>AMARRA 368</t>
  </si>
  <si>
    <t>CRA 12 # 27 - 01</t>
  </si>
  <si>
    <t>ktalina121590@gmail.com</t>
  </si>
  <si>
    <t>FABIO ISMAEL ORTIZ GONZALES</t>
  </si>
  <si>
    <t>3128270281 - 3105964427</t>
  </si>
  <si>
    <t>GENO 99</t>
  </si>
  <si>
    <t># 901</t>
  </si>
  <si>
    <t>20 DE JULIO (RIO GRIS)</t>
  </si>
  <si>
    <t>fabioortiz4014@gmail.com</t>
  </si>
  <si>
    <t>FRALLY VASQUEZ VAQUERO</t>
  </si>
  <si>
    <t>GENO 161</t>
  </si>
  <si>
    <t>CRA 11 # 24-14</t>
  </si>
  <si>
    <t xml:space="preserve">ALAMOS </t>
  </si>
  <si>
    <t>FREDY ALVAREZ BELTRAN CAFÉ BUENOS AIRES</t>
  </si>
  <si>
    <t>GENO 160</t>
  </si>
  <si>
    <t>CALLE 25 # 10 - 32 CAFÉ BUENOS AIRES</t>
  </si>
  <si>
    <t>DIANA LORENA SIERRA TRIVIÑO</t>
  </si>
  <si>
    <t>GENO 11</t>
  </si>
  <si>
    <t>MZ B CASA 3</t>
  </si>
  <si>
    <t>YULIETHPENAGOS20@GMAIL.COM</t>
  </si>
  <si>
    <t>GELEYNI JAZMIN DIAZ LOAIZA</t>
  </si>
  <si>
    <t>GENO 87</t>
  </si>
  <si>
    <t>MAZ C CASA 14</t>
  </si>
  <si>
    <t>GILMA GAVIRIA MORALES</t>
  </si>
  <si>
    <t>GENO 34</t>
  </si>
  <si>
    <t>CALLE 21 # 12-08</t>
  </si>
  <si>
    <t>zapatadaniela235@gmail.com</t>
  </si>
  <si>
    <t>GLADIS PELAEZ ROA</t>
  </si>
  <si>
    <t>GENO 104</t>
  </si>
  <si>
    <t>CALLE 18 # 12-28</t>
  </si>
  <si>
    <t>FABIAN ANDRES DIOSA COY</t>
  </si>
  <si>
    <t>GENO 111</t>
  </si>
  <si>
    <t>MZ C # 1</t>
  </si>
  <si>
    <t>checo123092@hotmail.com</t>
  </si>
  <si>
    <t>IBETH ALZATE HERNANDEZ</t>
  </si>
  <si>
    <t>GENO 106</t>
  </si>
  <si>
    <t>CALLE 21 # 13-38</t>
  </si>
  <si>
    <t>i-beth85@hotmail.com</t>
  </si>
  <si>
    <t xml:space="preserve">IGLESIA RIOS DE VIDA </t>
  </si>
  <si>
    <t>GENO 109</t>
  </si>
  <si>
    <t>AMARRA 227</t>
  </si>
  <si>
    <t>CALLE 21 # 12-50</t>
  </si>
  <si>
    <t>ESTID GUTIERREZ DIAS</t>
  </si>
  <si>
    <t>GENO 114</t>
  </si>
  <si>
    <t>CRA 29 # 6 - 88</t>
  </si>
  <si>
    <t>ivansaka@hotmail.com</t>
  </si>
  <si>
    <t>MARIA ALEJANDRA PULGARIN SANCHEZ</t>
  </si>
  <si>
    <t>3234007459 - 3234269655</t>
  </si>
  <si>
    <t>GENO 115</t>
  </si>
  <si>
    <t>AMARRA 340</t>
  </si>
  <si>
    <t>BLOQUE 1 APT 401</t>
  </si>
  <si>
    <t>av8958@gmail.com</t>
  </si>
  <si>
    <t>STELLA MENDEZ MEDINA</t>
  </si>
  <si>
    <t>GENO 116</t>
  </si>
  <si>
    <t>CALLE 25 # 13-60</t>
  </si>
  <si>
    <t>david13perez@hotmail.com</t>
  </si>
  <si>
    <t>LUIS CARLOS MARIN</t>
  </si>
  <si>
    <t>GENO 118</t>
  </si>
  <si>
    <t>MZ 3 # 3</t>
  </si>
  <si>
    <t xml:space="preserve">LA ISLA </t>
  </si>
  <si>
    <t>JHON FREDY LOPEZ RIOS</t>
  </si>
  <si>
    <t>GENO 119</t>
  </si>
  <si>
    <t>AMARRA 158</t>
  </si>
  <si>
    <t>CALLE 28 # 9 - 34</t>
  </si>
  <si>
    <t>erika.m.murillo8888@gmail.com</t>
  </si>
  <si>
    <t>JOSE ANTONIO ROJAS GALVIS</t>
  </si>
  <si>
    <t>GENO 148</t>
  </si>
  <si>
    <t>JOSE FERNANDO ZAPATA CLAVIJO</t>
  </si>
  <si>
    <t>GENO 107</t>
  </si>
  <si>
    <t>CRA 12 # 27-57 PISO 2</t>
  </si>
  <si>
    <t>fernandoqks55d@hotmail.com</t>
  </si>
  <si>
    <t>NUBIA BAQUERO PULGARIN</t>
  </si>
  <si>
    <t>3215243825 - 3233605741</t>
  </si>
  <si>
    <t>GENO 12</t>
  </si>
  <si>
    <t>AMARRA 832</t>
  </si>
  <si>
    <t>CRA 13 # 21 14</t>
  </si>
  <si>
    <t>RAFAEL HENAO CANO</t>
  </si>
  <si>
    <t>GENO 122</t>
  </si>
  <si>
    <t>AMARRA 823</t>
  </si>
  <si>
    <t>CRA 12 # 21-32</t>
  </si>
  <si>
    <t>darlyhenao123@gmail.com</t>
  </si>
  <si>
    <t>LEIDY VIVIANA CRUZ FERIA</t>
  </si>
  <si>
    <t>GENO 68</t>
  </si>
  <si>
    <t>ETAPA 3 CASA 8</t>
  </si>
  <si>
    <t>vivicruzfe296@gmail.com</t>
  </si>
  <si>
    <t>LIDA TORO CUBILLOS</t>
  </si>
  <si>
    <t>GENO 123</t>
  </si>
  <si>
    <t>MZ A 3 6</t>
  </si>
  <si>
    <t>lidatoro15@gmail.com</t>
  </si>
  <si>
    <t>DIANA CRISTINA CASTILLO RUIZ</t>
  </si>
  <si>
    <t>GENO 125</t>
  </si>
  <si>
    <t>MZ 1 CASA 4</t>
  </si>
  <si>
    <t xml:space="preserve">PORVENIR </t>
  </si>
  <si>
    <t>khristinakastillo@gmail.com</t>
  </si>
  <si>
    <t>LUCELY BENJUMEA CAÑON</t>
  </si>
  <si>
    <t>GENO 167</t>
  </si>
  <si>
    <t>AMARRA 814</t>
  </si>
  <si>
    <t>ETAPA 2 CASA 1</t>
  </si>
  <si>
    <t>jvelasquezmendez13@gmail.com</t>
  </si>
  <si>
    <t>LUIS ALONSO BOGOTA</t>
  </si>
  <si>
    <t>AMARRA 507</t>
  </si>
  <si>
    <t>50 Megas</t>
  </si>
  <si>
    <t>ETAPA # 3 CASA 9</t>
  </si>
  <si>
    <t>bogo8527@gmail.com</t>
  </si>
  <si>
    <t>ELDER ESTEVAN BUENO RINCON</t>
  </si>
  <si>
    <t>3135204220 - 3248491257</t>
  </si>
  <si>
    <t>GENO 126</t>
  </si>
  <si>
    <t>AMARRA # 199</t>
  </si>
  <si>
    <t>C11 26#11-10</t>
  </si>
  <si>
    <t xml:space="preserve">CENTRO </t>
  </si>
  <si>
    <t>gomezibarrapaulaandrea7@gmail.com</t>
  </si>
  <si>
    <t>DEYCI YULIETH CAMPOS</t>
  </si>
  <si>
    <t>GENO 127</t>
  </si>
  <si>
    <t>CRA 10 # 19 - 33 PISO 1 APT 1</t>
  </si>
  <si>
    <t>LA GALERIA</t>
  </si>
  <si>
    <t>anmapicam.17@gmail.com</t>
  </si>
  <si>
    <t>LUISA FERNANDA HENAO</t>
  </si>
  <si>
    <t>GENO 38</t>
  </si>
  <si>
    <t>AMARRA 811</t>
  </si>
  <si>
    <t>ETAPA 1 CASA 42</t>
  </si>
  <si>
    <t>henaohernandezvalentina@gmail.com</t>
  </si>
  <si>
    <t xml:space="preserve">ALEYDA JIMENEZ MORALES </t>
  </si>
  <si>
    <t>3146624509 - 3127548438</t>
  </si>
  <si>
    <t>GENO 128</t>
  </si>
  <si>
    <t>AMARRA 820</t>
  </si>
  <si>
    <t>CRA 13 # 18 - 53</t>
  </si>
  <si>
    <t>eliseobejaranojumenez1996@gmail.com</t>
  </si>
  <si>
    <t>LEONID RAMIREZ CONDE</t>
  </si>
  <si>
    <t>3137266904 - 3001184604</t>
  </si>
  <si>
    <t>GENO 13</t>
  </si>
  <si>
    <t>AMARRA 449</t>
  </si>
  <si>
    <t>CALLE 29 # 7 - 06</t>
  </si>
  <si>
    <t>ramirezcondeleobeid@gmail.com</t>
  </si>
  <si>
    <t>LUZ AMPARO CEBALLOS MOSCOSO</t>
  </si>
  <si>
    <t>GENO 35</t>
  </si>
  <si>
    <t>mz 1 casa 17</t>
  </si>
  <si>
    <t>luzamparo888@gmail.com</t>
  </si>
  <si>
    <t>LUZ DELLY MIRA DIAZ</t>
  </si>
  <si>
    <t>GENO 15</t>
  </si>
  <si>
    <t>CRA 12 # 12-33</t>
  </si>
  <si>
    <t>OLAYA</t>
  </si>
  <si>
    <t>MARIA FABIOLA AGUIRRE</t>
  </si>
  <si>
    <t>GENO 33</t>
  </si>
  <si>
    <t>CARRERA 11 # 35 - 01</t>
  </si>
  <si>
    <t>mafebiola1967@hotmail.com</t>
  </si>
  <si>
    <t>DEYSY YERALDIN TREJOS SUAREZ</t>
  </si>
  <si>
    <t>GENO 130</t>
  </si>
  <si>
    <t>AMARRA 551</t>
  </si>
  <si>
    <t xml:space="preserve">CALLE 16 # 12-45 </t>
  </si>
  <si>
    <t>BLOQUE 1</t>
  </si>
  <si>
    <t>MARIA ISNELIA SILVA</t>
  </si>
  <si>
    <t>3137077860-3106435855</t>
  </si>
  <si>
    <t>GENO 44</t>
  </si>
  <si>
    <t>CALLE 26 # 12-59</t>
  </si>
  <si>
    <t>yennylopez2506@gmail.com</t>
  </si>
  <si>
    <t>ALONSO GIRALDO GIRALDO</t>
  </si>
  <si>
    <t>GENO 133</t>
  </si>
  <si>
    <t>CRA 11 # 26A - 04</t>
  </si>
  <si>
    <t>DANIELA CIRO ACOSTA</t>
  </si>
  <si>
    <t>GENO 135</t>
  </si>
  <si>
    <t>AMARRA 535</t>
  </si>
  <si>
    <t>CALLE 29 10 27</t>
  </si>
  <si>
    <t>dana3106625257@gmail.com</t>
  </si>
  <si>
    <t>MILLER ADRIAN GUEVARA VAQUERO</t>
  </si>
  <si>
    <t>GENO 164</t>
  </si>
  <si>
    <t>CRA 11 # 23-21</t>
  </si>
  <si>
    <t>MONICA MARIA VELASQUEZ</t>
  </si>
  <si>
    <t>GENO 23</t>
  </si>
  <si>
    <t>monicavelasquez9494@gmail.com</t>
  </si>
  <si>
    <t>JHON ALEJANDRO GIRALDO</t>
  </si>
  <si>
    <t>GENO 137</t>
  </si>
  <si>
    <t>CRA 12 # 26A ESQ PISO 2</t>
  </si>
  <si>
    <t>lauracardenas9594@gmail.com</t>
  </si>
  <si>
    <t>MICHAEL ANDRES VILLADA ECHEVERRY</t>
  </si>
  <si>
    <t>GENO 138</t>
  </si>
  <si>
    <t>AMARRA 272</t>
  </si>
  <si>
    <t>CRA 20 # 18 - 61</t>
  </si>
  <si>
    <t>gnv.central@laalianza.co</t>
  </si>
  <si>
    <t>LEIDY TRUJILLO GUEVARA</t>
  </si>
  <si>
    <t>3125608627 - 3147230520</t>
  </si>
  <si>
    <t>GENO 14</t>
  </si>
  <si>
    <t>AMARRA 032</t>
  </si>
  <si>
    <t>BLOQUE 2 APARTAMENTO 301</t>
  </si>
  <si>
    <t>trujilloleidy36@gmail.com</t>
  </si>
  <si>
    <t>SANDRA MILENA GAVIRIA LOZANO</t>
  </si>
  <si>
    <t>GENO 140</t>
  </si>
  <si>
    <t>MAZ D CASA 3</t>
  </si>
  <si>
    <t>sandramilenagaviria56@gmail.com</t>
  </si>
  <si>
    <t>NELLY GARCIA GONZALEZ</t>
  </si>
  <si>
    <t>GENO 142</t>
  </si>
  <si>
    <t>CRA 11 # 33 - 29</t>
  </si>
  <si>
    <t>nelita123@outlook.it</t>
  </si>
  <si>
    <t>JULIANA MARTINES LOSANO</t>
  </si>
  <si>
    <t>GENO 144</t>
  </si>
  <si>
    <t>CALLE 25 # 13 - 75</t>
  </si>
  <si>
    <t>juliiimartinezl@gmail.com</t>
  </si>
  <si>
    <t>VALENTINA MARTINEZ ALVARES</t>
  </si>
  <si>
    <t>GENO 121</t>
  </si>
  <si>
    <t>CRA 12 # 21-09</t>
  </si>
  <si>
    <t>alvaresvalen16@gmail.com</t>
  </si>
  <si>
    <t>VICTOR ALFONSO RODRIGUEZ COY</t>
  </si>
  <si>
    <t>GENO 20</t>
  </si>
  <si>
    <t>CRA 10 # 23-07</t>
  </si>
  <si>
    <t>victorcoy.98@gmail.com</t>
  </si>
  <si>
    <t>YEIMI PATIÑO HERNANDEZ</t>
  </si>
  <si>
    <t>GENO 32</t>
  </si>
  <si>
    <t>CRA 12 # 22-03</t>
  </si>
  <si>
    <t>yeini.ph.30@hotmail.com</t>
  </si>
  <si>
    <t>SERGIO GRISALES ESCOBAR</t>
  </si>
  <si>
    <t>GENO 146</t>
  </si>
  <si>
    <t>CALLE 19 # 10-14</t>
  </si>
  <si>
    <t>LUZ MARINA MORENO SALAZAR</t>
  </si>
  <si>
    <t>GENO 150</t>
  </si>
  <si>
    <t>CRA 19 # 12 -32</t>
  </si>
  <si>
    <t>marinasalar2345@gmail.com</t>
  </si>
  <si>
    <t>DARLY ROCIO HERNANDEZ HENAO</t>
  </si>
  <si>
    <t>GENO 153</t>
  </si>
  <si>
    <t>MZ B #2</t>
  </si>
  <si>
    <t>BARRIO LOS TEJARES</t>
  </si>
  <si>
    <t>JULIA JURADO MOSCOSO</t>
  </si>
  <si>
    <t>GENO 139</t>
  </si>
  <si>
    <t>CRA 11 # 33 - 17</t>
  </si>
  <si>
    <t>PARROQUIA SAN JOSE DE GENOVA</t>
  </si>
  <si>
    <t>GENO 5</t>
  </si>
  <si>
    <t>CRA 10 # 26 - 57</t>
  </si>
  <si>
    <t>parroquiasanjosegenova@gmail.com</t>
  </si>
  <si>
    <t>ALEJANDRO ARREDONDO CASTRO</t>
  </si>
  <si>
    <t>GENO 16</t>
  </si>
  <si>
    <t>CRA 12 # 20 29</t>
  </si>
  <si>
    <t>lucidecastro718@gmail.com</t>
  </si>
  <si>
    <t>CAROLINA AVILA GALVIS</t>
  </si>
  <si>
    <t>3146720620 - 3135742157</t>
  </si>
  <si>
    <t>GENO 162</t>
  </si>
  <si>
    <t>AMARRA 409</t>
  </si>
  <si>
    <t>CRA 10 # 23 - 28</t>
  </si>
  <si>
    <t>sebastianramosavila33@gmail.com</t>
  </si>
  <si>
    <t>LEIDY JOHANA JIMENEZ ALRCON</t>
  </si>
  <si>
    <t>GENO 156</t>
  </si>
  <si>
    <t>AMARRA 801</t>
  </si>
  <si>
    <t xml:space="preserve">MANZ D CASA 9 </t>
  </si>
  <si>
    <t>JHOHN MARIO GARCIA GARZON</t>
  </si>
  <si>
    <t>GENO 163</t>
  </si>
  <si>
    <t>MZ 5 # 7</t>
  </si>
  <si>
    <t>RITA YOLANDA RODRIGUEZ NEIRA</t>
  </si>
  <si>
    <t>GENO 165</t>
  </si>
  <si>
    <t>CRA 11 # 26-28</t>
  </si>
  <si>
    <t>mauriciobustos701@gmail.com</t>
  </si>
  <si>
    <t>ALEIDA GARAY ROA</t>
  </si>
  <si>
    <t>GENO 71</t>
  </si>
  <si>
    <t>CASA DE PIEDRA</t>
  </si>
  <si>
    <t xml:space="preserve">SONIA ACOSTA </t>
  </si>
  <si>
    <t>GENO 31</t>
  </si>
  <si>
    <t>CALLE 27 # 12 - 46</t>
  </si>
  <si>
    <t>soniacostadesing@gmail.com</t>
  </si>
  <si>
    <t>LILIANA TORREZ PELAEZ</t>
  </si>
  <si>
    <t>GENO 187</t>
  </si>
  <si>
    <t>AMARRA 813</t>
  </si>
  <si>
    <t>MAZ B # 202 P2</t>
  </si>
  <si>
    <t>VILLA MERCEDEZ</t>
  </si>
  <si>
    <t>erotica37@gmail.com</t>
  </si>
  <si>
    <t>JORGE MARIO BARRETO ALVAREZ</t>
  </si>
  <si>
    <t>GENO 188</t>
  </si>
  <si>
    <t>AMARRA 824</t>
  </si>
  <si>
    <t>CRA 12A # 19 - 14</t>
  </si>
  <si>
    <t>jmba2835@gmail.com</t>
  </si>
  <si>
    <t>YARA BIBIANA CUESTAS BETANCURTH</t>
  </si>
  <si>
    <t>GENO 189</t>
  </si>
  <si>
    <t>MAZ C # 4</t>
  </si>
  <si>
    <t>ANLLI DANIELA CARDENAS RINCON</t>
  </si>
  <si>
    <t>GENO 168</t>
  </si>
  <si>
    <t>CALLE 20 # 12 - 31</t>
  </si>
  <si>
    <t xml:space="preserve">OLGA URREGO CANO </t>
  </si>
  <si>
    <t>GENO 192</t>
  </si>
  <si>
    <t>AMARRA 826</t>
  </si>
  <si>
    <t>CALLE 2 # 12 -52</t>
  </si>
  <si>
    <t>HENRRY ALAGUNA NO PAGA EQUIPOS</t>
  </si>
  <si>
    <t>GENO 197</t>
  </si>
  <si>
    <t>erikajulithvelasquez@gmail.com</t>
  </si>
  <si>
    <t>LINA MARIA MEDINA CASTILLO</t>
  </si>
  <si>
    <t>GENO 172</t>
  </si>
  <si>
    <t>MZ 1 CASA 17</t>
  </si>
  <si>
    <t>linamedinacastillo@hotmail.com</t>
  </si>
  <si>
    <t>GENO 175</t>
  </si>
  <si>
    <t>CRA 12  23 - 32</t>
  </si>
  <si>
    <t>MILEIDER ROMAN GARCIA</t>
  </si>
  <si>
    <t>GENO 26</t>
  </si>
  <si>
    <t>CRA 11 # 22 - 07</t>
  </si>
  <si>
    <t>romanmileider@gmail.com</t>
  </si>
  <si>
    <t>ELIZABETH GIRALDO OSORIO</t>
  </si>
  <si>
    <t>GENO 176</t>
  </si>
  <si>
    <t>CALLE 20 # 12 - 12</t>
  </si>
  <si>
    <t>eligios66@hotmail.com</t>
  </si>
  <si>
    <t>CESAR AUGUSTO ALFONZO GARAY</t>
  </si>
  <si>
    <t>GENO 198</t>
  </si>
  <si>
    <t>CRA 12 # 32 - 41</t>
  </si>
  <si>
    <t>cealgay1960@gmail.com</t>
  </si>
  <si>
    <t>MAYRA ALEJANDRA RODRIGUEZ GARAY</t>
  </si>
  <si>
    <t>GENO 21</t>
  </si>
  <si>
    <t>CASA 3</t>
  </si>
  <si>
    <t>PLAYA HERRERA</t>
  </si>
  <si>
    <t>BELLANIRA BOLIVAR BLANDON</t>
  </si>
  <si>
    <t>GENO 177</t>
  </si>
  <si>
    <t>AMARRA 113</t>
  </si>
  <si>
    <t>CALLE 23 # 13 - 34</t>
  </si>
  <si>
    <t>beboblan1899@hotmail.com</t>
  </si>
  <si>
    <t>ALEJANDRA OVIEDO</t>
  </si>
  <si>
    <t>GENO 18</t>
  </si>
  <si>
    <t>MAZ 2 CASA 5</t>
  </si>
  <si>
    <t>mariangelbella8@gmail.com</t>
  </si>
  <si>
    <t xml:space="preserve">CLAUDIA MILENA BARRERA </t>
  </si>
  <si>
    <t>GENO 152</t>
  </si>
  <si>
    <t>CRA 13 # 20 - 04</t>
  </si>
  <si>
    <t>cmilebr19@gmail.com</t>
  </si>
  <si>
    <t>OMAR MONCADA GARCIA</t>
  </si>
  <si>
    <t>GENO 77</t>
  </si>
  <si>
    <t>MANZ 4 CASA 10</t>
  </si>
  <si>
    <t>garciaog4282223@gmail.com</t>
  </si>
  <si>
    <t>YORLADI CASTILLO CLAVIJO</t>
  </si>
  <si>
    <t>GENO 112</t>
  </si>
  <si>
    <t>MANZ C - CASA 1</t>
  </si>
  <si>
    <t>yorladycascla@gmail.com</t>
  </si>
  <si>
    <t>NATALIA GIRALDO GOMEZ</t>
  </si>
  <si>
    <t>GENO 182</t>
  </si>
  <si>
    <t>CRA 12 # 32 - 15</t>
  </si>
  <si>
    <t>natalia.giraldo@hotmail.com</t>
  </si>
  <si>
    <t>YEIMI POLANIA MARTINEZ</t>
  </si>
  <si>
    <t>GENO 183</t>
  </si>
  <si>
    <t>AMARRA 514</t>
  </si>
  <si>
    <t xml:space="preserve">CRA 12 - 16 ESQUINA </t>
  </si>
  <si>
    <t>yeimy.polania25@gmail.com</t>
  </si>
  <si>
    <t>JESSICA PAOLA GARCIA FLOREZ</t>
  </si>
  <si>
    <t>GENO 63</t>
  </si>
  <si>
    <t>MANZ 1 CASA 5</t>
  </si>
  <si>
    <t>edison.a.rojas.b@gmail.com</t>
  </si>
  <si>
    <t>DARWIN SANCHEZ BELLO</t>
  </si>
  <si>
    <t>GENO 105</t>
  </si>
  <si>
    <t>CALLE 21 # 12 - 38</t>
  </si>
  <si>
    <t>SALIDA AL DORADO</t>
  </si>
  <si>
    <t>Danchezb87@gmail.com</t>
  </si>
  <si>
    <t>JHOHANY ALBERTO GONZALEZ</t>
  </si>
  <si>
    <t>GENO 101</t>
  </si>
  <si>
    <t>CALLE 20 # 12 - 58</t>
  </si>
  <si>
    <t>viviandrea112@gmail.com</t>
  </si>
  <si>
    <t>LUZ MARY TELLEZ GUTIERREZ</t>
  </si>
  <si>
    <t>GENO 60</t>
  </si>
  <si>
    <t>CRA 29 # 8 - 03 RIO GRIS</t>
  </si>
  <si>
    <t>mafe53009@gmail.com</t>
  </si>
  <si>
    <t>DARYERY GARZON GUTIERREZ</t>
  </si>
  <si>
    <t>GENO 110</t>
  </si>
  <si>
    <t>CRA 13 # 18 -46</t>
  </si>
  <si>
    <t>LUZ EDTH MIRA MARIN</t>
  </si>
  <si>
    <t>GENO 120</t>
  </si>
  <si>
    <t>MANZ A CASA 6 PISO 2</t>
  </si>
  <si>
    <t>luz.edith1205@gmail.com</t>
  </si>
  <si>
    <t>MARIA JOSE GONZALEZ</t>
  </si>
  <si>
    <t>GENO 206</t>
  </si>
  <si>
    <t>CALLE 27 # 12 - 47</t>
  </si>
  <si>
    <t>gonzalezmariajose8967@gmail.com</t>
  </si>
  <si>
    <t>HELMUT ANDRES QUIROZ</t>
  </si>
  <si>
    <t>GENO 185</t>
  </si>
  <si>
    <t>AMARRA 805</t>
  </si>
  <si>
    <t>MAZ 1 CASA 17</t>
  </si>
  <si>
    <t>NUEVA ESPERANZ</t>
  </si>
  <si>
    <t>samantacastro595@gmail.com</t>
  </si>
  <si>
    <t xml:space="preserve">VIVIAN AGUILERA </t>
  </si>
  <si>
    <t>GENO 207</t>
  </si>
  <si>
    <t>FINCA LETICIA</t>
  </si>
  <si>
    <t>ENTRADA GENOVA</t>
  </si>
  <si>
    <t>vivianaguilera1300@hotmail.com</t>
  </si>
  <si>
    <t>DORA LEILA BAQUERO ROA</t>
  </si>
  <si>
    <t>GENO 174</t>
  </si>
  <si>
    <t>CRA 12 # 20 - 23</t>
  </si>
  <si>
    <t>LUCEYI DIAZ BAQUERO</t>
  </si>
  <si>
    <t>GENO 190</t>
  </si>
  <si>
    <t>MAZ E # 6</t>
  </si>
  <si>
    <t>GENO 72</t>
  </si>
  <si>
    <t>CRA 12 21 05</t>
  </si>
  <si>
    <t>CNTRO</t>
  </si>
  <si>
    <t>DIEGO ALEJANDRO MARIN</t>
  </si>
  <si>
    <t>GENO 208</t>
  </si>
  <si>
    <t>CRA 11 # 34 - 168</t>
  </si>
  <si>
    <t>marindiego048@gmail.com</t>
  </si>
  <si>
    <t>ROSA MARIA URREGO CANO</t>
  </si>
  <si>
    <t>GENO 194</t>
  </si>
  <si>
    <t>CALLE 20 # 12-52</t>
  </si>
  <si>
    <t>luciacano7@hotmail.com</t>
  </si>
  <si>
    <t>BERTHA ELISA AGUILERA CUENCA</t>
  </si>
  <si>
    <t>GENO 213</t>
  </si>
  <si>
    <t>CRA 11 # 19 ESQ</t>
  </si>
  <si>
    <t>eli.eliaguilera@gmail.com</t>
  </si>
  <si>
    <t>YENNY VIVIANA OROZCO OSORIO</t>
  </si>
  <si>
    <t>GENO 181</t>
  </si>
  <si>
    <t>CALLE 26A # 11  11</t>
  </si>
  <si>
    <t>yo4470347@gmail.com</t>
  </si>
  <si>
    <t>BAUNER VIDAL OTERO</t>
  </si>
  <si>
    <t>3206243888 - 3212174253</t>
  </si>
  <si>
    <t>GENO 196</t>
  </si>
  <si>
    <t>CRA 10 # 17 - 30</t>
  </si>
  <si>
    <t>vidalbauner19@gmail.com</t>
  </si>
  <si>
    <t>CALLE 25 # 12 30</t>
  </si>
  <si>
    <t>frallyvasquez@gmail.com</t>
  </si>
  <si>
    <t>GENO 225</t>
  </si>
  <si>
    <t>MAN 1 CASA 11</t>
  </si>
  <si>
    <t xml:space="preserve">DORA ALVAREZ CASTRO </t>
  </si>
  <si>
    <t>3128578051 - 3135420488</t>
  </si>
  <si>
    <t>GENO 27</t>
  </si>
  <si>
    <t xml:space="preserve">BARRIO 20 DE JULIO  </t>
  </si>
  <si>
    <t>andresfeliperojasalvarez3440@gmail.com</t>
  </si>
  <si>
    <t>ANGELICA MARIA MARTINEZ SALAZAR</t>
  </si>
  <si>
    <t>GENO 199</t>
  </si>
  <si>
    <t>CALLE 31 # 9 -86</t>
  </si>
  <si>
    <t>angelicanartinezam2019@gmail.com</t>
  </si>
  <si>
    <t>KAREN LISETH LOAIZA GIRALDO</t>
  </si>
  <si>
    <t>GENO 186</t>
  </si>
  <si>
    <t>AMARRA 575</t>
  </si>
  <si>
    <t>CRA 11 34 17</t>
  </si>
  <si>
    <t>kliseth_17@hotmail.com</t>
  </si>
  <si>
    <t>MONICA ALEXANDRA HENAO LONDOÑO</t>
  </si>
  <si>
    <t>GENO 201</t>
  </si>
  <si>
    <t>CALLE 23 # 14 - 03</t>
  </si>
  <si>
    <t>MARIA AURORA MORCILLO CHILATRA</t>
  </si>
  <si>
    <t>GENO 202</t>
  </si>
  <si>
    <t>CALLE 23 # 9-05</t>
  </si>
  <si>
    <t>mariadaney@hotmail.com</t>
  </si>
  <si>
    <t>CARLOS JULIO SANCHEZ GAONA</t>
  </si>
  <si>
    <t>GENO 210</t>
  </si>
  <si>
    <t>AMARRA 506</t>
  </si>
  <si>
    <t>CASA 11</t>
  </si>
  <si>
    <t>PAULA ANDREA OSORIO PIÑEROS</t>
  </si>
  <si>
    <t>3204809705 - 3135295467</t>
  </si>
  <si>
    <t>GENO 205</t>
  </si>
  <si>
    <t>AMARRA 383</t>
  </si>
  <si>
    <t xml:space="preserve">MAZ C CASA 1 PISO 1 </t>
  </si>
  <si>
    <t>paulaos92@hotmail.com</t>
  </si>
  <si>
    <t>YHON FREDY DIAZ DUSSAN</t>
  </si>
  <si>
    <t>GENO 209</t>
  </si>
  <si>
    <t>CRA 13 # 26 - 19</t>
  </si>
  <si>
    <t>asoemgenovqña@gmail.com</t>
  </si>
  <si>
    <t>EVERARDO ANTONIO AMELINES MUÑOZ</t>
  </si>
  <si>
    <t>GENO 211</t>
  </si>
  <si>
    <t>CRA 10 # 18 - 19</t>
  </si>
  <si>
    <t>PLAZUELA</t>
  </si>
  <si>
    <t>anna060885@hotmail.com</t>
  </si>
  <si>
    <t>SADADT DAVID GRISALES ESCOBAR</t>
  </si>
  <si>
    <t>3157028503 - 3105001006</t>
  </si>
  <si>
    <t>GENO 214</t>
  </si>
  <si>
    <t>CRA 12 # 18 - 30</t>
  </si>
  <si>
    <t>sadatdavidgrisales@gmail.com</t>
  </si>
  <si>
    <t>DORA ALICIA BAQUIRO BETANCURTH</t>
  </si>
  <si>
    <t>GENO 242</t>
  </si>
  <si>
    <t>BLOQUE 4 APT 402</t>
  </si>
  <si>
    <t>dora.vakiro.b@gmail.com</t>
  </si>
  <si>
    <t>JOSE DE JESUS MORALES CORREA</t>
  </si>
  <si>
    <t>3218385872 - 3233329614</t>
  </si>
  <si>
    <t>GENO 178</t>
  </si>
  <si>
    <t>CRA 12 # 22- 12</t>
  </si>
  <si>
    <t>josemoralescorrea97@gmail.com</t>
  </si>
  <si>
    <t>GENO 218</t>
  </si>
  <si>
    <t>BLOQUE 1 APT 503</t>
  </si>
  <si>
    <t>trejosgeraldin3@gmail.com</t>
  </si>
  <si>
    <t>JHON ALEXANDER GIRALDO BUSTOS</t>
  </si>
  <si>
    <t>GENO 219</t>
  </si>
  <si>
    <t>CRA 10 # 23 - 24</t>
  </si>
  <si>
    <t>samuelithogutierrez@gmail.com</t>
  </si>
  <si>
    <t>JESUS ARCANGEL BERDUGO</t>
  </si>
  <si>
    <t>3182318391 - 3113171568</t>
  </si>
  <si>
    <t>GENO 22</t>
  </si>
  <si>
    <t>AMARRA 448</t>
  </si>
  <si>
    <t>CALLE 31 # 9 -74</t>
  </si>
  <si>
    <t>EL PORVENIR</t>
  </si>
  <si>
    <t>arcangelberdugo@gmail.com</t>
  </si>
  <si>
    <t>&lt;&lt;&lt;&lt;</t>
  </si>
  <si>
    <t>LUZ MIREYA BUSTOS</t>
  </si>
  <si>
    <t>GENO 221</t>
  </si>
  <si>
    <t>AMARRA 235</t>
  </si>
  <si>
    <t>CRA 12 CALLE 20 # 12 - 55</t>
  </si>
  <si>
    <t>jhonalexandergiraldobustos@gmail.com</t>
  </si>
  <si>
    <t>SUSANA MURCIA</t>
  </si>
  <si>
    <t>3173222820 - 3218115590</t>
  </si>
  <si>
    <t>GENO 223</t>
  </si>
  <si>
    <t>CALLE 25 13 - 34</t>
  </si>
  <si>
    <t>gloriamurc999@yahoo.com</t>
  </si>
  <si>
    <t>JOSE ANDRES ROSERO SANDOVAL</t>
  </si>
  <si>
    <t>GENO 222</t>
  </si>
  <si>
    <t>AMARRA 430</t>
  </si>
  <si>
    <t>ETAPA 2 MANZ 3 CASA 19</t>
  </si>
  <si>
    <t>slp.rosero10755724@gmail.com</t>
  </si>
  <si>
    <t>CARLINA ARANGO MUÑOS</t>
  </si>
  <si>
    <t>3137462693 - 3146727163</t>
  </si>
  <si>
    <t>GENO 224</t>
  </si>
  <si>
    <t>AMARRA 279</t>
  </si>
  <si>
    <t>CRA 13 # 26 - 34</t>
  </si>
  <si>
    <t>MORROSECO CENTRO</t>
  </si>
  <si>
    <t>mariaeugeniamarin653@gmail.com</t>
  </si>
  <si>
    <t>OLGA MARIA GARAY ROA</t>
  </si>
  <si>
    <t>GENO 253</t>
  </si>
  <si>
    <t>CRA 12 # 21 - 26</t>
  </si>
  <si>
    <t>olguitaroa23@gmail.com</t>
  </si>
  <si>
    <t>JOSE GERMAN MAHECHA VALENCIA</t>
  </si>
  <si>
    <t>GENO 255</t>
  </si>
  <si>
    <t>AMARRA 229</t>
  </si>
  <si>
    <t>CALLE 26 # 8 -10</t>
  </si>
  <si>
    <t>jose-ger-man@hotmail.com</t>
  </si>
  <si>
    <t>ORLANDO MENDEZ</t>
  </si>
  <si>
    <t>GENO 41</t>
  </si>
  <si>
    <t>MAZ 3 CASA 15 PISO 1</t>
  </si>
  <si>
    <t>DIANA MARIA SOTO</t>
  </si>
  <si>
    <t>GENO 228</t>
  </si>
  <si>
    <t>BLOQUE 4 PAT 101</t>
  </si>
  <si>
    <t>juradomaye517@gmail.com</t>
  </si>
  <si>
    <t>JOHAN ESTIBEN SEPULVEDA GUTIERREZ</t>
  </si>
  <si>
    <t>GENO 231</t>
  </si>
  <si>
    <t>AMARRA 821</t>
  </si>
  <si>
    <t>CRA 10 # 25 - 63</t>
  </si>
  <si>
    <t>PANADERIA SAN JERONIMO</t>
  </si>
  <si>
    <t>johans.sepulvedag@uqvirtual.edu.co</t>
  </si>
  <si>
    <t>NANCY SANCHEZ MORENO</t>
  </si>
  <si>
    <t>GENO 90</t>
  </si>
  <si>
    <t>AMARRA 825</t>
  </si>
  <si>
    <t>CRA 13 # 10 - 09</t>
  </si>
  <si>
    <t>nasamo09@hotmail.com</t>
  </si>
  <si>
    <t>KAREN NATALIA CARDONA GALVEZ</t>
  </si>
  <si>
    <t>GENO 233</t>
  </si>
  <si>
    <t>CRA 10 # 23 - 12</t>
  </si>
  <si>
    <t>kncardona2@gmail.com</t>
  </si>
  <si>
    <t>DANIEL FERLAIDER HENAO URREA</t>
  </si>
  <si>
    <t>GENO 234</t>
  </si>
  <si>
    <t>AMARRA 276</t>
  </si>
  <si>
    <t>MANZ 1 CASA 16</t>
  </si>
  <si>
    <t>danielhenao1234567@gmail.com</t>
  </si>
  <si>
    <t>OLIMPO RICARDO CORDOBA MOSQUERA</t>
  </si>
  <si>
    <t>BLOQUE 2 APARTAMENTO 503</t>
  </si>
  <si>
    <t>GENO 52</t>
  </si>
  <si>
    <t>CALLE 19 # 19 - 0O8</t>
  </si>
  <si>
    <t>JAQUELINE RODRIGUEZ HURTADO</t>
  </si>
  <si>
    <t>3207672171 - 3128662595</t>
  </si>
  <si>
    <t>GENO 239</t>
  </si>
  <si>
    <t>CRA 12 # 12 - 18</t>
  </si>
  <si>
    <t>jacke.mol@hmail.com</t>
  </si>
  <si>
    <t>ANDREA JHOHANA RINCON BARCO</t>
  </si>
  <si>
    <t>GENO 24</t>
  </si>
  <si>
    <t>MAZ B CASA 4</t>
  </si>
  <si>
    <t>PAGA VIERNES O SABADO</t>
  </si>
  <si>
    <t>DANIELA VARGAS RIOS</t>
  </si>
  <si>
    <t>GENO 244</t>
  </si>
  <si>
    <t>AMARRA 249</t>
  </si>
  <si>
    <t>MANZ C CASA 1</t>
  </si>
  <si>
    <t>dani8642468@gmail.com</t>
  </si>
  <si>
    <t>LUZ ADRIANA RINCON</t>
  </si>
  <si>
    <t>GENO 170</t>
  </si>
  <si>
    <t>MANZ G CASA 4 PISO 1</t>
  </si>
  <si>
    <t>luzadrianarlopez@gmail.com</t>
  </si>
  <si>
    <t>PABLO ANTONIO GIL ROA</t>
  </si>
  <si>
    <t>GENO 227</t>
  </si>
  <si>
    <t>CRA 12 # 21 - 08</t>
  </si>
  <si>
    <t>pablito2575@hotmail.com</t>
  </si>
  <si>
    <t>M</t>
  </si>
  <si>
    <t>SAMIR TORRE BARRETO</t>
  </si>
  <si>
    <t>20 DE JULIO RIO GRIS</t>
  </si>
  <si>
    <t>CALLE 29 # 7 - 70</t>
  </si>
  <si>
    <t>sammytorrezbarreto@gmail.com</t>
  </si>
  <si>
    <t>SANDRA MILENA GAONA GUTIERREZ</t>
  </si>
  <si>
    <t>GENO 245</t>
  </si>
  <si>
    <t>BARRIO 20 DE JULIO 8 - 41</t>
  </si>
  <si>
    <t>rubiojuansebastian03@gmail.com</t>
  </si>
  <si>
    <t>GENO 263</t>
  </si>
  <si>
    <t>AMARRA 261</t>
  </si>
  <si>
    <t>CRA 11 CALLE 24 ESQ</t>
  </si>
  <si>
    <t xml:space="preserve">LINA MARIA LOPEZ RIOS </t>
  </si>
  <si>
    <t>ARP10.10.10.121</t>
  </si>
  <si>
    <t>NODO BARRAGAN</t>
  </si>
  <si>
    <t>20 Megas</t>
  </si>
  <si>
    <t>GENOVA RURAL</t>
  </si>
  <si>
    <t>FINCA EL BERGEL 2</t>
  </si>
  <si>
    <t>DIEGO FERNANDO GARCIA DUSSA</t>
  </si>
  <si>
    <t>GENO 248</t>
  </si>
  <si>
    <t>BLOQUE 2 APTO 505</t>
  </si>
  <si>
    <t>karollsofiagarcia67@gmail.com</t>
  </si>
  <si>
    <t>YANET ALEGRIA ORTEGA</t>
  </si>
  <si>
    <t>GENO 259</t>
  </si>
  <si>
    <t xml:space="preserve">CRA 12 # 16- 65 </t>
  </si>
  <si>
    <t>yulianagalindo980@gmail.com</t>
  </si>
  <si>
    <t>XIOMARA CATALINA ALFONSO CAMACHO</t>
  </si>
  <si>
    <t>GENO 249</t>
  </si>
  <si>
    <t>MANZ B CASA 6 ESQ</t>
  </si>
  <si>
    <t xml:space="preserve">ANA MILENA FRANCO GIRALDO </t>
  </si>
  <si>
    <t>GENO 129</t>
  </si>
  <si>
    <t>AMARRA 166</t>
  </si>
  <si>
    <t>CALLE 25 # 12 - 49</t>
  </si>
  <si>
    <t>ana.milena.franco.giraldo@gmail.com</t>
  </si>
  <si>
    <t>JORGE ELIECER RESTREPO</t>
  </si>
  <si>
    <t>GENO 268</t>
  </si>
  <si>
    <t>AMARRA 274</t>
  </si>
  <si>
    <t>CALLE 23 # 14 - 09</t>
  </si>
  <si>
    <t>restrepo91319@gmail.com</t>
  </si>
  <si>
    <t>INGRID CAROLINA OCAMPO GALLEGO</t>
  </si>
  <si>
    <t>3126017496 - 3225894291</t>
  </si>
  <si>
    <t>GENO 25</t>
  </si>
  <si>
    <t>AMARRA 818</t>
  </si>
  <si>
    <t>MZ 5 CASA 8</t>
  </si>
  <si>
    <t>ingridocampo61@gmail.com</t>
  </si>
  <si>
    <t>BRAHIAN ESTIBEN ESTUPIÑAN PERLAZA</t>
  </si>
  <si>
    <t>GENO 250</t>
  </si>
  <si>
    <t>20 MEGAS</t>
  </si>
  <si>
    <t>MANZ A BARRIO LA ISLA</t>
  </si>
  <si>
    <t>VILLA NUEVA</t>
  </si>
  <si>
    <t>brahianperlaza96@gmail.com</t>
  </si>
  <si>
    <t>KARINA ALEJANDRA ROMAN TORO</t>
  </si>
  <si>
    <t>GENO 251</t>
  </si>
  <si>
    <t>AMARRA 300</t>
  </si>
  <si>
    <t>ETAPA 1 CASSA 34</t>
  </si>
  <si>
    <t>karinaroman178@gmail.com</t>
  </si>
  <si>
    <t>EDGAR YATE OCTAVO</t>
  </si>
  <si>
    <t>3145670842 - 3127869707</t>
  </si>
  <si>
    <t>GENO 252</t>
  </si>
  <si>
    <t>AMARRA 405</t>
  </si>
  <si>
    <t>BLOQUE 1 APT 105</t>
  </si>
  <si>
    <t>ayate480@gmail.com</t>
  </si>
  <si>
    <t>DIANA CAROLINA CASTRILLON</t>
  </si>
  <si>
    <t>GENO 257</t>
  </si>
  <si>
    <t>CRA 11 # 35 - 02</t>
  </si>
  <si>
    <t>sofiagaray1983@gmail.com</t>
  </si>
  <si>
    <t>LUZ STELLA RODRIGUEZ ALVAREZ</t>
  </si>
  <si>
    <t>GENO 261</t>
  </si>
  <si>
    <t>CRA 12 # 17 - 02</t>
  </si>
  <si>
    <t>ESQUINA HOSPITAL 2DO PISO</t>
  </si>
  <si>
    <t>rluz00170@gmail.com</t>
  </si>
  <si>
    <t>DIANA LISETH GOMEZ GONZALEZ</t>
  </si>
  <si>
    <t>GENO 191</t>
  </si>
  <si>
    <t>CALLE 20 # 11 - 18</t>
  </si>
  <si>
    <t>dianalisethgomezgonzalez@gmail.com</t>
  </si>
  <si>
    <t>JESSICA ALEJANDRA ARIAS SALAZAR</t>
  </si>
  <si>
    <t>GENO 264</t>
  </si>
  <si>
    <t>AMARRA 264</t>
  </si>
  <si>
    <t xml:space="preserve">GENOVA   </t>
  </si>
  <si>
    <t>CRA 10 # 25 - 13</t>
  </si>
  <si>
    <t>ariasyessica63@gmail.com</t>
  </si>
  <si>
    <t>EDWIN TABORDA SANCHEZ</t>
  </si>
  <si>
    <t>GENO 265</t>
  </si>
  <si>
    <t>AMARRA 329</t>
  </si>
  <si>
    <t>CASA 10</t>
  </si>
  <si>
    <t>taborda1097@gmail.com</t>
  </si>
  <si>
    <t>HERNANDO MARIN PARDO</t>
  </si>
  <si>
    <t>GENO 269</t>
  </si>
  <si>
    <t>marinnandomarin2023@gmail.com</t>
  </si>
  <si>
    <t>LIBARDO OSORIO AGUDELO</t>
  </si>
  <si>
    <t>GENO 271</t>
  </si>
  <si>
    <t>AMARRA 285</t>
  </si>
  <si>
    <t xml:space="preserve">CRA 11 # 27 - 17 </t>
  </si>
  <si>
    <t>libardoosorio50@gmail.com</t>
  </si>
  <si>
    <t>3225420929 - 3233887945</t>
  </si>
  <si>
    <t>GENO 273</t>
  </si>
  <si>
    <t>AMARRA 436</t>
  </si>
  <si>
    <t>CRA 11 21 31</t>
  </si>
  <si>
    <t>JUAN CARLOS SOTO FRANCO</t>
  </si>
  <si>
    <t>GENO 274</t>
  </si>
  <si>
    <t>AMARRA 286</t>
  </si>
  <si>
    <t>CRA 12 # 28 - 08</t>
  </si>
  <si>
    <t>PASANDO EL PUENTE DE LA ISLA</t>
  </si>
  <si>
    <t>francojuancarlos2024.1978@gmail.com</t>
  </si>
  <si>
    <t>NELLIRET QUINTERO MIRA</t>
  </si>
  <si>
    <t>GENO 276</t>
  </si>
  <si>
    <t>CRA 11 # 24 - 60</t>
  </si>
  <si>
    <t>nellyredtrujillo77@gmail.com</t>
  </si>
  <si>
    <t>ANA LUCELY MARTINEZ GONZALEZ</t>
  </si>
  <si>
    <t>GENO 171</t>
  </si>
  <si>
    <t>AMARRA 291</t>
  </si>
  <si>
    <t>CALLE 24 # 11 - 25</t>
  </si>
  <si>
    <t>luci-2335@hotmail.com</t>
  </si>
  <si>
    <t>ANGEL MANUEL TANGARIFE RODRIGUEZ</t>
  </si>
  <si>
    <t>GENO 294</t>
  </si>
  <si>
    <t>AMARRA 294</t>
  </si>
  <si>
    <t>CALLE 31 # 9 - 26</t>
  </si>
  <si>
    <t>angelrodrigueztangarife@gmail.com</t>
  </si>
  <si>
    <t>PASTOR ANDRES MORALES</t>
  </si>
  <si>
    <t>GENO 291</t>
  </si>
  <si>
    <t>CRA 11 # 21 - 17</t>
  </si>
  <si>
    <t>lucy-2335@hotmail.com</t>
  </si>
  <si>
    <t>MARIA GLADYS PORTELA</t>
  </si>
  <si>
    <t>GENO 290</t>
  </si>
  <si>
    <t>AMARRA 511</t>
  </si>
  <si>
    <t>CRA 10 # 17 - 14</t>
  </si>
  <si>
    <t>LUISA FERNANDA ALVAREZ</t>
  </si>
  <si>
    <t>GENO 278</t>
  </si>
  <si>
    <t>AMARRA 406</t>
  </si>
  <si>
    <t>CRA 10 # 16 - 34</t>
  </si>
  <si>
    <t>lg7909686@gmail.com</t>
  </si>
  <si>
    <t>JESSICA GUTIERREZ GIARLDO</t>
  </si>
  <si>
    <t>GENO 281</t>
  </si>
  <si>
    <t>CRA 11 # 22 -14</t>
  </si>
  <si>
    <t>jessi_k-0623@hotmail.com</t>
  </si>
  <si>
    <t>APAGADO</t>
  </si>
  <si>
    <t xml:space="preserve">CLAUDIA PATRICIA CERON VALENZUELA </t>
  </si>
  <si>
    <t>GENO 279</t>
  </si>
  <si>
    <t>MANZ 2 CASA 36</t>
  </si>
  <si>
    <t>LUIS ANDRES VALENZUELA</t>
  </si>
  <si>
    <t>GENO 298</t>
  </si>
  <si>
    <t>CRA 11 # 34 - 89 CASA 2</t>
  </si>
  <si>
    <t>yurybueno1103@gmail.com</t>
  </si>
  <si>
    <t>LUZ ELENA HERNANDEZ</t>
  </si>
  <si>
    <t>GENO 300</t>
  </si>
  <si>
    <t>CRA 11 # 21 - 19</t>
  </si>
  <si>
    <t>BERMY GRISALES ESPINOSA</t>
  </si>
  <si>
    <t>GENO 238</t>
  </si>
  <si>
    <t>CRA 14 # 26 - 02</t>
  </si>
  <si>
    <t>bermygrisalese@gmail.com</t>
  </si>
  <si>
    <t>ANDERSON VILLA TELLEZ</t>
  </si>
  <si>
    <t>GENO 280</t>
  </si>
  <si>
    <t>AMARRA 817</t>
  </si>
  <si>
    <t xml:space="preserve">MANZ C CASA 3 </t>
  </si>
  <si>
    <t>andersonvillatallez@gmail.com</t>
  </si>
  <si>
    <t>MARIA TERESA CASTRO OSORIO</t>
  </si>
  <si>
    <t>GENO 305</t>
  </si>
  <si>
    <t>CALLE 29 # 9 - 02</t>
  </si>
  <si>
    <t>jhonfredy4313@gmail.com</t>
  </si>
  <si>
    <t>ANDREA LORENA RENDON SANCHEZ</t>
  </si>
  <si>
    <t>3104516168 - 3216168217</t>
  </si>
  <si>
    <t>GENO 285</t>
  </si>
  <si>
    <t>AMARRA 288</t>
  </si>
  <si>
    <t>CRA 12 A # 32 - 24</t>
  </si>
  <si>
    <t>ATRÁS DEL INSTITUTO</t>
  </si>
  <si>
    <t>heberflorez4@gmail.com</t>
  </si>
  <si>
    <t>JOSE IVAN AGUDELO VALENCIA</t>
  </si>
  <si>
    <t>GENO 308</t>
  </si>
  <si>
    <t>AMARRA 305</t>
  </si>
  <si>
    <t>CRA 12 # 12 - 24</t>
  </si>
  <si>
    <t>agudelov@gmail.com</t>
  </si>
  <si>
    <t>BEATRIZ OSPINA PINZON</t>
  </si>
  <si>
    <t>GENO 309</t>
  </si>
  <si>
    <t>AMARRA 366</t>
  </si>
  <si>
    <t xml:space="preserve">CALLE 25 A # 13 - 14 </t>
  </si>
  <si>
    <t>beatriz2018ospina@gmail.com</t>
  </si>
  <si>
    <t>ALBA LEONOR IMBACHI LLANOS</t>
  </si>
  <si>
    <t>GENO 312</t>
  </si>
  <si>
    <t>AMARRA 309</t>
  </si>
  <si>
    <t>CRA 13 # 25 - 78</t>
  </si>
  <si>
    <t>leonoralba1986@gmail.com</t>
  </si>
  <si>
    <t>FUERA DE SERVICIO</t>
  </si>
  <si>
    <t>LUZ DOLLY RODRIGUEZ JIMENEZ</t>
  </si>
  <si>
    <t>GENO 286</t>
  </si>
  <si>
    <t>CRA 12 # 32 - 13</t>
  </si>
  <si>
    <t>FRENTE CANCHAS FUTBOL</t>
  </si>
  <si>
    <t>rjessicaalejandra691@gmail.com</t>
  </si>
  <si>
    <t>GENO 287</t>
  </si>
  <si>
    <t>CRA 12 # 19 - 05</t>
  </si>
  <si>
    <t>DEISY GARCIA PARRA</t>
  </si>
  <si>
    <t>GENO 216</t>
  </si>
  <si>
    <t>CRA 11 # 31 - 14 PISO 1</t>
  </si>
  <si>
    <t>deisygarciaparra932@gmail.com</t>
  </si>
  <si>
    <t>SOTERO CAÑAS MARTINEZ</t>
  </si>
  <si>
    <t>3207587943 - 3054318411</t>
  </si>
  <si>
    <t>GENO 322</t>
  </si>
  <si>
    <t>AMRRA 834</t>
  </si>
  <si>
    <t>CRA 11 # 31 - 14</t>
  </si>
  <si>
    <t>sacama0305@gmail.com</t>
  </si>
  <si>
    <t>EULALIA DEL PILAR ENRIQUEZ PATIÑO</t>
  </si>
  <si>
    <t>GENO 29</t>
  </si>
  <si>
    <t>MZ B # 6</t>
  </si>
  <si>
    <t>eulaliadelpilare@gmail.com</t>
  </si>
  <si>
    <t>MARIA CRISTINA BEDOYA CASTRILLON</t>
  </si>
  <si>
    <t>3206815371 - 3232005340</t>
  </si>
  <si>
    <t>GENO 267</t>
  </si>
  <si>
    <t>AMARRA 815</t>
  </si>
  <si>
    <t>CRA 13 # CALLE 16 CASA 2</t>
  </si>
  <si>
    <t>edilbertooviedo123@gmail.com</t>
  </si>
  <si>
    <t>VALENTINA OSPINA MEJIA</t>
  </si>
  <si>
    <t>GENO 317</t>
  </si>
  <si>
    <t>AMARRA 504</t>
  </si>
  <si>
    <t>MANZ B CASA 6 PISO 2</t>
  </si>
  <si>
    <t>ospinamejiav@gmail.com</t>
  </si>
  <si>
    <t>JUAN JOSE MARIN ALVAREZ</t>
  </si>
  <si>
    <t>GENO 296</t>
  </si>
  <si>
    <t>CALLE 15 A # 10 - 09</t>
  </si>
  <si>
    <t>juanjmaria06@gmail.com</t>
  </si>
  <si>
    <t>MARIA VERONICA RINCON ZAPATA</t>
  </si>
  <si>
    <t>3145713511 - 3233719353</t>
  </si>
  <si>
    <t>GENO 236</t>
  </si>
  <si>
    <t>CALLE 29 # 5 - 22</t>
  </si>
  <si>
    <t>mariavrz2019@gmail.com</t>
  </si>
  <si>
    <t>MARIA PATRICIA GONZALEZ</t>
  </si>
  <si>
    <t>3147307682 - 3214563800</t>
  </si>
  <si>
    <t>GENO 325</t>
  </si>
  <si>
    <t>AMARRA 477</t>
  </si>
  <si>
    <t>ETAPA 2 MAN 3 CASA 21</t>
  </si>
  <si>
    <t>pato1969880.@hotmail.com</t>
  </si>
  <si>
    <t>MARIA MARGARITA ABRIL</t>
  </si>
  <si>
    <t>GENO 328</t>
  </si>
  <si>
    <t>MAN A CASA 7</t>
  </si>
  <si>
    <t>margaritaabril513@gmail.com</t>
  </si>
  <si>
    <t>NELLY LILIANA HERRERA LADINO</t>
  </si>
  <si>
    <t>AMARRA 333</t>
  </si>
  <si>
    <t>CRA 10 # 15 - 03</t>
  </si>
  <si>
    <t>nellylilianah@gmail.com</t>
  </si>
  <si>
    <t>MARIA EUGENIA CUBILLOS GONZALEZ</t>
  </si>
  <si>
    <t>GENO 297</t>
  </si>
  <si>
    <t>cubillosmaria30@gmail.com</t>
  </si>
  <si>
    <t>NELSY ISABEL BENITES ABRIL</t>
  </si>
  <si>
    <t>3134903120 - 3126747390</t>
  </si>
  <si>
    <t>GENO 332</t>
  </si>
  <si>
    <t>AMARRA 336</t>
  </si>
  <si>
    <t>ETAPA 2 CASA 6</t>
  </si>
  <si>
    <t>nelsyisabelbenitezabril@gmail.com</t>
  </si>
  <si>
    <t>ESTID GUTIERREZ</t>
  </si>
  <si>
    <t>GENO 30</t>
  </si>
  <si>
    <t>CRA 11 CALLE 29 ESQU AGROINSUMOS</t>
  </si>
  <si>
    <t>FABIO ISMAEL ORTIZ GONZALEZ</t>
  </si>
  <si>
    <t>GENO 132</t>
  </si>
  <si>
    <t>AMARRA 314</t>
  </si>
  <si>
    <t>CALLE 29 # 9 - 01</t>
  </si>
  <si>
    <t>favioortiz4014@gmail.com</t>
  </si>
  <si>
    <t>JORGE ALBERTO DAZA CAMACHO</t>
  </si>
  <si>
    <t>3126976018 - 3218280851</t>
  </si>
  <si>
    <t>GENO 302</t>
  </si>
  <si>
    <t>AMARRA 386</t>
  </si>
  <si>
    <t>MANZ 1 CASA 2</t>
  </si>
  <si>
    <t>isabelmartha1998@gmail.com</t>
  </si>
  <si>
    <t>ROSA MARIA MORALES TORREZ</t>
  </si>
  <si>
    <t>GENO 337</t>
  </si>
  <si>
    <t>AMARRA 349</t>
  </si>
  <si>
    <t xml:space="preserve">MANZ 1 CASA 7 </t>
  </si>
  <si>
    <t>moralestorrezrosamaria@gmail.com</t>
  </si>
  <si>
    <t>JENIFER ALEXANDRA CARDONA ALFONSO</t>
  </si>
  <si>
    <t>3108938833 - 3116651721</t>
  </si>
  <si>
    <t>GENO 303</t>
  </si>
  <si>
    <t>AMARRA 400</t>
  </si>
  <si>
    <t>NUEVA ESPERANZA PISO 2</t>
  </si>
  <si>
    <t>jenniferalexandracardonaalfonzo@gmail.com</t>
  </si>
  <si>
    <t>MARIA JHOJANA RAMIREZ CASTRO</t>
  </si>
  <si>
    <t>3136366703 - 3146143792</t>
  </si>
  <si>
    <t>GENO 134</t>
  </si>
  <si>
    <t>AMARRA 351</t>
  </si>
  <si>
    <t>ETAPA 2 CASA 13</t>
  </si>
  <si>
    <t>mariayojanarodriguezcastro@gmail.com</t>
  </si>
  <si>
    <t>JOHANA GONZALEZ LOPEZ</t>
  </si>
  <si>
    <t>GENO 243</t>
  </si>
  <si>
    <t>AMARRA 353</t>
  </si>
  <si>
    <t xml:space="preserve">ETAPA 2 CASA 2 </t>
  </si>
  <si>
    <t>joha30259@gmail.com</t>
  </si>
  <si>
    <t>ELVIA YUDAY LOPEZ GONZALEZ</t>
  </si>
  <si>
    <t>GENO 339</t>
  </si>
  <si>
    <t>AMARRA 354</t>
  </si>
  <si>
    <t>CRA 13 # 25 - 36</t>
  </si>
  <si>
    <t>yuday03262018@gmail.com</t>
  </si>
  <si>
    <t>SANDRA MILENA GODOY</t>
  </si>
  <si>
    <t>GENO 307</t>
  </si>
  <si>
    <t>AMARRA 304</t>
  </si>
  <si>
    <t>CRA 12 # 18 - 06</t>
  </si>
  <si>
    <t>ALAMOS PISO 2</t>
  </si>
  <si>
    <t>sandramgh318@gmail.com</t>
  </si>
  <si>
    <t>TERESA HERNANDEZ MARTINEZ</t>
  </si>
  <si>
    <t>GENO 314</t>
  </si>
  <si>
    <t>AMARRA 311</t>
  </si>
  <si>
    <t>CAR 11 # 33 - 45</t>
  </si>
  <si>
    <t>teresitahernandez1361@gmail.com</t>
  </si>
  <si>
    <t>BLANCA ALICIA ARCILA</t>
  </si>
  <si>
    <t>3205466262 - 3148705309</t>
  </si>
  <si>
    <t>GENO 350</t>
  </si>
  <si>
    <t>AMARRA 367</t>
  </si>
  <si>
    <t xml:space="preserve">CRA 13 # 18 - 68 </t>
  </si>
  <si>
    <t>aliciaarcas2017@gmail.com</t>
  </si>
  <si>
    <t>OSCAR TOVAR SANCHEZ</t>
  </si>
  <si>
    <t>3207052794 - 3128472499</t>
  </si>
  <si>
    <t>GENO 318</t>
  </si>
  <si>
    <t>AMARRA 317</t>
  </si>
  <si>
    <t>CRA 12 # 17 - 30</t>
  </si>
  <si>
    <t>roseliatovar123@gmail.com</t>
  </si>
  <si>
    <t>VIVE DIGITAL</t>
  </si>
  <si>
    <t>GENO 102</t>
  </si>
  <si>
    <t>AMARRA 380</t>
  </si>
  <si>
    <t>VIVE DIGITAÑ</t>
  </si>
  <si>
    <t>VICTIMAS</t>
  </si>
  <si>
    <t>CALLE 25 # 12 - 30</t>
  </si>
  <si>
    <t>MARIA FERNANDA DURANGO ARIAS</t>
  </si>
  <si>
    <t>3137811792 - 3135805434</t>
  </si>
  <si>
    <t xml:space="preserve">GENO 282 </t>
  </si>
  <si>
    <t>AMARRA 384</t>
  </si>
  <si>
    <t>BLOQUE 2 APTO 402 PISO 4</t>
  </si>
  <si>
    <t>correaalvarezgloriaisabel@gmail.com</t>
  </si>
  <si>
    <t>DANIELA PINEDA LOPEZ</t>
  </si>
  <si>
    <t>3148130476 - 3127949104</t>
  </si>
  <si>
    <t>GENO 356</t>
  </si>
  <si>
    <t>AMARRA 375</t>
  </si>
  <si>
    <t>CRA 13 # 18 - 12 - 50</t>
  </si>
  <si>
    <t>ESQUINA TESTIGO DE JEHOVA</t>
  </si>
  <si>
    <t>pinedalopezdaniela3@gmail.com</t>
  </si>
  <si>
    <t>ANGIE PAOLA GARCIA CARDONA</t>
  </si>
  <si>
    <t>3207281924 - 3106528108</t>
  </si>
  <si>
    <t>GENO 358</t>
  </si>
  <si>
    <t>AMARRA 374</t>
  </si>
  <si>
    <t>CRA 11 CALLE 22 ESQ</t>
  </si>
  <si>
    <t>angie87garcia7@gmail.com</t>
  </si>
  <si>
    <t>LUZ MARINA CORTEZ CANO</t>
  </si>
  <si>
    <t>3147732156 - 3148686167</t>
  </si>
  <si>
    <t>GENO 359</t>
  </si>
  <si>
    <t>AMARRA 372</t>
  </si>
  <si>
    <t>CRA 11 # 28 - 07</t>
  </si>
  <si>
    <t>luzmarinacortez@gmail.com</t>
  </si>
  <si>
    <t>NESTOR JAIME BAQUERO RAMOS</t>
  </si>
  <si>
    <t>3133625209 - 3106341625</t>
  </si>
  <si>
    <t>GENO 200</t>
  </si>
  <si>
    <t>AMARRA 370</t>
  </si>
  <si>
    <t>CRA 12 # 15 - 57</t>
  </si>
  <si>
    <t>nestorjaimebaqueroramos147@gmail.com</t>
  </si>
  <si>
    <t xml:space="preserve">JESSICA VIVIANA LONDOÑO </t>
  </si>
  <si>
    <t>GENO 323</t>
  </si>
  <si>
    <t>AMARRA 833</t>
  </si>
  <si>
    <t>SALIDA DORADA CENTRO</t>
  </si>
  <si>
    <t>MAURICIO VALENCIA ECHEVERRY</t>
  </si>
  <si>
    <t>GENO 361</t>
  </si>
  <si>
    <t>CRA 11 # 34 - 89</t>
  </si>
  <si>
    <t>CASA 2 LA PLAYA</t>
  </si>
  <si>
    <t>valenciamao@gmail.com</t>
  </si>
  <si>
    <t>MARIA TERESA FRANCO CEBALLOS</t>
  </si>
  <si>
    <t>GENO 363</t>
  </si>
  <si>
    <t>AMARRA 033</t>
  </si>
  <si>
    <t>CALLE 26 # 13 - 13</t>
  </si>
  <si>
    <t>mariatf@gmail.com</t>
  </si>
  <si>
    <t>ANYI NATALIA AVELLANEDA TOVAR</t>
  </si>
  <si>
    <t>3237456286 - 3104581842</t>
  </si>
  <si>
    <t>AMARRA 393</t>
  </si>
  <si>
    <t>CRA 10 # 16 - 05</t>
  </si>
  <si>
    <t>avellanedanatalia72@gmail.com</t>
  </si>
  <si>
    <t>SIGIFREDO CAÑAS PINEDA</t>
  </si>
  <si>
    <t>3134125014 - 3223962475</t>
  </si>
  <si>
    <t>GENO 143</t>
  </si>
  <si>
    <t>AMARRA 544</t>
  </si>
  <si>
    <t>MAZ A CASA 6</t>
  </si>
  <si>
    <t>farfan2006@gmail.com</t>
  </si>
  <si>
    <t xml:space="preserve">WILDER ALEJANDRO RODRIGUEZ CLAVIJO </t>
  </si>
  <si>
    <t>3205140568 - 3234454928</t>
  </si>
  <si>
    <t>GENO 1</t>
  </si>
  <si>
    <t>AMRRA 402</t>
  </si>
  <si>
    <t>ETAPA 1 CASA 32</t>
  </si>
  <si>
    <t>clavijoagudeloruthmery@gmail.com</t>
  </si>
  <si>
    <t>NUBIA SOLEY LADINO LINARES</t>
  </si>
  <si>
    <t>GENO 329</t>
  </si>
  <si>
    <t xml:space="preserve">ETAPA 1 CASA 10 </t>
  </si>
  <si>
    <t>nladinolinares313@gmail.com</t>
  </si>
  <si>
    <t>MONICA LILIANA DIAZ VANEGAS</t>
  </si>
  <si>
    <t>3137125024 - 3135698247</t>
  </si>
  <si>
    <t>GENO 331</t>
  </si>
  <si>
    <t>AMARRA 492</t>
  </si>
  <si>
    <t>CRA 13  # 26 - 19</t>
  </si>
  <si>
    <t>manuelaasrias07@gmail.com</t>
  </si>
  <si>
    <t xml:space="preserve">ESTA POR FUERA </t>
  </si>
  <si>
    <t xml:space="preserve">ROSALBA SANCHEZ </t>
  </si>
  <si>
    <t>3175412067 - 3168164998</t>
  </si>
  <si>
    <t>GENO 334</t>
  </si>
  <si>
    <t>AMARRA 338</t>
  </si>
  <si>
    <t>CALLE 16 # 10 -24</t>
  </si>
  <si>
    <t>sanchezroxi959@gmail.com</t>
  </si>
  <si>
    <t>ANA LUCIA RENDON SALAZAR</t>
  </si>
  <si>
    <t>3203028159 - 3233833812</t>
  </si>
  <si>
    <t>GENO 366</t>
  </si>
  <si>
    <t xml:space="preserve">ETAPA 2 CASA 12 </t>
  </si>
  <si>
    <t>jhonerazo@gmail.com</t>
  </si>
  <si>
    <t>ANA MARIA ROSERO GARCIA</t>
  </si>
  <si>
    <t>3115472841 - 3112533084</t>
  </si>
  <si>
    <t>GENO 364</t>
  </si>
  <si>
    <t>AMARRA 359</t>
  </si>
  <si>
    <t>CRA 13 # 18 - 85</t>
  </si>
  <si>
    <t>ana.1099684114@gmail.com</t>
  </si>
  <si>
    <t>JORGE ELIECER BETANCURTH</t>
  </si>
  <si>
    <t>GENO 241</t>
  </si>
  <si>
    <t>AMARRA 414</t>
  </si>
  <si>
    <t>ETAPA 1 CASA 31</t>
  </si>
  <si>
    <t>jorgeeliecerbetancurth326@gmail.com</t>
  </si>
  <si>
    <t>JULIANA SALAZAR VARGAS</t>
  </si>
  <si>
    <t>3106593503 - 3148338181</t>
  </si>
  <si>
    <t>GENO 335</t>
  </si>
  <si>
    <t>AMARRA 198</t>
  </si>
  <si>
    <t>CALLE 27 CRA 12A # 12 - 51</t>
  </si>
  <si>
    <t>lg7093835@gmail.com</t>
  </si>
  <si>
    <t>YASMIN ASTRID SUAREZ</t>
  </si>
  <si>
    <t>3127070309 - 3193471975</t>
  </si>
  <si>
    <t xml:space="preserve">GENO 336 </t>
  </si>
  <si>
    <t>AMARRA 339</t>
  </si>
  <si>
    <r>
      <rPr>
        <sz val="11"/>
        <color theme="1"/>
        <rFont val="Calibri"/>
        <family val="2"/>
      </rPr>
      <t>CALLE 29</t>
    </r>
    <r>
      <rPr>
        <i/>
        <sz val="11"/>
        <color theme="1"/>
        <rFont val="Calibri"/>
        <family val="2"/>
      </rPr>
      <t xml:space="preserve"> # 8</t>
    </r>
    <r>
      <rPr>
        <sz val="11"/>
        <color theme="1"/>
        <rFont val="Calibri"/>
        <family val="2"/>
      </rPr>
      <t xml:space="preserve"> - 59</t>
    </r>
  </si>
  <si>
    <t>yasod2009@hotmail.com</t>
  </si>
  <si>
    <t>YESICA VIVIANA GOMEZ GARCIA</t>
  </si>
  <si>
    <t>3218283706 - 3108332736</t>
  </si>
  <si>
    <t>GENO 338</t>
  </si>
  <si>
    <t>CALLE 29 6 - 46</t>
  </si>
  <si>
    <t>yg173690@gmail.com</t>
  </si>
  <si>
    <t>CRISTINA ALVAREZ RODRIGUEZ</t>
  </si>
  <si>
    <t>3105050698 - 3233633923</t>
  </si>
  <si>
    <t>GENO 340</t>
  </si>
  <si>
    <t>MANZ A CASA 8</t>
  </si>
  <si>
    <t>calvarezr@uqvirtual.edu.co</t>
  </si>
  <si>
    <t>MARIA RUBY VASQUEZ VALENCIA</t>
  </si>
  <si>
    <t>GENO 362</t>
  </si>
  <si>
    <t>AMARRA 426</t>
  </si>
  <si>
    <t>CRA 13 # 16 - 52</t>
  </si>
  <si>
    <t>vasquezmariaruby7@gmail.com</t>
  </si>
  <si>
    <t>NATALIA DUQUE CERON</t>
  </si>
  <si>
    <t>GENO 341</t>
  </si>
  <si>
    <t>CRA 13 # 16 - 70</t>
  </si>
  <si>
    <t>OMAR GIRALDO GARCIA</t>
  </si>
  <si>
    <t>3127922857 - 3217044322</t>
  </si>
  <si>
    <t>GENO 81</t>
  </si>
  <si>
    <t>CALLE 24 # 10 - 19</t>
  </si>
  <si>
    <t>omargiraldogarcia8952@gmail.com</t>
  </si>
  <si>
    <t>ALBA YURI DIAZ PEREZ</t>
  </si>
  <si>
    <t>GENO 131</t>
  </si>
  <si>
    <t>AMARRA 421</t>
  </si>
  <si>
    <t>Cra 13 #17-26</t>
  </si>
  <si>
    <t xml:space="preserve">SALIDA AL DORADO </t>
  </si>
  <si>
    <t>yuridiaz3510@gmail.com</t>
  </si>
  <si>
    <t>MARIA CAMILA VELLEJO MOLANO</t>
  </si>
  <si>
    <t>GENO 342</t>
  </si>
  <si>
    <t>CRA 12 CALLE 24 - 21 PISO 2</t>
  </si>
  <si>
    <t>kamilavallejo901@gmail.com</t>
  </si>
  <si>
    <t>NINI YOHANA CAMPOS SEPULVEDA</t>
  </si>
  <si>
    <t>GENO 89</t>
  </si>
  <si>
    <t>AMARRA 225</t>
  </si>
  <si>
    <t>CRA 10 # 19 - 00</t>
  </si>
  <si>
    <t>CASA ESQUINA PISO 2</t>
  </si>
  <si>
    <t>niniyohanacs@gmail.com</t>
  </si>
  <si>
    <t>CARLOS ANDRES SUAREZ VARELA</t>
  </si>
  <si>
    <t>GENO 346</t>
  </si>
  <si>
    <t>CASA 2 PISO 2</t>
  </si>
  <si>
    <t>andresvarela951@gmail.com</t>
  </si>
  <si>
    <t>JOHN ALAJENDRO CAMPOS RUIZ</t>
  </si>
  <si>
    <t>3136068830 - 3106044848</t>
  </si>
  <si>
    <t>GENO 381</t>
  </si>
  <si>
    <t>AMARRA 690</t>
  </si>
  <si>
    <t>CALLE 29 # 8 - 70</t>
  </si>
  <si>
    <t>johnalejocampos@gmail.com</t>
  </si>
  <si>
    <t>FABIOLA VENEGAS TORREZ</t>
  </si>
  <si>
    <t>3103783782 - 3218122073</t>
  </si>
  <si>
    <t>GENO 348</t>
  </si>
  <si>
    <t>AMARRA 358</t>
  </si>
  <si>
    <t>CALLE 29 # 3 - 17</t>
  </si>
  <si>
    <t>martinezvanegaserika@gmail.com</t>
  </si>
  <si>
    <t>NANCY JANETH ALZATE MARULANDA</t>
  </si>
  <si>
    <t>GENO 384</t>
  </si>
  <si>
    <t>AMARRA 693</t>
  </si>
  <si>
    <t>MAZ 3 CASA 13 PISO 1</t>
  </si>
  <si>
    <t>nancy-janeth35@hotmail.com</t>
  </si>
  <si>
    <t>JOSE NODIER BRICEÑO</t>
  </si>
  <si>
    <t>GENO 385</t>
  </si>
  <si>
    <t>AMARRA 695</t>
  </si>
  <si>
    <t>CALLE 18 # 9 - 45</t>
  </si>
  <si>
    <t>LA PLAZUELA</t>
  </si>
  <si>
    <t>mareum2002@gmail.com</t>
  </si>
  <si>
    <t>ROBINSON ROJAS CASTRO</t>
  </si>
  <si>
    <t>3144591456 - 3014529205</t>
  </si>
  <si>
    <t>GENO 351</t>
  </si>
  <si>
    <t>MAZ 1 CASA 14</t>
  </si>
  <si>
    <t>angie.templux@gmail.com</t>
  </si>
  <si>
    <t>JAIDER STIVENT MARIN ORREGO</t>
  </si>
  <si>
    <t>3234263377 - 3108325168</t>
  </si>
  <si>
    <t>GENO 354</t>
  </si>
  <si>
    <t xml:space="preserve">ETAPA 1 CASA 30 </t>
  </si>
  <si>
    <t>CASA DEL ABUELO</t>
  </si>
  <si>
    <t>3128157715 - 3232936064</t>
  </si>
  <si>
    <t>GENO 355</t>
  </si>
  <si>
    <t>CALLE 31 # 10 - 07</t>
  </si>
  <si>
    <t>analogo18@gmail.com</t>
  </si>
  <si>
    <t xml:space="preserve">JORDAN ALEJANDRO ECHEVERRIA </t>
  </si>
  <si>
    <t>GENO 391</t>
  </si>
  <si>
    <t>AMARRA 685</t>
  </si>
  <si>
    <t>CALLE 22 # 11 - 04 APTO 102</t>
  </si>
  <si>
    <t>SECTOR HOSPITAL</t>
  </si>
  <si>
    <t>joalecmouptc@gmail.com</t>
  </si>
  <si>
    <t>DIANA CAROLINA GONZALEZ SANCHEZ</t>
  </si>
  <si>
    <t>GENO 36</t>
  </si>
  <si>
    <t xml:space="preserve">CRA 11 # 24 - 13 </t>
  </si>
  <si>
    <t>karogs83@gmail.com</t>
  </si>
  <si>
    <t xml:space="preserve">ROSMERY DANIELA QUINTERO GAVIRIA </t>
  </si>
  <si>
    <t>GENO 394</t>
  </si>
  <si>
    <t>AMARRA 674</t>
  </si>
  <si>
    <t>BLOQUE 4 APTO 502</t>
  </si>
  <si>
    <t>danielaquinterogaviria@gmail.com</t>
  </si>
  <si>
    <t xml:space="preserve">LEIDY JOHANNA ARBELAEZ GIRALDO </t>
  </si>
  <si>
    <t>3116287132 - 3168481495</t>
  </si>
  <si>
    <t>GENO 365</t>
  </si>
  <si>
    <t>CALLE 25 # 13 -39</t>
  </si>
  <si>
    <t>leidy312salo@gmail.com</t>
  </si>
  <si>
    <t>HECTOR OMAR CANDO BENAVIDEZ</t>
  </si>
  <si>
    <t>3188111771 - 3118581644</t>
  </si>
  <si>
    <t>GENO 98</t>
  </si>
  <si>
    <t>AMARRA 425</t>
  </si>
  <si>
    <t>CRA 10 # 19 - 33</t>
  </si>
  <si>
    <t>hector30cando@gamail.com</t>
  </si>
  <si>
    <t>DIANA RUBIELA ARENAS LOPEZ</t>
  </si>
  <si>
    <t>3008894245 - 3145145467</t>
  </si>
  <si>
    <t>GENO 367</t>
  </si>
  <si>
    <t>AMARRA 315</t>
  </si>
  <si>
    <t>jorgedanielpinzonsalazar@gmail.com</t>
  </si>
  <si>
    <t>YENY MALCA INRINA RESTREPO ALVAREZ</t>
  </si>
  <si>
    <t>3146242435 - 3207022019</t>
  </si>
  <si>
    <t xml:space="preserve">GENO 398 </t>
  </si>
  <si>
    <t>AMARRA 135</t>
  </si>
  <si>
    <t>CRA 11 # 20 - 12</t>
  </si>
  <si>
    <t>malcarestrepo@gmail.com</t>
  </si>
  <si>
    <t>LUZ ADRIANA ALVAREZ</t>
  </si>
  <si>
    <t>GENO 37</t>
  </si>
  <si>
    <t>CALLE 21 # 13 - 43</t>
  </si>
  <si>
    <t>HELMER ANDRES FLOREZ DUQUE</t>
  </si>
  <si>
    <t>3219123696 - 3144620919</t>
  </si>
  <si>
    <t xml:space="preserve">GENO 371 </t>
  </si>
  <si>
    <t>AMARRA 422</t>
  </si>
  <si>
    <t xml:space="preserve">BLOQUE 2 APTO 205 </t>
  </si>
  <si>
    <t>lucianaflorezhincapie@gmail.com</t>
  </si>
  <si>
    <t>GILDARDO TORO VALENCIA</t>
  </si>
  <si>
    <t>3142957094 - 3218460908</t>
  </si>
  <si>
    <t>GENO 372</t>
  </si>
  <si>
    <t>AMARRA 423</t>
  </si>
  <si>
    <t>CRA 11 # 18 - 04</t>
  </si>
  <si>
    <t>jarolestiven123@gmail.com</t>
  </si>
  <si>
    <t>ANGIE NATALIA HOYOS RIASCOS</t>
  </si>
  <si>
    <t>3206043636 - 3207782875</t>
  </si>
  <si>
    <t>GENO 376</t>
  </si>
  <si>
    <t>BLOQUE 4 APTO 105</t>
  </si>
  <si>
    <t>KAREN ADRIANA GUARIN ALFONSO</t>
  </si>
  <si>
    <t>1099682925</t>
  </si>
  <si>
    <t>3128157715 - 3215522721</t>
  </si>
  <si>
    <t>GENO 407</t>
  </si>
  <si>
    <t>AMARRA 441</t>
  </si>
  <si>
    <t>CRA 9 # 31 - 84</t>
  </si>
  <si>
    <t>karmj1@hotmail.com</t>
  </si>
  <si>
    <t>MELVA ROSA ESPIENOSA OSORIO</t>
  </si>
  <si>
    <t>GENO 377</t>
  </si>
  <si>
    <t xml:space="preserve">CRA 13 # 18 - 50 </t>
  </si>
  <si>
    <t>melvaosorioespeinoza32@gmail.com</t>
  </si>
  <si>
    <t>LEIDY JHOANA CARDONA MEJIA</t>
  </si>
  <si>
    <t>3107335749 - 3217591619</t>
  </si>
  <si>
    <t>GENO 235</t>
  </si>
  <si>
    <t>AMARRA 450</t>
  </si>
  <si>
    <t>ETAPA 2 CASA 24</t>
  </si>
  <si>
    <t>leidyjhoanacardona1991@gmail.com</t>
  </si>
  <si>
    <t>ELFAR ADOLFO MORENO ARIAS</t>
  </si>
  <si>
    <t>3113678407 - 3127708167</t>
  </si>
  <si>
    <t>ARP 11.0.0.2</t>
  </si>
  <si>
    <t>NODO GENOVA</t>
  </si>
  <si>
    <t>FINCA CASA BLANCA</t>
  </si>
  <si>
    <t>adolfosoberana@hotmail.com</t>
  </si>
  <si>
    <t>LENIS ALEXANDRA CORTEZ BAUTISTA</t>
  </si>
  <si>
    <t>3117207041 - 3146162291</t>
  </si>
  <si>
    <t>GENO 383</t>
  </si>
  <si>
    <t>AMARRA 692</t>
  </si>
  <si>
    <t>CAR 13 # 18 - 51</t>
  </si>
  <si>
    <t>leniscortez879@gmail.com</t>
  </si>
  <si>
    <t>DEIBY ESTEBAN SALAZR BERJAN</t>
  </si>
  <si>
    <t>3233015994 - 3145938878</t>
  </si>
  <si>
    <t>estebanmilena083@gmail.com</t>
  </si>
  <si>
    <t>LUZ MARY HERRERA OSORIO</t>
  </si>
  <si>
    <t>3193905053 - 3197962013</t>
  </si>
  <si>
    <t>GENO 386</t>
  </si>
  <si>
    <t>AMARRA 696</t>
  </si>
  <si>
    <t xml:space="preserve">CALLE 15A # 10 - 60 </t>
  </si>
  <si>
    <t>JAVIER REINALDO GONAZALEZ PADILLA</t>
  </si>
  <si>
    <t>3133478325 - 3204283635</t>
  </si>
  <si>
    <t>ARP 11.0.0.3</t>
  </si>
  <si>
    <t>NODO GENPVA</t>
  </si>
  <si>
    <t>CORTESIA</t>
  </si>
  <si>
    <t xml:space="preserve">KILOMETRO 2 VIA BATALLON </t>
  </si>
  <si>
    <t>FINCA SAN FRANCISCO</t>
  </si>
  <si>
    <t>gonzojav74@gmail.com</t>
  </si>
  <si>
    <t xml:space="preserve">DAMIRSON ANDRES MONTOYA </t>
  </si>
  <si>
    <t>3113572755 - 3108376107</t>
  </si>
  <si>
    <t>GENO 387</t>
  </si>
  <si>
    <t>AMARRA 418</t>
  </si>
  <si>
    <t>CRA 11 # 34 - 204</t>
  </si>
  <si>
    <t>erikaalejandrarodriguez342@gmail.com</t>
  </si>
  <si>
    <t>WILLINGTON MARIN GARCIA</t>
  </si>
  <si>
    <t>3226073814 - 3126971028</t>
  </si>
  <si>
    <t>GENO 405</t>
  </si>
  <si>
    <t>AMARRA 107</t>
  </si>
  <si>
    <t>CASA 9A ESQUINA</t>
  </si>
  <si>
    <t>gilintonmaringarcia924@gmail.com</t>
  </si>
  <si>
    <t>LUIS OCTAVIO HERRERA PULGARIN</t>
  </si>
  <si>
    <t>3206415279 - 3146461466</t>
  </si>
  <si>
    <t>GENO 411</t>
  </si>
  <si>
    <t>AMARRA 454</t>
  </si>
  <si>
    <t>CRA 11 21 03</t>
  </si>
  <si>
    <t>luisoctavioherrera6@gmail.com</t>
  </si>
  <si>
    <t>PAGA SABADO</t>
  </si>
  <si>
    <t>RAFAEL RICARDO RENTERIA RAMOS</t>
  </si>
  <si>
    <t>GENO 217</t>
  </si>
  <si>
    <t>CRA 11 # 35 - 12</t>
  </si>
  <si>
    <t>rafaricard@gmail.com</t>
  </si>
  <si>
    <t>MARIELA BAQUERO DE TORREZ</t>
  </si>
  <si>
    <t>3127203252-3152430698</t>
  </si>
  <si>
    <t>GENO 412</t>
  </si>
  <si>
    <t>AMARRA 455</t>
  </si>
  <si>
    <t xml:space="preserve">CRA 12 # 17 - 50 </t>
  </si>
  <si>
    <t>marielsbaquero@gmail.com</t>
  </si>
  <si>
    <t>JUAN DAVID RIVERA SERNA</t>
  </si>
  <si>
    <t>3147238118 - 3206135717</t>
  </si>
  <si>
    <t>GENO 388</t>
  </si>
  <si>
    <t>AMARRA 682</t>
  </si>
  <si>
    <t>CRA 13 # 18 - 58</t>
  </si>
  <si>
    <t>gallegoosoriomariaelena@gmail.com</t>
  </si>
  <si>
    <t>JULIAN DAVID CARRILLO RIOS</t>
  </si>
  <si>
    <t>GENO 415</t>
  </si>
  <si>
    <t>CRA 11 21 16</t>
  </si>
  <si>
    <t>david1carrillo5@gmail.com</t>
  </si>
  <si>
    <t>SANDRA MILENA GONZALEZ</t>
  </si>
  <si>
    <t>GENO 390</t>
  </si>
  <si>
    <t>AMARRA 684</t>
  </si>
  <si>
    <t>CRA 12 # 16 - 12</t>
  </si>
  <si>
    <t>gonsalezsandra678@gmail.com</t>
  </si>
  <si>
    <t>CARLOS ANDRES BAQUERO ARIAS</t>
  </si>
  <si>
    <t>3137652351 - 3147135153</t>
  </si>
  <si>
    <t>GENO 418</t>
  </si>
  <si>
    <t>AMARRA 488</t>
  </si>
  <si>
    <t>CALLE 27 # 11 -24</t>
  </si>
  <si>
    <t>andreobaqueroarias@hotmail.com</t>
  </si>
  <si>
    <t>GENO 393</t>
  </si>
  <si>
    <t>AMARRA 688</t>
  </si>
  <si>
    <t>CALLE 25 # 12 - 49 APTO 2</t>
  </si>
  <si>
    <t>NUBIA ALCIRA ORTEGA JANSASOY</t>
  </si>
  <si>
    <t>3217709781 - 3216922691</t>
  </si>
  <si>
    <t>GENO 272</t>
  </si>
  <si>
    <t>AMARRA 498</t>
  </si>
  <si>
    <t>BARRIO LA PLAYA BELLO RINCON QUINDIANO</t>
  </si>
  <si>
    <t>BLOQUE 4 APT 103</t>
  </si>
  <si>
    <t>orteganubia75@gmail.com</t>
  </si>
  <si>
    <t>MARIA JOHANA ARANGO MORALES</t>
  </si>
  <si>
    <t>3204216427 - 3216273046</t>
  </si>
  <si>
    <t>GENO 427</t>
  </si>
  <si>
    <t>AMARRA 476</t>
  </si>
  <si>
    <t>CRA 11 # 34 - 201</t>
  </si>
  <si>
    <t>johanaarango64@gmail.com</t>
  </si>
  <si>
    <t>NIDIA SOBEIDA PARDO ARDILA</t>
  </si>
  <si>
    <t>3205664417 - 3207781717</t>
  </si>
  <si>
    <t>GENO 397</t>
  </si>
  <si>
    <t>AMARRA 512</t>
  </si>
  <si>
    <t>CAR 11 # 22 - 16</t>
  </si>
  <si>
    <t>CINDY MARCELA GOMEZ VARGAS</t>
  </si>
  <si>
    <t>3147285133 - 3142706654</t>
  </si>
  <si>
    <t>GENO 408</t>
  </si>
  <si>
    <t>CRA 14 # 23 - 06</t>
  </si>
  <si>
    <t>marcelagomezvargas0@gmail.com</t>
  </si>
  <si>
    <t>GENO 4</t>
  </si>
  <si>
    <t>MANZANA 2 CASA 8</t>
  </si>
  <si>
    <t>B. ALAMOS</t>
  </si>
  <si>
    <t>LEIDY JOHANA RUIZ GARCIA</t>
  </si>
  <si>
    <t>GENO 40</t>
  </si>
  <si>
    <t>CALLE 29 # 4 - 22</t>
  </si>
  <si>
    <t xml:space="preserve">MARIA LILIANA ROBLEDO SALINAS </t>
  </si>
  <si>
    <t>3232890136 - 3215245105</t>
  </si>
  <si>
    <t>GENO 400</t>
  </si>
  <si>
    <t>MANZANA 2 CASA 33</t>
  </si>
  <si>
    <t>lilianarobledo022@gmail.com</t>
  </si>
  <si>
    <t>ALEJANDRA MARTINEZ DIAZ</t>
  </si>
  <si>
    <t>GENO 402</t>
  </si>
  <si>
    <t>AMARRA 548</t>
  </si>
  <si>
    <t>CLL 15 A  10 32</t>
  </si>
  <si>
    <t>KAREN LISETH OVIEDO OSPINA</t>
  </si>
  <si>
    <t>3205786352 - 3148921768</t>
  </si>
  <si>
    <t>GENO 403</t>
  </si>
  <si>
    <t xml:space="preserve">CRA 10 # 18 - 02 </t>
  </si>
  <si>
    <t>karegiselletoviedoospina@gmail.com</t>
  </si>
  <si>
    <t>GENO 409</t>
  </si>
  <si>
    <t>AMARRA 686</t>
  </si>
  <si>
    <t xml:space="preserve">CALLE 22 # 10 - 00 ESQUINA </t>
  </si>
  <si>
    <t>yhond79@gmail.com</t>
  </si>
  <si>
    <t>ABEL FERNANDO DE SOUSA JAYARO</t>
  </si>
  <si>
    <t>3136116826 - 3117075506</t>
  </si>
  <si>
    <t>GENO 413</t>
  </si>
  <si>
    <t>AMARRA 456</t>
  </si>
  <si>
    <t>CRA 29 # 3 - 58</t>
  </si>
  <si>
    <t>noreimistorres88@gmail.com</t>
  </si>
  <si>
    <t>3135238721 - 3113187452</t>
  </si>
  <si>
    <t>GENO 422</t>
  </si>
  <si>
    <t>BLAQUE 3 APT 402</t>
  </si>
  <si>
    <t>echeverrysebastian22@gmail.com</t>
  </si>
  <si>
    <t>GLORIA PATRICIA PEREZ RODRIGUEZ</t>
  </si>
  <si>
    <t>3117854477 - 3007090374</t>
  </si>
  <si>
    <t>GENO 424</t>
  </si>
  <si>
    <t>AMARRA 497</t>
  </si>
  <si>
    <t xml:space="preserve">CRA 13 # 16 - 70 </t>
  </si>
  <si>
    <t>gloriaperez6535@gmail.com</t>
  </si>
  <si>
    <t>MAGALI MARIBEL VARGAS VELLEJO</t>
  </si>
  <si>
    <t>3178820524 - 3116603590</t>
  </si>
  <si>
    <t>GENO 428</t>
  </si>
  <si>
    <t>AMARRA 503</t>
  </si>
  <si>
    <t>CASA 6</t>
  </si>
  <si>
    <t>vargasmagaly6@gmail.com</t>
  </si>
  <si>
    <t>ALEJANDRA LOPEZ CUBIDES</t>
  </si>
  <si>
    <t>GENO 45</t>
  </si>
  <si>
    <t>CRA 11 # 34-36</t>
  </si>
  <si>
    <t xml:space="preserve">ANDERSON VILLA </t>
  </si>
  <si>
    <t>GENO 46</t>
  </si>
  <si>
    <t>LUIS NOLBERTO WELGOS</t>
  </si>
  <si>
    <t>GENO 47</t>
  </si>
  <si>
    <t xml:space="preserve">MZ A # 5 </t>
  </si>
  <si>
    <t>luisnorberto@hotmail.com</t>
  </si>
  <si>
    <t>MELVA CASTELLANOS ROJAS</t>
  </si>
  <si>
    <t>GENO 48</t>
  </si>
  <si>
    <t>CALLE 23 # 14-45</t>
  </si>
  <si>
    <t>NATALIA DIAZ LOAIZA</t>
  </si>
  <si>
    <t>GENO 49</t>
  </si>
  <si>
    <t>CRA 13 # 26-67</t>
  </si>
  <si>
    <t>natidloaiza@gmail.com</t>
  </si>
  <si>
    <t>GENO 523</t>
  </si>
  <si>
    <t>CALLE 19 # 10-13</t>
  </si>
  <si>
    <t>sergiogrisaleses@gmail.com</t>
  </si>
  <si>
    <t>JULIANA ARIAS TABORDA</t>
  </si>
  <si>
    <t>GENO 53</t>
  </si>
  <si>
    <t>julianaarias610@gmail.com</t>
  </si>
  <si>
    <t>JUAN CAMILO VALENCIA ACOSTA</t>
  </si>
  <si>
    <t>GENO 54</t>
  </si>
  <si>
    <t>ETAPA 2 PISO 1</t>
  </si>
  <si>
    <t xml:space="preserve">NUEVA ESPERANZA ·# 2 </t>
  </si>
  <si>
    <t>juancamilok@gmail.com</t>
  </si>
  <si>
    <t>GLORIA ALICIA SANCHEZ</t>
  </si>
  <si>
    <t>GENO 56</t>
  </si>
  <si>
    <t>AMARRA 831</t>
  </si>
  <si>
    <t>CRA 12 # 17-16 PISO 1</t>
  </si>
  <si>
    <t>gerardovelezsanches@gmail.com</t>
  </si>
  <si>
    <t>HAUDALY CERON VALENZUELA</t>
  </si>
  <si>
    <t>GENO 58</t>
  </si>
  <si>
    <t xml:space="preserve">MAZ A # 12 </t>
  </si>
  <si>
    <t xml:space="preserve">MARIA TERESA CHALA </t>
  </si>
  <si>
    <t>3145521643 - 3142666328</t>
  </si>
  <si>
    <t>GENO 59</t>
  </si>
  <si>
    <t>AMARRA 175</t>
  </si>
  <si>
    <t>CALLE 31 # 11 - 35</t>
  </si>
  <si>
    <t>chalaescobarmariateresa@gmail.com</t>
  </si>
  <si>
    <t>JHONATAN MONTOYA</t>
  </si>
  <si>
    <t>GENO 6</t>
  </si>
  <si>
    <t>AMARRA #246</t>
  </si>
  <si>
    <t>MZ 3 CASA #6</t>
  </si>
  <si>
    <t>jhotican7@hotmail.com</t>
  </si>
  <si>
    <t>JOSE JAIME FONSECA PEREZ</t>
  </si>
  <si>
    <t>GENO 61</t>
  </si>
  <si>
    <t>perezfonsecajaime93@gmail.com</t>
  </si>
  <si>
    <t>MARIA INES VELOZA CORDOBA</t>
  </si>
  <si>
    <t>GENO 62</t>
  </si>
  <si>
    <t>CALLE 26 # 9-31</t>
  </si>
  <si>
    <t>dianisv2017@gmail.com</t>
  </si>
  <si>
    <t>MARIEN DIAZ CLAVIJO</t>
  </si>
  <si>
    <t>GENO 64</t>
  </si>
  <si>
    <t>CRA 11 # 34-74</t>
  </si>
  <si>
    <t>LUZ ADRIANA PELAEZ ESQUIVEL</t>
  </si>
  <si>
    <t>GENO 65</t>
  </si>
  <si>
    <t>CRA 11 # 34 36</t>
  </si>
  <si>
    <t>SANDRA MILENA HORTUA HOLGUIN</t>
  </si>
  <si>
    <t>GENO 66</t>
  </si>
  <si>
    <t>MANZ 2 CASA 4</t>
  </si>
  <si>
    <t xml:space="preserve">PROVENIR </t>
  </si>
  <si>
    <t>sandrahortua@yahoo.com</t>
  </si>
  <si>
    <t xml:space="preserve"> HOSPITAL SAN VICENTE DE PAUL</t>
  </si>
  <si>
    <t>GENO 69</t>
  </si>
  <si>
    <t>CRA 12 CALLE 17</t>
  </si>
  <si>
    <t>HOSPITAL</t>
  </si>
  <si>
    <t>hgenova@hotmail.com</t>
  </si>
  <si>
    <t>RETIRADO</t>
  </si>
  <si>
    <t>HECTOR CARDONA GONZALEZ</t>
  </si>
  <si>
    <t>GENO 7</t>
  </si>
  <si>
    <t>CALLE 25 # 13 - 16</t>
  </si>
  <si>
    <t>CARLOS JULIO MORILLO MARTINEZ</t>
  </si>
  <si>
    <t>3156542896 - 3027420066</t>
  </si>
  <si>
    <t>GENO 75</t>
  </si>
  <si>
    <t>AMARRA 819</t>
  </si>
  <si>
    <t xml:space="preserve">100 MEGAS </t>
  </si>
  <si>
    <t>CRA 13  18 . 12</t>
  </si>
  <si>
    <t>FUNERARIA JARDINES DEL RENACER</t>
  </si>
  <si>
    <t>900340724-7</t>
  </si>
  <si>
    <t>GENO 78</t>
  </si>
  <si>
    <t>CRA 13 # 18-43</t>
  </si>
  <si>
    <t>qui.administrador@jardinesdelrenacer.com</t>
  </si>
  <si>
    <t>ALBA PATRICIA HOLGUIN MARIN</t>
  </si>
  <si>
    <t>GENO 79</t>
  </si>
  <si>
    <t>CALLE 26 # 12-30</t>
  </si>
  <si>
    <t>aphm78@gmail.com</t>
  </si>
  <si>
    <t>BREYNER ANDRES MORILLO RODRIGUEZ</t>
  </si>
  <si>
    <t>GENO 80</t>
  </si>
  <si>
    <t>CRA 12 # 22 - 14</t>
  </si>
  <si>
    <t>ABELINO RINCON RAMIREZ</t>
  </si>
  <si>
    <t>3206901725 - 3137871616</t>
  </si>
  <si>
    <t>GENO 82</t>
  </si>
  <si>
    <t>AMARRA 808</t>
  </si>
  <si>
    <t>MAZ 5 CASA 4 PISO 1</t>
  </si>
  <si>
    <t>lucygonzarincon@gmail.com</t>
  </si>
  <si>
    <t>JAVIER TORREZ RESTREPO</t>
  </si>
  <si>
    <t>GENO 84</t>
  </si>
  <si>
    <t>MZ 1 # 18</t>
  </si>
  <si>
    <t>javiertorez5974@gmail.com</t>
  </si>
  <si>
    <t>IRMA GARAY ROA</t>
  </si>
  <si>
    <t>GENO 85</t>
  </si>
  <si>
    <t>CRA 11 # 26A-16</t>
  </si>
  <si>
    <t>lapaisitalinda09@gmail.com</t>
  </si>
  <si>
    <t>VALENTINA SUAREZ FORERO</t>
  </si>
  <si>
    <t>GENO 86</t>
  </si>
  <si>
    <t>AMARRA 381</t>
  </si>
  <si>
    <t>CALLE 33 # 11 - 35</t>
  </si>
  <si>
    <t>valentinasuarez1970@hotmail.com</t>
  </si>
  <si>
    <t>GENO 91</t>
  </si>
  <si>
    <t>CRA 11 # 29 - 04</t>
  </si>
  <si>
    <t>JAZMIN BOLAÑOS PEREZ</t>
  </si>
  <si>
    <t>GENO 92</t>
  </si>
  <si>
    <t>AMARRA 828</t>
  </si>
  <si>
    <t>CRA 13 CALLE 20 - 10</t>
  </si>
  <si>
    <t>moroperez0314@gmail.com</t>
  </si>
  <si>
    <t>ANGELA MARIA MARULANDA ARCILA</t>
  </si>
  <si>
    <t>GENO 94</t>
  </si>
  <si>
    <t>CRA 13 # 26 - 67</t>
  </si>
  <si>
    <t>amma202009@gmail.com</t>
  </si>
  <si>
    <t xml:space="preserve">INSTITUCION SAN VICENTE DE PAUL </t>
  </si>
  <si>
    <t>GENO 95</t>
  </si>
  <si>
    <t>70 MEGAS</t>
  </si>
  <si>
    <t>CL 25  12 24</t>
  </si>
  <si>
    <t>insanvicente@iesvp.edu.co</t>
  </si>
  <si>
    <t>JOSE FERNANDO DIAZ CRUZ</t>
  </si>
  <si>
    <t>GENO 96</t>
  </si>
  <si>
    <t>AMARRA 827</t>
  </si>
  <si>
    <t>CRA 13 # 10 - 12</t>
  </si>
  <si>
    <t>josemekato723@gmail.com</t>
  </si>
  <si>
    <t>MIRIAN GUZMAN GARCIA</t>
  </si>
  <si>
    <t>GENO 97</t>
  </si>
  <si>
    <t>CALLE 28 # 11-12</t>
  </si>
  <si>
    <t>jorge.santamaria@hotmail.es</t>
  </si>
  <si>
    <t>CAMILO ANDRES GIRALDO PEÑUELA</t>
  </si>
  <si>
    <t>GENO 349</t>
  </si>
  <si>
    <t>CAR 11 # 11 -34</t>
  </si>
  <si>
    <t>camilobaloncesto.13@gmail.com</t>
  </si>
  <si>
    <t>AURA INES OSORIO OCAMPO</t>
  </si>
  <si>
    <t>CALLE 26 # 9 - 24</t>
  </si>
  <si>
    <t xml:space="preserve">DORA MILENA BUITRAGO ROMAN </t>
  </si>
  <si>
    <t>3145938878-3233015994</t>
  </si>
  <si>
    <t>GENO 561</t>
  </si>
  <si>
    <t>AMARRA 919</t>
  </si>
  <si>
    <t>Cra12  # 12-38</t>
  </si>
  <si>
    <t>doramilenabuitrago@gmail.com</t>
  </si>
  <si>
    <t>HEYDI ALEJANDRA MEDINA PINZON</t>
  </si>
  <si>
    <t>3117174958-3147023261</t>
  </si>
  <si>
    <t>GENO 563</t>
  </si>
  <si>
    <t>AMARRA 283</t>
  </si>
  <si>
    <t>Carrera 12A#12-70</t>
  </si>
  <si>
    <t>heydimedinap3@gmail.com</t>
  </si>
  <si>
    <t>ELICEO BEJARANO JIMENEZ</t>
  </si>
  <si>
    <t>3127548438-3146624509</t>
  </si>
  <si>
    <t>GENO 564</t>
  </si>
  <si>
    <t>Cra 13 # 13-24</t>
  </si>
  <si>
    <t>liceobejaranojimenez@gmail.com</t>
  </si>
  <si>
    <t>JOHANNA MARCELA VELEZ NOREÑA</t>
  </si>
  <si>
    <t>3161105277 - 3113188571</t>
  </si>
  <si>
    <t>GENO 83</t>
  </si>
  <si>
    <t>AMARRA 214</t>
  </si>
  <si>
    <t>MAZ 1 ESQUINA ALAMOS</t>
  </si>
  <si>
    <t>jhoannavelezn@gmail.com</t>
  </si>
  <si>
    <t>LUZ ESTELA MONROY FAJARDO</t>
  </si>
  <si>
    <t>3137337461-3150302811</t>
  </si>
  <si>
    <t>AMARRA 293</t>
  </si>
  <si>
    <t xml:space="preserve">MANZ C CASAS 2 </t>
  </si>
  <si>
    <t>leninsan96@yahoo.com</t>
  </si>
  <si>
    <t>JHON FREDY VALENCIA SANCHEZ</t>
  </si>
  <si>
    <t>3147146969-3026018313</t>
  </si>
  <si>
    <t>GENO 565</t>
  </si>
  <si>
    <t>Carrera 11 # 20-25</t>
  </si>
  <si>
    <t>NINI JOHANA VALENCIA CASTILLO</t>
  </si>
  <si>
    <t>3148673431-3112268962</t>
  </si>
  <si>
    <t>GENO 324</t>
  </si>
  <si>
    <t>AMARRA 925</t>
  </si>
  <si>
    <t xml:space="preserve">M 4 casa 2 piso 1 </t>
  </si>
  <si>
    <t>valencianinijohanna7@gmail.com</t>
  </si>
  <si>
    <t xml:space="preserve">JUAN CARLOS RAMIREZ PERTEL </t>
  </si>
  <si>
    <t>3116494180-3107340343</t>
  </si>
  <si>
    <t>GENO 566</t>
  </si>
  <si>
    <t>LA ISLA ETAPA 3 CASA 5</t>
  </si>
  <si>
    <t>jr3430016@gmail.com</t>
  </si>
  <si>
    <t>LINA MARIA ARBELAEZ GIRALDO</t>
  </si>
  <si>
    <t>3166657524-3103060866</t>
  </si>
  <si>
    <t>GENO 567</t>
  </si>
  <si>
    <t>Cra 12 #22-31</t>
  </si>
  <si>
    <t>linarvelaez@outlook.es</t>
  </si>
  <si>
    <t>ISMAEL CAMACHO GUADA</t>
  </si>
  <si>
    <t>3226795037-3206975336</t>
  </si>
  <si>
    <t>GENO 568</t>
  </si>
  <si>
    <t>AMARRA 790</t>
  </si>
  <si>
    <t>MZ C casa #12</t>
  </si>
  <si>
    <t>santivil04goat@gmail.com</t>
  </si>
  <si>
    <t>HERMINDA SUAREZ VALENCIA</t>
  </si>
  <si>
    <t>3116268690-3234902962</t>
  </si>
  <si>
    <t>GENO 548</t>
  </si>
  <si>
    <t>Cra10#21-09</t>
  </si>
  <si>
    <t>ESQUINA PRIMER PISO</t>
  </si>
  <si>
    <t>josysyy@gmail.com</t>
  </si>
  <si>
    <t>LUZ MARY DIAZ BAQUERO</t>
  </si>
  <si>
    <t>3216472880-3146224259</t>
  </si>
  <si>
    <t>GENO 569</t>
  </si>
  <si>
    <t>MZ A casa 502 piso 2</t>
  </si>
  <si>
    <t>mayd08415@gmail.com</t>
  </si>
  <si>
    <t>ALBERTH</t>
  </si>
  <si>
    <t>PJH LTDA</t>
  </si>
  <si>
    <t>ARP 10.10.10.5</t>
  </si>
  <si>
    <t>TESORITO</t>
  </si>
  <si>
    <t>COOPERATIVA DE TRANSPORTADORES COOTRAGEN</t>
  </si>
  <si>
    <t>3148606831 - 3137652351</t>
  </si>
  <si>
    <t>GENO 375</t>
  </si>
  <si>
    <t>AMARRA 616</t>
  </si>
  <si>
    <t>CRA 12  15 24</t>
  </si>
  <si>
    <t>cootragen@yahoo.es</t>
  </si>
  <si>
    <t xml:space="preserve">CINDY PAOLA BERNAL </t>
  </si>
  <si>
    <t>3136795247 - 3218217379</t>
  </si>
  <si>
    <t>GENO 560</t>
  </si>
  <si>
    <t>AMARRA 928</t>
  </si>
  <si>
    <t>CRA 13 MANZ B CASA 3</t>
  </si>
  <si>
    <t>cindypbernal@gmail.com</t>
  </si>
  <si>
    <t>LISED JOHANA ASTUDILO GIRALDO</t>
  </si>
  <si>
    <t>3137732340 - 3215287716</t>
  </si>
  <si>
    <t>AMARRA 920</t>
  </si>
  <si>
    <t>calle 29#4-08</t>
  </si>
  <si>
    <t>johannita 722@gmail.com</t>
  </si>
  <si>
    <t>CEDULA</t>
  </si>
  <si>
    <t>PPOE</t>
  </si>
  <si>
    <t>NODO</t>
  </si>
  <si>
    <t>IVA</t>
  </si>
  <si>
    <t>FECHA DE PAGO</t>
  </si>
  <si>
    <t>VEREDA  O  BARRIO</t>
  </si>
  <si>
    <t>FINCA O DIRECCION</t>
  </si>
  <si>
    <t>RUTH ECHAVERRIA RIOS</t>
  </si>
  <si>
    <t>Buena 7</t>
  </si>
  <si>
    <t>BUENAVISTA</t>
  </si>
  <si>
    <t>30 Megas</t>
  </si>
  <si>
    <t>BARRIO OBRERO</t>
  </si>
  <si>
    <t>CRA 6 # 5-16</t>
  </si>
  <si>
    <t>juliannogue@gmail.com</t>
  </si>
  <si>
    <t>GLORIA NATALIA MICOLTA MONTEALEGRE</t>
  </si>
  <si>
    <t>Buena11</t>
  </si>
  <si>
    <t>BARRIO NARANJAL</t>
  </si>
  <si>
    <t>CALLE 3 # 6-76</t>
  </si>
  <si>
    <t>natalianicolta1108@gmail.com</t>
  </si>
  <si>
    <t>PARROQUIA NUESTRA SEÑORA DEL CARMEN</t>
  </si>
  <si>
    <t xml:space="preserve">Buena 8  </t>
  </si>
  <si>
    <t>CRA 4 2 20</t>
  </si>
  <si>
    <t>parroquiaelcarmenbuenavista@gmail.com</t>
  </si>
  <si>
    <t>ANA ROSA SANCHEZ</t>
  </si>
  <si>
    <t xml:space="preserve">Buena 9  </t>
  </si>
  <si>
    <t>CALLE 2 # 2- 21</t>
  </si>
  <si>
    <t>3//7/2025</t>
  </si>
  <si>
    <t>MARIA RITA  BURITICA DE FRANCO</t>
  </si>
  <si>
    <t>Buena 29</t>
  </si>
  <si>
    <t>VEREDA LA CABAÑA</t>
  </si>
  <si>
    <t>EL PARAISO</t>
  </si>
  <si>
    <t>mariarita.buritica@gmail.com</t>
  </si>
  <si>
    <t>LA CABAÑA ( TORRE)</t>
  </si>
  <si>
    <t>TORRE</t>
  </si>
  <si>
    <t>FRANCY ELIANA CASTILLO</t>
  </si>
  <si>
    <t>Buena 28</t>
  </si>
  <si>
    <t>cra 7 # 6A - 14 Nuevo horizonte</t>
  </si>
  <si>
    <t>LUISA FERNANDA RESTREPO PANADERIA T Y M</t>
  </si>
  <si>
    <t>Buena 1</t>
  </si>
  <si>
    <t>PANADERIA TRIGO Y GOURMET</t>
  </si>
  <si>
    <t>MIRIAM VELASQUEZ ARIZA</t>
  </si>
  <si>
    <t>Buena 6</t>
  </si>
  <si>
    <t>CAR 2 # 2 - 21</t>
  </si>
  <si>
    <t>PISO 2 ENSEGUIDA DE LA ALCALDIA</t>
  </si>
  <si>
    <t>salomeidarramiri@gmail.com</t>
  </si>
  <si>
    <t>DIANA MARIA RAMIREZ</t>
  </si>
  <si>
    <t>Buena 14</t>
  </si>
  <si>
    <t>MIRADOR CSA DE LA CULTURA</t>
  </si>
  <si>
    <t>consejo@buenavista-quindio.gov.co</t>
  </si>
  <si>
    <t>STEBAN ARIZTIZABAL RENDON</t>
  </si>
  <si>
    <t>Buena 15</t>
  </si>
  <si>
    <t>CALLE 2 # 3 - 38</t>
  </si>
  <si>
    <t>jeqr96@hotmail.com</t>
  </si>
  <si>
    <t>GLORIA AMPARO HERRERA DUQUE</t>
  </si>
  <si>
    <t>3113338615 - 3148577234</t>
  </si>
  <si>
    <t>Buena 10</t>
  </si>
  <si>
    <t>CALLE 3 # 4 -41</t>
  </si>
  <si>
    <t>gloripersi@hotmail.com</t>
  </si>
  <si>
    <t>Buena 3</t>
  </si>
  <si>
    <t>CALLE 2 # 3 - 16</t>
  </si>
  <si>
    <t>COLEGIO BUENAVISTA</t>
  </si>
  <si>
    <t>Buena 32</t>
  </si>
  <si>
    <t>ROGELIO OSORIO HENAO</t>
  </si>
  <si>
    <t>3113750344 - 3146699621</t>
  </si>
  <si>
    <t>BUENA 35</t>
  </si>
  <si>
    <t>AMARRA 461</t>
  </si>
  <si>
    <t>CALLE 5 # 6 - 17</t>
  </si>
  <si>
    <t>OBRERO</t>
  </si>
  <si>
    <t>rogelioosorio1510@gmail.com</t>
  </si>
  <si>
    <t>ALISON JAKELINE BEELTRAN GARCIA</t>
  </si>
  <si>
    <t>3219478165 - 3153888326</t>
  </si>
  <si>
    <t>BUENA 36</t>
  </si>
  <si>
    <t>AMARRA 677</t>
  </si>
  <si>
    <t>CRA 6A # 6A - 10</t>
  </si>
  <si>
    <t>NUEVO HORIZONTE ETAPA 1</t>
  </si>
  <si>
    <t>christian28martinezg@gmail.com</t>
  </si>
  <si>
    <t xml:space="preserve">MARIA EUGENIA PAVAS </t>
  </si>
  <si>
    <t>3124282766 - 3117783386</t>
  </si>
  <si>
    <t>BUENA 38</t>
  </si>
  <si>
    <t>AMARRA 666</t>
  </si>
  <si>
    <t>CRA 5 # 3 - 23</t>
  </si>
  <si>
    <t>EL DORADO</t>
  </si>
  <si>
    <t>CARLOS ALBERTO ZAMUDIO QUINTERO</t>
  </si>
  <si>
    <t>3122972626 - 3113405893</t>
  </si>
  <si>
    <t>BUENA 40</t>
  </si>
  <si>
    <t>AMARRA 672</t>
  </si>
  <si>
    <t>CALLE 5 # 6A - 24 PISO 2</t>
  </si>
  <si>
    <t>EL OBRERO</t>
  </si>
  <si>
    <t>c.leme39@hotmail.com</t>
  </si>
  <si>
    <t>CARLOS HERNAN BUENO GUEVARA</t>
  </si>
  <si>
    <t>3005392730 - 3116286926</t>
  </si>
  <si>
    <t>BUENA 41</t>
  </si>
  <si>
    <t>AMARRA 659</t>
  </si>
  <si>
    <t xml:space="preserve">ETAPA 2 MAZ 7 CASA 10 </t>
  </si>
  <si>
    <t>NUEVO HORIZONTE</t>
  </si>
  <si>
    <t>carlosh.buenog@uquvirtual.edu.co</t>
  </si>
  <si>
    <t>LEIDY ALEXANDRA JIMENEZ NARVAEZ</t>
  </si>
  <si>
    <t>3232223968 - 3133507866</t>
  </si>
  <si>
    <t>BUENA 42</t>
  </si>
  <si>
    <t>AMARRA 660</t>
  </si>
  <si>
    <t xml:space="preserve">TOLRA MANZ B CASA 20 </t>
  </si>
  <si>
    <t>BARRIO TOLRA</t>
  </si>
  <si>
    <t>lexajimenezvale@gmail.com</t>
  </si>
  <si>
    <t>MARIA AMPARO ARBELAEZ MARTINEZ</t>
  </si>
  <si>
    <t>BUENA 44</t>
  </si>
  <si>
    <t>AMARRA 661</t>
  </si>
  <si>
    <t xml:space="preserve">CALLE 7 # 6 1 - 07 </t>
  </si>
  <si>
    <t>amparoarbelaez7@gmail.com</t>
  </si>
  <si>
    <t>LIZETH CRISTINA JIMENEZ NARVAEZ</t>
  </si>
  <si>
    <t>3007583523 - 3114632090</t>
  </si>
  <si>
    <t>BUENA 47</t>
  </si>
  <si>
    <t>AMARRA 665</t>
  </si>
  <si>
    <t>CALLE 1B # 2 - 16</t>
  </si>
  <si>
    <t>MIRADOR</t>
  </si>
  <si>
    <t>luizethjimenez1988@gmail.com</t>
  </si>
  <si>
    <t>CESAR MAURICIO HINCAPIE</t>
  </si>
  <si>
    <t>3183595909 - 3188642042</t>
  </si>
  <si>
    <t xml:space="preserve">BUENA 48 </t>
  </si>
  <si>
    <t>AMARRA 642</t>
  </si>
  <si>
    <t>CALLE 1B # 2 - 22</t>
  </si>
  <si>
    <t>maurosjj100@gmail.com</t>
  </si>
  <si>
    <t>SORAIDA GALLEGO ACERO</t>
  </si>
  <si>
    <t>3116181915 - 3248293510</t>
  </si>
  <si>
    <t>BUENA 49</t>
  </si>
  <si>
    <t>AMARRA 643</t>
  </si>
  <si>
    <t>CALLE 3 # 4 41</t>
  </si>
  <si>
    <t>aprietabaratonpaisa@gmail.com</t>
  </si>
  <si>
    <t>BUENA 50</t>
  </si>
  <si>
    <t>CALLE 2 # 4A - 22</t>
  </si>
  <si>
    <t>MARIANA CORRALES PAVAS</t>
  </si>
  <si>
    <t>3187560937 - 3142346319</t>
  </si>
  <si>
    <t>BUENA 43</t>
  </si>
  <si>
    <t>AMARRA 645</t>
  </si>
  <si>
    <t>CRA 2C # 1A - 39</t>
  </si>
  <si>
    <t>NUEVA ESPERANZA ETAPA 2</t>
  </si>
  <si>
    <t>DANIELA RESTREPO MORENO</t>
  </si>
  <si>
    <t>3137695455 - 3103755213</t>
  </si>
  <si>
    <t>BUENA 52</t>
  </si>
  <si>
    <t>AMARRA 650</t>
  </si>
  <si>
    <t>MANZ B CASA 10</t>
  </si>
  <si>
    <t xml:space="preserve">TORAL </t>
  </si>
  <si>
    <t>danielarestrepomoreno72@gmail.com</t>
  </si>
  <si>
    <t>PAULA MARCELA SOTO</t>
  </si>
  <si>
    <t>3193570794 - 3017178258</t>
  </si>
  <si>
    <t>BUENA 53</t>
  </si>
  <si>
    <t xml:space="preserve">CALLE 1 B # 2 - 08 </t>
  </si>
  <si>
    <t>paulaosorio191@gmail.com</t>
  </si>
  <si>
    <t>CRISTIAN CAMILO SABOGAL FORERO</t>
  </si>
  <si>
    <t>3156612107 - 3146619304</t>
  </si>
  <si>
    <t>BUENA 54</t>
  </si>
  <si>
    <t>AMARRA 652</t>
  </si>
  <si>
    <t>CARNICERIA CHILO CENTRO</t>
  </si>
  <si>
    <t xml:space="preserve">LUZ ELENA LOPEZ PALACIO </t>
  </si>
  <si>
    <t xml:space="preserve">3103594412 - 3117338558 </t>
  </si>
  <si>
    <t>BUENA 55</t>
  </si>
  <si>
    <t>AMARRA 653</t>
  </si>
  <si>
    <r>
      <rPr>
        <sz val="11"/>
        <color theme="1"/>
        <rFont val="Calibri"/>
        <family val="2"/>
      </rPr>
      <t xml:space="preserve">CALLE 3 </t>
    </r>
    <r>
      <rPr>
        <i/>
        <sz val="11"/>
        <color theme="1"/>
        <rFont val="Calibri"/>
        <family val="2"/>
      </rPr>
      <t># 4 . 35</t>
    </r>
  </si>
  <si>
    <t>CENTRO FONDA</t>
  </si>
  <si>
    <t>luzhelopa@gmail.com</t>
  </si>
  <si>
    <t>SONIA YAMILE CASTILLO GALLON</t>
  </si>
  <si>
    <t xml:space="preserve">3193548903 - 3122593905 </t>
  </si>
  <si>
    <t>BUENA 56</t>
  </si>
  <si>
    <t>AMARRA 654</t>
  </si>
  <si>
    <t>EL TORRA</t>
  </si>
  <si>
    <t xml:space="preserve">CASA BLANCA ESCALAS </t>
  </si>
  <si>
    <t>gaonasara119@gamil.com</t>
  </si>
  <si>
    <t xml:space="preserve">PAOLA ANDREA OSORIO SANCHEZ </t>
  </si>
  <si>
    <t>3133843453 - 3103578290</t>
  </si>
  <si>
    <t>BUENA 58</t>
  </si>
  <si>
    <t>AMARRA 864</t>
  </si>
  <si>
    <t>CRA 2 D # 1 A - 37</t>
  </si>
  <si>
    <t>paolaandreaosoriosanchez@gmail.com</t>
  </si>
  <si>
    <t>ELIANA MARIA RESTREPO GARCES</t>
  </si>
  <si>
    <t>3113515765 - 3183651896</t>
  </si>
  <si>
    <t>BUENA 60</t>
  </si>
  <si>
    <t>AMARRA 480</t>
  </si>
  <si>
    <t>CALLE 3 # 5 - 08</t>
  </si>
  <si>
    <t>elianagarses1978@gmail.com</t>
  </si>
  <si>
    <t>JUAN CAMILO MORALES MORALES</t>
  </si>
  <si>
    <t>BUENA 62</t>
  </si>
  <si>
    <t>AMARRA 634</t>
  </si>
  <si>
    <t>CRA 5 # 5 09</t>
  </si>
  <si>
    <t>moralesjuancamilo98@gmail.com</t>
  </si>
  <si>
    <t>MARIA JOHANA MONTOYA GIRALDO</t>
  </si>
  <si>
    <t>BUENA 63</t>
  </si>
  <si>
    <t>AMARRA 635</t>
  </si>
  <si>
    <t>CRA 4A # 1-09</t>
  </si>
  <si>
    <t>VILLA JARDIN</t>
  </si>
  <si>
    <t>johamontoya23@gmail.com</t>
  </si>
  <si>
    <t xml:space="preserve">YORLEDY MARIA VELASQUEZ ESCOBAR </t>
  </si>
  <si>
    <t>BUENA 64</t>
  </si>
  <si>
    <t>AMARRA 636</t>
  </si>
  <si>
    <t>CALLE 2 # 3 12</t>
  </si>
  <si>
    <t>yorledyyvelasquez88@gmail.com</t>
  </si>
  <si>
    <t>FLOR JANETH CARDENAS ARANGO</t>
  </si>
  <si>
    <t>3137820640 - 3225438794</t>
  </si>
  <si>
    <t xml:space="preserve">BUENA 65 </t>
  </si>
  <si>
    <t>AMARRA 637</t>
  </si>
  <si>
    <t>CALLE 2 # 4A 14 BAJOS</t>
  </si>
  <si>
    <t>fjaneth_83@hotmail.com</t>
  </si>
  <si>
    <t>JULIAN DAVID MONTOYA VELEZ</t>
  </si>
  <si>
    <t>3127771455 - 3122034919</t>
  </si>
  <si>
    <t>BUENA 67</t>
  </si>
  <si>
    <t>AMARRA 618</t>
  </si>
  <si>
    <t xml:space="preserve">CALLE 3 # 6 -13 </t>
  </si>
  <si>
    <t>DETRÁS DE BOMBEROS CENTRO</t>
  </si>
  <si>
    <t>superbitesquindio@gmail.com</t>
  </si>
  <si>
    <t>ROGELIO HENAO OSORIO</t>
  </si>
  <si>
    <t>BUENA 59</t>
  </si>
  <si>
    <t>CALLE 3 CRA 4 ESQUINA</t>
  </si>
  <si>
    <t>JHON EDWARD DIAZ BOHORQUEZ</t>
  </si>
  <si>
    <t>BUENA 68</t>
  </si>
  <si>
    <t>CALLE 2 3 04</t>
  </si>
  <si>
    <t>jhonedward82@hotmail.com</t>
  </si>
  <si>
    <t>ROSA INES QUITIAN DE ARIZA</t>
  </si>
  <si>
    <t>BUENA 69</t>
  </si>
  <si>
    <t>CALLE 3 5 62</t>
  </si>
  <si>
    <t>CENTRO CAFÉ MUJER</t>
  </si>
  <si>
    <t>juankporras430@gmail.com</t>
  </si>
  <si>
    <t>CARMEN JULIA TRUJILLO</t>
  </si>
  <si>
    <t>3113491980 - 3248587318</t>
  </si>
  <si>
    <t>BUENA 70</t>
  </si>
  <si>
    <t>AMARRA 631</t>
  </si>
  <si>
    <t>40 Megas</t>
  </si>
  <si>
    <t xml:space="preserve">FINCA EL PARAISO </t>
  </si>
  <si>
    <t xml:space="preserve">VDA LA CABAÑA </t>
  </si>
  <si>
    <t>carmenjulia140987@gmail.com</t>
  </si>
  <si>
    <t>NO C / NO RES</t>
  </si>
  <si>
    <t>HECTOR CUELLAR GIRALDO</t>
  </si>
  <si>
    <t>3234119354 - 3116378507</t>
  </si>
  <si>
    <t>BUENA 12</t>
  </si>
  <si>
    <t>AMARRA 633</t>
  </si>
  <si>
    <t>BUENA ESPERANZA CASA 1A 09</t>
  </si>
  <si>
    <t>hectorcuellargiraldo0@gmail.com</t>
  </si>
  <si>
    <t>JAIR ANTONIO DELGADO MIRAMA</t>
  </si>
  <si>
    <t>3207804404 - 3012938834</t>
  </si>
  <si>
    <t>BUENA 72</t>
  </si>
  <si>
    <t>AMARRA 611</t>
  </si>
  <si>
    <t>CALLE 4  4 54</t>
  </si>
  <si>
    <t>jair567.antonio@gmail.com</t>
  </si>
  <si>
    <t>ALEX CLARENA GARZON RAMIREZ</t>
  </si>
  <si>
    <t>3135629438 - 3135633204</t>
  </si>
  <si>
    <t>BUENA 2</t>
  </si>
  <si>
    <t>CRA 5 # 2 - 4</t>
  </si>
  <si>
    <t>clarenagarzon17@gmail.com</t>
  </si>
  <si>
    <t xml:space="preserve">BLANCA CECILIA GARCIA CASTIBLANCO </t>
  </si>
  <si>
    <t>3215183422-3209570496</t>
  </si>
  <si>
    <t>BUENA16</t>
  </si>
  <si>
    <t>CALLE 3 1 33</t>
  </si>
  <si>
    <t>ALTO BONITO</t>
  </si>
  <si>
    <t>ANA MILENA OCAMPO OSORIO</t>
  </si>
  <si>
    <t>3113015456-3104869939</t>
  </si>
  <si>
    <t>BUENA74</t>
  </si>
  <si>
    <t>CALLE 3 6 18 PISO 1</t>
  </si>
  <si>
    <t>NARANJAL</t>
  </si>
  <si>
    <t>LUIS HERNANDO DUQUE OROZCO</t>
  </si>
  <si>
    <t>3104452392 - 3105475818</t>
  </si>
  <si>
    <t>BUENA 13</t>
  </si>
  <si>
    <t>CRA 12 # 1 - 41</t>
  </si>
  <si>
    <t>ludari1960@gmail.com</t>
  </si>
  <si>
    <t>MARTHA ISABEL CARDONA</t>
  </si>
  <si>
    <t>3104312719 - 3116299749</t>
  </si>
  <si>
    <t>MANZA B CASA 19</t>
  </si>
  <si>
    <t>luisfgallon@gmail.com</t>
  </si>
  <si>
    <t>ANGELA MARIA LOAIZA RENDON</t>
  </si>
  <si>
    <t>BUENA 39</t>
  </si>
  <si>
    <t>MANZ B CASA 21</t>
  </si>
  <si>
    <t>aloaiza904@gmail.com</t>
  </si>
  <si>
    <t>ANIBAL CALLE URIBE</t>
  </si>
  <si>
    <t>3204763606 - 3137208588</t>
  </si>
  <si>
    <t>BUENA 66</t>
  </si>
  <si>
    <t>CALLE 3 # 8 - 54</t>
  </si>
  <si>
    <t>anibalcalle498@gmail.com</t>
  </si>
  <si>
    <t>PATRICIA CARRERA TASCON</t>
  </si>
  <si>
    <t>3162050202 - 3155698497</t>
  </si>
  <si>
    <t>BUENA 76</t>
  </si>
  <si>
    <t>CALLE 3 7 28</t>
  </si>
  <si>
    <t>jrioscarrera@gmail.com</t>
  </si>
  <si>
    <t>NINI JHANA QUINTERO</t>
  </si>
  <si>
    <t>BUENA 77</t>
  </si>
  <si>
    <t>CARRERA 4 1 28</t>
  </si>
  <si>
    <t>GLORIA CECILIA ARCE</t>
  </si>
  <si>
    <t>3155956646 - 3103513739</t>
  </si>
  <si>
    <t>BUENA 78</t>
  </si>
  <si>
    <t>CARRERA 1 2 61</t>
  </si>
  <si>
    <t>MIRADOR BAJO</t>
  </si>
  <si>
    <t>HERNAN MILLAN RUIZ</t>
  </si>
  <si>
    <t>3116438158 - 3203474328</t>
  </si>
  <si>
    <t>BUENA 18</t>
  </si>
  <si>
    <t>CARRERA 4 1 03</t>
  </si>
  <si>
    <t>DIAGONAL A LA IGLESIA</t>
  </si>
  <si>
    <t>MARILUZ GIRALDO CASTAÑED</t>
  </si>
  <si>
    <t>3004562561 - 3044025269</t>
  </si>
  <si>
    <t>BUENA 51</t>
  </si>
  <si>
    <t>BUENAVISA</t>
  </si>
  <si>
    <t>CARRERA 2 B # 1A - 33</t>
  </si>
  <si>
    <t>ULVIO ANDRES SANCHEZ YEPEZ</t>
  </si>
  <si>
    <t>BUENA 31</t>
  </si>
  <si>
    <t>FINCA EL SILENCIO</t>
  </si>
  <si>
    <t>andresanchez1029@gmail.com</t>
  </si>
  <si>
    <t>ANDRES FELIPE AGUDELO ROJAS</t>
  </si>
  <si>
    <t>BUENA 73</t>
  </si>
  <si>
    <t>andres.agu47@gmail.com</t>
  </si>
  <si>
    <t>VEREDA</t>
  </si>
  <si>
    <t>FINCA</t>
  </si>
  <si>
    <t>ALEXANDER MARULANDA NOREÑA</t>
  </si>
  <si>
    <t>ARP 10.10.10.78</t>
  </si>
  <si>
    <t>CANOAS</t>
  </si>
  <si>
    <t>SEVILLA RURAL</t>
  </si>
  <si>
    <t>ALTO RODIO</t>
  </si>
  <si>
    <t>LAS NIEVES</t>
  </si>
  <si>
    <t>alemano_2@live.com</t>
  </si>
  <si>
    <t>ANDREA MENDEZ</t>
  </si>
  <si>
    <t>1081392227</t>
  </si>
  <si>
    <t>ARP 10.10.10.89</t>
  </si>
  <si>
    <t>ALTOMIRA</t>
  </si>
  <si>
    <t>LA ESPERANZA</t>
  </si>
  <si>
    <t>ANGIE PAOLA VELENCIA BRIÑEZ</t>
  </si>
  <si>
    <t>ARP 10.10.10.20</t>
  </si>
  <si>
    <t>BILLAR BAJO</t>
  </si>
  <si>
    <t>LA PLAYITA</t>
  </si>
  <si>
    <t>angie.2000.paola.17@gmail.com</t>
  </si>
  <si>
    <t>ARLES GIRALDO PEÑA</t>
  </si>
  <si>
    <t>ARP 10.10.10.191</t>
  </si>
  <si>
    <t>CEBOLLAL</t>
  </si>
  <si>
    <t>LA PRIMAVERA</t>
  </si>
  <si>
    <t>arlexgiraldo215@gmail.com</t>
  </si>
  <si>
    <t>BEATRIZ CARDONA JARAMILLO</t>
  </si>
  <si>
    <t>ARP 10.10.10.98</t>
  </si>
  <si>
    <t>CEBOLLA</t>
  </si>
  <si>
    <t>BUENOS AIRES</t>
  </si>
  <si>
    <t>CARLOS ANDRES GONZALEZ LEON</t>
  </si>
  <si>
    <t>ARP 10.10.10.104</t>
  </si>
  <si>
    <t>EL ROCIO LAGUNA</t>
  </si>
  <si>
    <t>LA CIRIA</t>
  </si>
  <si>
    <t>DIANA SOFIA FERRO</t>
  </si>
  <si>
    <t>3156521125 - 3158519575</t>
  </si>
  <si>
    <t>ARP 10.10.10.138</t>
  </si>
  <si>
    <t>ALTO SANMARCOS</t>
  </si>
  <si>
    <t>LOS LIRIOS</t>
  </si>
  <si>
    <t>DIEGO ALEJANDRO LASSO CARDONA</t>
  </si>
  <si>
    <t>ARP 10.10.10.114</t>
  </si>
  <si>
    <t>MEDIO SAN MARCOS</t>
  </si>
  <si>
    <t>LA FINQUITA</t>
  </si>
  <si>
    <t>geraldineyerika@gmail.com</t>
  </si>
  <si>
    <t>GLORIA LILIANA MORA</t>
  </si>
  <si>
    <t>ARP 10.10.10.122</t>
  </si>
  <si>
    <t>EL JARDIN</t>
  </si>
  <si>
    <t>glolili2009@gmail.com</t>
  </si>
  <si>
    <t>JAVIER MUÑOZ VILLA</t>
  </si>
  <si>
    <t>ARP 10.10.10.9</t>
  </si>
  <si>
    <t>EL BRASIL</t>
  </si>
  <si>
    <t>JORGE LUIS PORTILLA ROSERO</t>
  </si>
  <si>
    <t>ARP 10.10.10.55</t>
  </si>
  <si>
    <t>SAN MARCOS</t>
  </si>
  <si>
    <t>EL SILENCIO</t>
  </si>
  <si>
    <t>sandrajc1977@gmail.com</t>
  </si>
  <si>
    <t>NUMERO NO VALIDO</t>
  </si>
  <si>
    <t>KATHERINE PARRA</t>
  </si>
  <si>
    <t>ARP 10.10.10.16</t>
  </si>
  <si>
    <t>LA HERMOSA</t>
  </si>
  <si>
    <t>LEIDY JOHANA HURTADO</t>
  </si>
  <si>
    <t>ARP 10.10.10.135</t>
  </si>
  <si>
    <t>LAGUNA</t>
  </si>
  <si>
    <t>LA CABAÑA</t>
  </si>
  <si>
    <t>LIBIA ROSSANA MOICA SALINAS</t>
  </si>
  <si>
    <t>ARP 10.10.10.140</t>
  </si>
  <si>
    <t>LA IRLANDA</t>
  </si>
  <si>
    <t>EL RESPLADO</t>
  </si>
  <si>
    <t>LUIS ENRIQUE OLIVERA TORRE</t>
  </si>
  <si>
    <t>ARP 10.10.10.120</t>
  </si>
  <si>
    <t>EL RETIRO</t>
  </si>
  <si>
    <t>luisenriqueoliveratorres@hotmail.com</t>
  </si>
  <si>
    <t>MARIA EDI MARTINEZ</t>
  </si>
  <si>
    <t>ARP 10.10.10.124</t>
  </si>
  <si>
    <t>ALTO DEL ROSIO</t>
  </si>
  <si>
    <t>NORCACIA</t>
  </si>
  <si>
    <t>mariaedymartinez79@gmail.com</t>
  </si>
  <si>
    <t>MARIA ISABEL DIAZ GONZALEZ</t>
  </si>
  <si>
    <t>ARP 10.10.10.81</t>
  </si>
  <si>
    <t>LA FLORESTA</t>
  </si>
  <si>
    <t>LAS DELICIAS</t>
  </si>
  <si>
    <t>MAURICIO CADENA CALDERON</t>
  </si>
  <si>
    <t>ARP 10.10.10.178</t>
  </si>
  <si>
    <t>MONTEBELLO</t>
  </si>
  <si>
    <t>ORLANDO ANTONIO MARIN CEBALLOS</t>
  </si>
  <si>
    <t>ARP 10.10.10.71</t>
  </si>
  <si>
    <t>EL BILLAR</t>
  </si>
  <si>
    <t>EL COMINO</t>
  </si>
  <si>
    <t>orlandoantonio.marin1@hotmail.com</t>
  </si>
  <si>
    <t>REINALDO TORRES SANCHEZ</t>
  </si>
  <si>
    <t>ARP 10.10.10.73</t>
  </si>
  <si>
    <t>maot200@gmail.com</t>
  </si>
  <si>
    <t>RICARDO HURTADO ECHAVARRIA</t>
  </si>
  <si>
    <t>ARP 10.10.10.152</t>
  </si>
  <si>
    <t>ALTO ROCIO</t>
  </si>
  <si>
    <t>ROCIO GIRALDO</t>
  </si>
  <si>
    <t>ARP 10.10.10.94</t>
  </si>
  <si>
    <t>VILLA CLARA</t>
  </si>
  <si>
    <t>VIVIANA GONZALEZ VALLEJO</t>
  </si>
  <si>
    <t>ARP 10.10.10.7</t>
  </si>
  <si>
    <t>LA NIEVE</t>
  </si>
  <si>
    <t>vallejo@gmail.com</t>
  </si>
  <si>
    <t>YENI ALEJANDRA MORA CEBALLOS</t>
  </si>
  <si>
    <t>ARP 10.10.10.90</t>
  </si>
  <si>
    <t>EL PENCIL</t>
  </si>
  <si>
    <t>yennymoraceballos@gmail.com</t>
  </si>
  <si>
    <t>LORENA GIL CAÑAS</t>
  </si>
  <si>
    <t>ARP 10.10.10.132</t>
  </si>
  <si>
    <t>lorenagil442@gmail.com</t>
  </si>
  <si>
    <t>GONZAGA ANDRES MUÑOZ VILLA</t>
  </si>
  <si>
    <t>ARP 10.10.10.8</t>
  </si>
  <si>
    <t>JUAN FELIPE SANCHEZ</t>
  </si>
  <si>
    <t>ARP 10.10.10.129</t>
  </si>
  <si>
    <t>50 MEGAS</t>
  </si>
  <si>
    <t>COLEGIO LA LAGUNA</t>
  </si>
  <si>
    <t>pool.fenix.fs@gmail.com</t>
  </si>
  <si>
    <t>MARIA FERNANDA CASTAÑO</t>
  </si>
  <si>
    <t>3148212574 -3108923618</t>
  </si>
  <si>
    <t>ARP 10.10.10.131</t>
  </si>
  <si>
    <t>MORRO AZUL</t>
  </si>
  <si>
    <t>EL MANZANO</t>
  </si>
  <si>
    <t>LA Y</t>
  </si>
  <si>
    <t>ortiznatalia578@gmail.com</t>
  </si>
  <si>
    <t>CARLOS ANDRES VALENCIA MARTINEZ</t>
  </si>
  <si>
    <t>ARP 10.10.10.107</t>
  </si>
  <si>
    <t>PEÑAS BLANCAS</t>
  </si>
  <si>
    <t>JUAN HERMINSOL HERNANDEZ GUZMAN</t>
  </si>
  <si>
    <t>3177928702 - 3215037469</t>
  </si>
  <si>
    <t>ARP 10.10.10.76</t>
  </si>
  <si>
    <t>LA AGUACATERA</t>
  </si>
  <si>
    <t>osoriomarcela990@gmail.com</t>
  </si>
  <si>
    <t>JUAN DIEGO PATIÑO RUIZ</t>
  </si>
  <si>
    <t>ARP 10.10.10.125</t>
  </si>
  <si>
    <t>LA FORTUNA</t>
  </si>
  <si>
    <t>MARIA EUGENIA CARDONA HENAO</t>
  </si>
  <si>
    <t>ARP 10.10.10.77</t>
  </si>
  <si>
    <t>CASERIO</t>
  </si>
  <si>
    <t xml:space="preserve">JAIRO ARIZA AGUIRRE </t>
  </si>
  <si>
    <t>3124904743 - 3115282699</t>
  </si>
  <si>
    <t>ARP 10.10.10.49</t>
  </si>
  <si>
    <t>LA MARIA</t>
  </si>
  <si>
    <t>jairoarizaelretiro@gmail.com</t>
  </si>
  <si>
    <t>CARLOS EDUARDO CANO COLORADO</t>
  </si>
  <si>
    <t>3001240497 - 3108409997</t>
  </si>
  <si>
    <t>ARP 10.10.10.12</t>
  </si>
  <si>
    <t>EL MIRADOR</t>
  </si>
  <si>
    <t>canocarloseduardo6@gmail.com</t>
  </si>
  <si>
    <t xml:space="preserve">DIEGO ALEJANDRO GONZALEZ </t>
  </si>
  <si>
    <t>3147208739 - 3166115942</t>
  </si>
  <si>
    <t>ARP 10.10.10.11</t>
  </si>
  <si>
    <t>LAS BRISAS</t>
  </si>
  <si>
    <t>CASA 1 ENSEGUIDA COLEGIO</t>
  </si>
  <si>
    <t>AURORA CRADONA ARBOLEDA</t>
  </si>
  <si>
    <t>3134495880 - 3146282353</t>
  </si>
  <si>
    <t>ARP 10.10.10.60</t>
  </si>
  <si>
    <t>VEREDA CALAMAR</t>
  </si>
  <si>
    <t>FINCA GUAYABAL</t>
  </si>
  <si>
    <t>garciaosoriojorgealirio@gmail.com</t>
  </si>
  <si>
    <t>NIDIA PELAEZ PELAEZ</t>
  </si>
  <si>
    <t>3508325338 - 3127404817</t>
  </si>
  <si>
    <t>ARP 10.10.10.108</t>
  </si>
  <si>
    <t>FINCA ARAWI</t>
  </si>
  <si>
    <t>nidia.pelaezarawi@gmail.com</t>
  </si>
  <si>
    <t>MARIA PASTORA ARIAS OSPINA</t>
  </si>
  <si>
    <t>3215863132 - 3137593698</t>
  </si>
  <si>
    <t>ARP 10.10.10.185</t>
  </si>
  <si>
    <t>FINCA LA ILUSION</t>
  </si>
  <si>
    <t>derago922@gmail.com</t>
  </si>
  <si>
    <t>SANTIAGO SANMARTIN VELEZ</t>
  </si>
  <si>
    <t>3178849296 - 3218296589</t>
  </si>
  <si>
    <t>ARP 10.10.10.6</t>
  </si>
  <si>
    <t>FINCA LA CARMELITA</t>
  </si>
  <si>
    <t>angelasalinas960@yahoo.com</t>
  </si>
  <si>
    <t>LUIS ANTONIO ARIAS FRANCO</t>
  </si>
  <si>
    <t>ARP 10.10.10.21</t>
  </si>
  <si>
    <t>VEREDA CEBOLLAL</t>
  </si>
  <si>
    <t>FINCA BALOSO</t>
  </si>
  <si>
    <t>luisan789899@gmail.com</t>
  </si>
  <si>
    <t>LUZ DARY CORREA ORTIZ</t>
  </si>
  <si>
    <t>VEREDA EL AMULEN</t>
  </si>
  <si>
    <t>FINCA LA ESPERANZA</t>
  </si>
  <si>
    <t>LUZ MARIELA MURILLO</t>
  </si>
  <si>
    <t>3233675832 - 3136372471</t>
  </si>
  <si>
    <t>ARP 10.10.10.121</t>
  </si>
  <si>
    <t>VDA EL BILLAR</t>
  </si>
  <si>
    <t>EL MANANTIAL</t>
  </si>
  <si>
    <t>immurillo2372@gmail.com</t>
  </si>
  <si>
    <t>NO CONTESTA NI RESPONDE</t>
  </si>
  <si>
    <t>JEFERSSON ARCILA LESMES</t>
  </si>
  <si>
    <t>3218287123 - 3106552427</t>
  </si>
  <si>
    <t>ARP 10.10.10.22</t>
  </si>
  <si>
    <t>EL DANUBIO</t>
  </si>
  <si>
    <t>VDA ALTO MIRA</t>
  </si>
  <si>
    <t>arcilajeferson4@gmail.com</t>
  </si>
  <si>
    <t>JUAN SEBASTIAN TORREZ</t>
  </si>
  <si>
    <t>3215973108 - 3225825467</t>
  </si>
  <si>
    <t>ARP 10.10.10.69</t>
  </si>
  <si>
    <t>BAJO VENADO</t>
  </si>
  <si>
    <t>FINCA VENECIA</t>
  </si>
  <si>
    <t>lurdessernaf@gmail.com</t>
  </si>
  <si>
    <t>NESTOR GOMEZ VANEGAS</t>
  </si>
  <si>
    <t>3146498385 - 3148978089</t>
  </si>
  <si>
    <t>ARP 10.10.10.24</t>
  </si>
  <si>
    <t>FINCA EGIPTO</t>
  </si>
  <si>
    <t>marianellybuitragomuñoz@gmail.com</t>
  </si>
  <si>
    <t>JEFFERSON PAZ ZULETA</t>
  </si>
  <si>
    <t>3166700316 - 3185515863</t>
  </si>
  <si>
    <t>ARP 10.10.10.193</t>
  </si>
  <si>
    <t>VDA CEBOLLAL</t>
  </si>
  <si>
    <t>FINC IGLESIA PENTECOSTAL</t>
  </si>
  <si>
    <t>pazzuletajefferson@gmail.com</t>
  </si>
  <si>
    <t>JULIAN ANDRES SANTOS RUIZ</t>
  </si>
  <si>
    <t>ARP 10.10.10.31</t>
  </si>
  <si>
    <t>SAN ANTONIO</t>
  </si>
  <si>
    <t>SUBESTACION POLICIA</t>
  </si>
  <si>
    <t>juliansantosruiz89@gmail.com</t>
  </si>
  <si>
    <t>EDILBERTO ALEJANDRO MADROÑERO</t>
  </si>
  <si>
    <t>3225330920 - 3178714901</t>
  </si>
  <si>
    <t>ARP 10.10.1020</t>
  </si>
  <si>
    <t>VSA EL VENADO</t>
  </si>
  <si>
    <t>FNC EL CRAMEN</t>
  </si>
  <si>
    <t>alejandromadrone@gmail.com</t>
  </si>
  <si>
    <t>JEFERSON ARCILA LESMES</t>
  </si>
  <si>
    <t>ARP 10.10.10.33</t>
  </si>
  <si>
    <t>FNCA SAN FERNANDO</t>
  </si>
  <si>
    <t>LUIS CARLOS CARDONA HENAO</t>
  </si>
  <si>
    <t>3232949819 - 3135645224</t>
  </si>
  <si>
    <t>ARP 10.10.10.168</t>
  </si>
  <si>
    <t>FINCA CASERIO CEBOLLA</t>
  </si>
  <si>
    <t>luiscarloscardona227@gmail.com</t>
  </si>
  <si>
    <t>HENRY GIRALDO</t>
  </si>
  <si>
    <t>VDA LA LAGUNA</t>
  </si>
  <si>
    <t>FNC MANANTIAL</t>
  </si>
  <si>
    <t>CLAUDIA LORENA OGARI NIASA</t>
  </si>
  <si>
    <t>3152330595 - 3155060036</t>
  </si>
  <si>
    <t>ARP 10.10.10.84</t>
  </si>
  <si>
    <t xml:space="preserve">VEREDA EL VARCINO </t>
  </si>
  <si>
    <t>RESGUARDO INDIGENA</t>
  </si>
  <si>
    <t>claudialon14@gmail.com</t>
  </si>
  <si>
    <t>FLOR DE MARIA GARCIA SASTOQUE</t>
  </si>
  <si>
    <t>3176879618 - 3152681493</t>
  </si>
  <si>
    <t>ARP 10.10.10.50</t>
  </si>
  <si>
    <t>FINCA BUENAVISTA</t>
  </si>
  <si>
    <t>JOSE DAVID OTALVARO VALENCIA</t>
  </si>
  <si>
    <t>3122410157 - 3233688076</t>
  </si>
  <si>
    <t>ARP 10.10.10.51</t>
  </si>
  <si>
    <t>ALTO MIRA</t>
  </si>
  <si>
    <t>EL CANEY</t>
  </si>
  <si>
    <t>JOSE RUBIEL GARCIA OSPINA</t>
  </si>
  <si>
    <t xml:space="preserve"> ARP 10.10.10.23</t>
  </si>
  <si>
    <t>CASA 2 CASERIOCEBOLLAL</t>
  </si>
  <si>
    <t>MARIA BELISA PABON MONTES</t>
  </si>
  <si>
    <t>ARP 10.10.10.79</t>
  </si>
  <si>
    <t>LA SONORA</t>
  </si>
  <si>
    <t>JEFERSON ARCILA LESMES (NO CORTAR)</t>
  </si>
  <si>
    <t>ARP 10.10.10.25</t>
  </si>
  <si>
    <t>FINCA NUEVA</t>
  </si>
  <si>
    <t>VEREDA ALTO MIRA</t>
  </si>
  <si>
    <t>DIEGO GALVIS GIRALDO</t>
  </si>
  <si>
    <t>3224590232-3207341480</t>
  </si>
  <si>
    <t>ARP 10.10.10.19</t>
  </si>
  <si>
    <t xml:space="preserve">FINCA IBERIA </t>
  </si>
  <si>
    <t>MILONGA</t>
  </si>
  <si>
    <t>ELDA IRENE GARCIA VERGARA</t>
  </si>
  <si>
    <t>ARP 10,10,10,176</t>
  </si>
  <si>
    <t>ESCUELA PALOMINO</t>
  </si>
  <si>
    <t>VEREDA PALOMINO</t>
  </si>
  <si>
    <t>ig5618672@gmail.xom</t>
  </si>
  <si>
    <t>ANGEL AMIN MARTINEZ</t>
  </si>
  <si>
    <t>3147386507 - 3127326647</t>
  </si>
  <si>
    <t>ARP 10,10,103</t>
  </si>
  <si>
    <t>FINCA LA CABAÑA</t>
  </si>
  <si>
    <t xml:space="preserve">JHON JAIBER CICLOS </t>
  </si>
  <si>
    <t>3234021027 - 3106672581</t>
  </si>
  <si>
    <t>ARP 10,10,10,15</t>
  </si>
  <si>
    <t>FINCA LAS DALIAS</t>
  </si>
  <si>
    <t>VEREDA EL BILLAR</t>
  </si>
  <si>
    <t>YANET SAN MARTIN VELEZ</t>
  </si>
  <si>
    <t>3172507187 - 3127641589</t>
  </si>
  <si>
    <t>ARP 10.10.10.127</t>
  </si>
  <si>
    <t>FINCA EL BERGEL</t>
  </si>
  <si>
    <t xml:space="preserve">ENTRADA POR SAN ANTONIO </t>
  </si>
  <si>
    <t>JEFFERSON MARIN</t>
  </si>
  <si>
    <t>ARP 10.10.10.169</t>
  </si>
  <si>
    <t>DAVIVIENDA</t>
  </si>
  <si>
    <t>FINCA EL CASTILLO</t>
  </si>
  <si>
    <t>VEREDA BILLAR</t>
  </si>
  <si>
    <t>DEIGO</t>
  </si>
  <si>
    <t>GLADIS GARCIA OSPINA</t>
  </si>
  <si>
    <t>3163078284 - 3186608260</t>
  </si>
  <si>
    <t>ARP 10.10.10.35</t>
  </si>
  <si>
    <t>FINCA CASA ROJA</t>
  </si>
  <si>
    <t>yefersongarciaospina@gmail.com</t>
  </si>
  <si>
    <t>ADAN DE JESUS VELEZ FERNANDEZ</t>
  </si>
  <si>
    <t>3207783582 - 3118298112</t>
  </si>
  <si>
    <t>ARP 10.10.10.67</t>
  </si>
  <si>
    <t>EL VERGEL</t>
  </si>
  <si>
    <t>MARICELA GIRALDO DIAZ</t>
  </si>
  <si>
    <t>3173300997 - 3148602375</t>
  </si>
  <si>
    <t>ARP 10.10.10.15</t>
  </si>
  <si>
    <t>SAMARIA CASERIO</t>
  </si>
  <si>
    <t>maricelagd_17@gmail.com</t>
  </si>
  <si>
    <t>LEYDI JHOANNA PARRA NAVARRO</t>
  </si>
  <si>
    <t>3117981292 - 3113411160</t>
  </si>
  <si>
    <t>ARP 10.10.10.32</t>
  </si>
  <si>
    <t>40 MEGAS</t>
  </si>
  <si>
    <t>FINCA PORVENIR</t>
  </si>
  <si>
    <t>SEBASTIAN VASCO MIRA</t>
  </si>
  <si>
    <t>3145872421 - 3229463996</t>
  </si>
  <si>
    <t>ARP 10.10.10.26</t>
  </si>
  <si>
    <t>CASA AZUL</t>
  </si>
  <si>
    <t>avascomira@gmail.com</t>
  </si>
  <si>
    <t>JAIBY ORTIZ LANILLA</t>
  </si>
  <si>
    <t>ARP 10.10.10.4</t>
  </si>
  <si>
    <t>LA PICSINA</t>
  </si>
  <si>
    <t>MARIA MARLEDY MONTOYA GODOY</t>
  </si>
  <si>
    <t>3207876164 - 3127692531</t>
  </si>
  <si>
    <t>ARP 10.10.10.97</t>
  </si>
  <si>
    <t>FINCA MATA DE GUADUA</t>
  </si>
  <si>
    <t>montoyamarledy767@gmail.com</t>
  </si>
  <si>
    <t>CLOVER RICARDO PORTILLA GUZMAN</t>
  </si>
  <si>
    <t>ARP 10.10.10.36</t>
  </si>
  <si>
    <t>FINCA LUSITANIA</t>
  </si>
  <si>
    <t>VEREDA LA ISLENDS</t>
  </si>
  <si>
    <t>DELIA JAZMIN BRAVO BELTRAN</t>
  </si>
  <si>
    <t>3226165528 - 3128161517</t>
  </si>
  <si>
    <t>ARP 10.10.10.37</t>
  </si>
  <si>
    <t>FINCA CASA PREFABRICADA</t>
  </si>
  <si>
    <t>VEREDA SANTA ELENA</t>
  </si>
  <si>
    <t>YULIAN CALLE MARULANDA</t>
  </si>
  <si>
    <t>ARP 10.10.10.63</t>
  </si>
  <si>
    <t>CAICEDONIA</t>
  </si>
  <si>
    <t>BARRAGAN</t>
  </si>
  <si>
    <t>CABAÑA</t>
  </si>
  <si>
    <t>stvencalle71@gmail.com</t>
  </si>
  <si>
    <t>YEYMMI VIVIANA ACOSTA GUSTIN</t>
  </si>
  <si>
    <t>CRUCERO</t>
  </si>
  <si>
    <t>yeymmi2014@hotmail.com</t>
  </si>
  <si>
    <t>SORENY GALEANO MUÑOZ</t>
  </si>
  <si>
    <t>FRONTINO</t>
  </si>
  <si>
    <t>CORINTO</t>
  </si>
  <si>
    <t>SONIA MORA CUELLAR</t>
  </si>
  <si>
    <t>ARP 10.10.10.40</t>
  </si>
  <si>
    <t>LIMONES</t>
  </si>
  <si>
    <t>LOS SAMANES</t>
  </si>
  <si>
    <t>smorac4@hotmail.com</t>
  </si>
  <si>
    <t>SILVIO GALLEGO RESTREPO</t>
  </si>
  <si>
    <t>ARP 10.10.10.101</t>
  </si>
  <si>
    <t>EL EDEN</t>
  </si>
  <si>
    <t>silviogallego58@hotmail.com</t>
  </si>
  <si>
    <t>ORLANDO DE JESUS VELEZ MARIN</t>
  </si>
  <si>
    <t>BAR 096</t>
  </si>
  <si>
    <t>EL AGUACATAL</t>
  </si>
  <si>
    <t>ovelmar19@hotmail.com</t>
  </si>
  <si>
    <t>NAYIRE FERNANDEZ</t>
  </si>
  <si>
    <t>ALTO BARRAGAN</t>
  </si>
  <si>
    <t>RANCHO HECTOR</t>
  </si>
  <si>
    <t>MAURICIO DE JESUS ORTIZ CAMPIÑO</t>
  </si>
  <si>
    <t>ARP 10.10.10.144</t>
  </si>
  <si>
    <t>PUESTO DE SALUD</t>
  </si>
  <si>
    <t>MARTHA GIRALDO SALAZAR</t>
  </si>
  <si>
    <t>ARP 10.10.10.85</t>
  </si>
  <si>
    <t>VILLA AURORA</t>
  </si>
  <si>
    <t>negragi_20@hotmail.com</t>
  </si>
  <si>
    <t>LUZ ELVIA VILLA</t>
  </si>
  <si>
    <t>MORELIA</t>
  </si>
  <si>
    <t>LUZ AIDA HERNANDEZ MOLINA</t>
  </si>
  <si>
    <t>EL PLACER ALTO ( TOLIMA)</t>
  </si>
  <si>
    <t>luzaidahm2020@gmail.com</t>
  </si>
  <si>
    <t>LINA PATRICIA VILLA</t>
  </si>
  <si>
    <t>ARP 10.10.10.183</t>
  </si>
  <si>
    <t>TRAVESIAS</t>
  </si>
  <si>
    <t>linavillah@gmail.com</t>
  </si>
  <si>
    <t>LEYDI TATIANA LOMBANA</t>
  </si>
  <si>
    <t>ARP 10.10.10.99</t>
  </si>
  <si>
    <t>SAMARIA</t>
  </si>
  <si>
    <t>CASERIO PISO 2</t>
  </si>
  <si>
    <t>JULIAN ESCOBAR ESPINAL- SERVICIOS PROFESIONALES Y COMERCIALES SAS</t>
  </si>
  <si>
    <t>ARP 10.10.10.130</t>
  </si>
  <si>
    <t xml:space="preserve">CRUCERO </t>
  </si>
  <si>
    <t>FINCA EL OTOÑO</t>
  </si>
  <si>
    <t>diale2781@hotmail.com - amejia@serviprocom.com</t>
  </si>
  <si>
    <t>JUAN EDILSON SANTACRUZ LOPEZ</t>
  </si>
  <si>
    <t xml:space="preserve">ARP 10.10.10.13 </t>
  </si>
  <si>
    <t>SAMARIO</t>
  </si>
  <si>
    <t>edilopez1995@gmail.com</t>
  </si>
  <si>
    <t>JOSE DAITO CASTAÑO ALBA</t>
  </si>
  <si>
    <t xml:space="preserve">ARP 10.10.10.9 </t>
  </si>
  <si>
    <t>EL POPAL</t>
  </si>
  <si>
    <t>JONATHAN GALVIS NIETO</t>
  </si>
  <si>
    <t>ARP 10.10.10.117</t>
  </si>
  <si>
    <t>BAJO PIJAO</t>
  </si>
  <si>
    <t>LA FRONTERA</t>
  </si>
  <si>
    <t>JHON ESCOBAR GONZALEZ</t>
  </si>
  <si>
    <t>TIENDA FONDA</t>
  </si>
  <si>
    <t>GUSTAVO IBARRA SEGURA</t>
  </si>
  <si>
    <t>LA SUIZA</t>
  </si>
  <si>
    <t>LAS COLINAS ALIMENTADERO</t>
  </si>
  <si>
    <t>gustavoibarra843@gmail.com</t>
  </si>
  <si>
    <t>GUSTAVO ADOLFO ARANGO VALENCIA</t>
  </si>
  <si>
    <t>FERNEY</t>
  </si>
  <si>
    <t>LA CAMELIA</t>
  </si>
  <si>
    <t>LOS ANGELES</t>
  </si>
  <si>
    <t>ESPAÑA ESPAÑA ARNOLDO</t>
  </si>
  <si>
    <t>ARP 10.10.10.159</t>
  </si>
  <si>
    <t xml:space="preserve">ERIKA JULIETH AGUDELO </t>
  </si>
  <si>
    <t>ARP 10.10.10.118</t>
  </si>
  <si>
    <t>erikaagudelosamaria@gmail.com</t>
  </si>
  <si>
    <t>ELSA LILIANA GRANADA VELEZ</t>
  </si>
  <si>
    <t>ARP 10.10.10.57</t>
  </si>
  <si>
    <t>LA FLORA</t>
  </si>
  <si>
    <t>ELIZABETH ZULETA GRANADOS</t>
  </si>
  <si>
    <t>ARP 10.10.10.176</t>
  </si>
  <si>
    <t>VILLA INES VIVERO EL GRAN ERAZO</t>
  </si>
  <si>
    <t>EIDER GENTIL GAVIRIA DE LA CRUZ</t>
  </si>
  <si>
    <t>ARP 10.10.10.61</t>
  </si>
  <si>
    <t>LA DANIELA</t>
  </si>
  <si>
    <t>luisacifuentes505@gmail.com</t>
  </si>
  <si>
    <t>EDWIN CHAMORRO ROSERO</t>
  </si>
  <si>
    <t>ARP 10.10.10.65</t>
  </si>
  <si>
    <t>edwchamo383@gmail.com</t>
  </si>
  <si>
    <t>EDWAR ALFONSO LOPEZ GARCIA</t>
  </si>
  <si>
    <t>ARP 10.10.10.70</t>
  </si>
  <si>
    <t>PALOMINO</t>
  </si>
  <si>
    <t>JAMICA</t>
  </si>
  <si>
    <t>edwar-1985@hotmail.com</t>
  </si>
  <si>
    <t>CARMEN MARLENY BRAVO</t>
  </si>
  <si>
    <t>ARP 10.10.10.34</t>
  </si>
  <si>
    <t>EL VENADO</t>
  </si>
  <si>
    <t>CSERIO TIENDA EL INDIO</t>
  </si>
  <si>
    <t>ALEXANDER ACOSTA GUERRERO</t>
  </si>
  <si>
    <t>ARP 10.10.10.42</t>
  </si>
  <si>
    <t>ALZACIA</t>
  </si>
  <si>
    <t>xander.230493@gmail.com</t>
  </si>
  <si>
    <t>ALBA NIDIA GOMEZ MARTINEZ</t>
  </si>
  <si>
    <t>ARP 10.10.10.173</t>
  </si>
  <si>
    <t>GUAYABAL</t>
  </si>
  <si>
    <t>albanidiagomezmartinez@gmail.com</t>
  </si>
  <si>
    <t>LUIS MIGUEL ARENAS ORTIZ</t>
  </si>
  <si>
    <t>ARP 10.10.10.68</t>
  </si>
  <si>
    <t>LA FLORIDA</t>
  </si>
  <si>
    <t>luismia102003@gmail.com</t>
  </si>
  <si>
    <t>OLIVA DE JESUS NAVAS VEGA</t>
  </si>
  <si>
    <t>CRA 10 A # 4 - 22</t>
  </si>
  <si>
    <t>FRUTI GUAJIRA</t>
  </si>
  <si>
    <t>olinave@hotmail.com</t>
  </si>
  <si>
    <t>LAURA CRISTINA TABARES GIL</t>
  </si>
  <si>
    <t>3116103955 - 3148933246</t>
  </si>
  <si>
    <t>ARP 10.10.10.137</t>
  </si>
  <si>
    <t>MONTEGRANDE</t>
  </si>
  <si>
    <t>FINCA RESERVA LA CASTALIA</t>
  </si>
  <si>
    <t>kindioman28@hotmail.com</t>
  </si>
  <si>
    <t xml:space="preserve">YEINER ALZATE IZQUIERDO </t>
  </si>
  <si>
    <t>ARP 10.10.10.102</t>
  </si>
  <si>
    <t>PARCELACION LAS HELICONIAS</t>
  </si>
  <si>
    <t>yeineralzate_gerontologia@hotmail.com</t>
  </si>
  <si>
    <t>ANGEL MIRO RICO</t>
  </si>
  <si>
    <t>ARP 10.10.11.20</t>
  </si>
  <si>
    <t>CAÑABERAL</t>
  </si>
  <si>
    <t xml:space="preserve">EDWIN VILLA BAUTISTA </t>
  </si>
  <si>
    <t>3172992279 - 3184103530</t>
  </si>
  <si>
    <t>ARP 10.10.10.128</t>
  </si>
  <si>
    <t>LAS COLINAS 2</t>
  </si>
  <si>
    <t>ximena82077@hotmail.com</t>
  </si>
  <si>
    <t>DANIEL VELEZ PARRA</t>
  </si>
  <si>
    <t>ARP 10. 10.10.127</t>
  </si>
  <si>
    <t>hasspatagoniaco@gmail.com</t>
  </si>
  <si>
    <t>JOSE AMELI GUTIERREZ</t>
  </si>
  <si>
    <t>3103969441 - 3217142119</t>
  </si>
  <si>
    <t>ARP 10.10.10.171</t>
  </si>
  <si>
    <t>SANTA CLARA</t>
  </si>
  <si>
    <t>luzmerya31@gmail.com</t>
  </si>
  <si>
    <t>ANGELA VIVIANA OSORIO CHARRY</t>
  </si>
  <si>
    <t>3128727414 - 3113476873</t>
  </si>
  <si>
    <t>ARP 10.10.10.53</t>
  </si>
  <si>
    <t>angelao3564@gmail.com</t>
  </si>
  <si>
    <t>NO RESPONDE NI CONTESTA</t>
  </si>
  <si>
    <t>JHON FREDY DOMINGUEZ FORONDA</t>
  </si>
  <si>
    <t>EL POLVERO</t>
  </si>
  <si>
    <t>DAVID ESTEBAN POSADA GALLEGO</t>
  </si>
  <si>
    <t>3136195623 - 3235309021</t>
  </si>
  <si>
    <t>VDA DIAMANTE</t>
  </si>
  <si>
    <t>FINCA BELLA VISTA</t>
  </si>
  <si>
    <t>despo.virtud@gmail.com</t>
  </si>
  <si>
    <t>ANDRES FELIPE MONTILLA ZAMORA</t>
  </si>
  <si>
    <t>3127094629 - 3216298966</t>
  </si>
  <si>
    <t>ARP 10.10.10.17</t>
  </si>
  <si>
    <t>CALLE MUERTA CASA 3</t>
  </si>
  <si>
    <t>e412423@gmail.com</t>
  </si>
  <si>
    <t>ANDREA ESTEFANIA HINCAPIE CORTEZ</t>
  </si>
  <si>
    <t>3222105582 - 3216350715</t>
  </si>
  <si>
    <t>ARP 10.10.10.59</t>
  </si>
  <si>
    <t>EL CRUCERO EL FRONTINO</t>
  </si>
  <si>
    <t>EL DIVENO NIÑO</t>
  </si>
  <si>
    <t>hincapieandreestefania@h¡gmail.com</t>
  </si>
  <si>
    <t>ANDRES FELIPE AGUDELO GUERRERO</t>
  </si>
  <si>
    <t>3233727926 - 3234569213</t>
  </si>
  <si>
    <t>ARP 10.10.11.15</t>
  </si>
  <si>
    <t>FNC EL AHNELO</t>
  </si>
  <si>
    <t>VDA EL HECHAL</t>
  </si>
  <si>
    <t>pipeag02@gmail.com</t>
  </si>
  <si>
    <t>LEDA VELAZQUEZ DE MONTEALEGRE</t>
  </si>
  <si>
    <t>3108293485 - 3104664980</t>
  </si>
  <si>
    <t>ARP 10.10.10.153</t>
  </si>
  <si>
    <t>VDA LIMONES</t>
  </si>
  <si>
    <t>FINCA SOFIA</t>
  </si>
  <si>
    <t>lemar174@hotmail.com</t>
  </si>
  <si>
    <t>ELIANA MARYORY NARVAEZ</t>
  </si>
  <si>
    <t>3206497615 - 3219817352</t>
  </si>
  <si>
    <t>ARP 10.10.10.136</t>
  </si>
  <si>
    <t>CAICEDONAI</t>
  </si>
  <si>
    <t>FINCA CIELO ROTO</t>
  </si>
  <si>
    <t>DIANERY JULIETH ARIAS GALLEGO</t>
  </si>
  <si>
    <t>3113958805 - 3104297127</t>
  </si>
  <si>
    <t>ARP 10.10.10.3</t>
  </si>
  <si>
    <t>VDA LA SUIZA</t>
  </si>
  <si>
    <t>FINCA EL PIÑAL</t>
  </si>
  <si>
    <t>dianery670@gmail.com</t>
  </si>
  <si>
    <t>DIEGO ANDRES ARBOLEDA MOSCOSO</t>
  </si>
  <si>
    <t>VDA BOSQUE BAJO</t>
  </si>
  <si>
    <t>FNCA LA CASACDA</t>
  </si>
  <si>
    <t>andresarboledatoro1983@gmail.com</t>
  </si>
  <si>
    <t>LUCELLY LONDOÑO LOPEZ</t>
  </si>
  <si>
    <t>3206690873 - 3127047417</t>
  </si>
  <si>
    <t>ARP 10.10.10.174</t>
  </si>
  <si>
    <t>VDA CRUCERO</t>
  </si>
  <si>
    <t>FICA EL CASTILLO</t>
  </si>
  <si>
    <t>rendonjohan8@gmail.com</t>
  </si>
  <si>
    <t>ALBERTO NEMESIANO ACOSTA</t>
  </si>
  <si>
    <t>3107993450 - 3217492135</t>
  </si>
  <si>
    <t>ARP 10.10.10.58</t>
  </si>
  <si>
    <t>VDA LA SUIXA</t>
  </si>
  <si>
    <t>FINCA LA CURVA</t>
  </si>
  <si>
    <t>tatianaorozco713@gmail.com</t>
  </si>
  <si>
    <t>YIRFIL DUARTE CORTEZ</t>
  </si>
  <si>
    <t>3115092775 - 3508299871</t>
  </si>
  <si>
    <t>ARP 10,10,10,52</t>
  </si>
  <si>
    <t>FINCA VILLA CECILIA</t>
  </si>
  <si>
    <t>VEREDA SAMARIA</t>
  </si>
  <si>
    <t>yirfild@gmail.com</t>
  </si>
  <si>
    <t>MARY LUZ HERRERA CANO</t>
  </si>
  <si>
    <t>3002686460 - 3138135965</t>
  </si>
  <si>
    <t>ARP 10,10,10,109</t>
  </si>
  <si>
    <t>VEREDA EL CRUCERO</t>
  </si>
  <si>
    <t>maryherreraluz5@gmail.com</t>
  </si>
  <si>
    <t>YOLANDA HURTADO LONDOÑO</t>
  </si>
  <si>
    <t>3016171200 - 3136661274</t>
  </si>
  <si>
    <t>ARP 10,10,10,200</t>
  </si>
  <si>
    <t>CASA CHANCE</t>
  </si>
  <si>
    <t>WESTFALIA FRUIT COLOMBIA</t>
  </si>
  <si>
    <t>ARP 10,10,10,124</t>
  </si>
  <si>
    <t>PLAN LIBRE</t>
  </si>
  <si>
    <t>LA GRECIA</t>
  </si>
  <si>
    <t>HERNAN VARON VELEZ</t>
  </si>
  <si>
    <t>3233003401 - 3114077849</t>
  </si>
  <si>
    <t>ARP 10,10,10,134</t>
  </si>
  <si>
    <t>VEREDA CRUCERO</t>
  </si>
  <si>
    <t>FINCA LAMEDA 2</t>
  </si>
  <si>
    <t>JORGE MARIO BEJARANO RODRIGUEZ</t>
  </si>
  <si>
    <t>ARP 10,10,10,11</t>
  </si>
  <si>
    <t>FINCA BOSQUE</t>
  </si>
  <si>
    <t>VEREDA LA SUIZA</t>
  </si>
  <si>
    <t>MANUEL TRANSITO POSSU VARGAZ</t>
  </si>
  <si>
    <t>ARP 10.10.10.27</t>
  </si>
  <si>
    <t>FINCA COLOMBINA</t>
  </si>
  <si>
    <t>3154642264 - 3178797578</t>
  </si>
  <si>
    <t>CASERIO MONTEGRANDE</t>
  </si>
  <si>
    <t>CASA PASTOR</t>
  </si>
  <si>
    <t>rubenbaraceta@gmail.com</t>
  </si>
  <si>
    <t>JHON FABER ARCILA ESCOBAR</t>
  </si>
  <si>
    <t>3137151623 - 3127652038</t>
  </si>
  <si>
    <t>ARP 10.10.10.145</t>
  </si>
  <si>
    <t>HACIENDA LA COLOMBINA</t>
  </si>
  <si>
    <t>arcilajhon04@gmail.com</t>
  </si>
  <si>
    <t>JOHAN SEBASTIAN RODRIGUEZ LONDOÑO</t>
  </si>
  <si>
    <t>3187858225 - 3118803582</t>
  </si>
  <si>
    <t>CASERIO SAN ISIDRO</t>
  </si>
  <si>
    <t>CASA ENSEGUIDA DEL NODO</t>
  </si>
  <si>
    <t>ortizsandramilenana889@hotmail.com</t>
  </si>
  <si>
    <t>ANGI VANESA BOLIVAR OSORIO</t>
  </si>
  <si>
    <t>ARP 10.10.11.26</t>
  </si>
  <si>
    <t>VEREDA LA VENADA</t>
  </si>
  <si>
    <t>YONNY GARCIA VEGA</t>
  </si>
  <si>
    <t>3133711100 - 3225968392</t>
  </si>
  <si>
    <t>LEONARDO EDGAR CORTEZ MOSQUERA</t>
  </si>
  <si>
    <t>3217612007-3103969530</t>
  </si>
  <si>
    <t>PPOE-AURES2</t>
  </si>
  <si>
    <t>AURES</t>
  </si>
  <si>
    <t>CAICEDIONIA</t>
  </si>
  <si>
    <t>AURES VALLE CASA 5</t>
  </si>
  <si>
    <t>OSCAR EDUARDO GUILLEN CONTRERAS</t>
  </si>
  <si>
    <t>3208233304-3235934985</t>
  </si>
  <si>
    <t>Ppoe-AURES3</t>
  </si>
  <si>
    <t xml:space="preserve">AURES VALLE   </t>
  </si>
  <si>
    <t>ISAIAS SAN MARTIN PINO</t>
  </si>
  <si>
    <t>3108393256-3171243207</t>
  </si>
  <si>
    <t>PPOE-AURES4</t>
  </si>
  <si>
    <t>AURES VALLE CASA 23</t>
  </si>
  <si>
    <t>MARIA EUGENIA QUINTANA PELAEZ</t>
  </si>
  <si>
    <t>3008818226-3008818209</t>
  </si>
  <si>
    <t>Ppoe -AURES5</t>
  </si>
  <si>
    <t xml:space="preserve">JHON JAWER PLATA FORERO </t>
  </si>
  <si>
    <t xml:space="preserve">PENDIENTE </t>
  </si>
  <si>
    <t>ARP 10.10.10.39</t>
  </si>
  <si>
    <t>BUENAVISRA</t>
  </si>
  <si>
    <t>HACIENDA COLOMBINA</t>
  </si>
  <si>
    <t>CARLOS ALBERTO SERNA SOLANO</t>
  </si>
  <si>
    <t>3147746030 - 3233214833</t>
  </si>
  <si>
    <t xml:space="preserve">ARP 10.10.10.19 </t>
  </si>
  <si>
    <t>FINCA EL JARDIN</t>
  </si>
  <si>
    <t>carlosserna0411@gmail.com</t>
  </si>
  <si>
    <t>JHOSIMAR PAREJA MENESES</t>
  </si>
  <si>
    <t>3106317796 - 3143930869</t>
  </si>
  <si>
    <t>NODO AURES</t>
  </si>
  <si>
    <t>CASA AURES 11</t>
  </si>
  <si>
    <t>OLGA BEATRIZ MENESES VARGAS</t>
  </si>
  <si>
    <t>3217402323 - 3143979898</t>
  </si>
  <si>
    <t>CASA AURES 55</t>
  </si>
  <si>
    <t>TERESA DE JESUS ECHEVERRY PEREZ</t>
  </si>
  <si>
    <t>CASA AURES 34</t>
  </si>
  <si>
    <t>SALVADOR OSES</t>
  </si>
  <si>
    <t>CASA AURES 7</t>
  </si>
  <si>
    <t>EMPRESAS PUBLICAS DE CAICEDONIA</t>
  </si>
  <si>
    <t>CAMELIA</t>
  </si>
  <si>
    <t>empublicas@caicedonia-valle.gov.co</t>
  </si>
  <si>
    <t>INSTITUCION EDUCATIVA LUIS GRANADA MEJIA</t>
  </si>
  <si>
    <t>BAR 001</t>
  </si>
  <si>
    <t xml:space="preserve">NO PAGA </t>
  </si>
  <si>
    <t>LUIS GRANADA MEJIA</t>
  </si>
  <si>
    <t>CARLOS ANDRES CALDERON ALVARADO</t>
  </si>
  <si>
    <t>BAR 008</t>
  </si>
  <si>
    <t>25 Megas</t>
  </si>
  <si>
    <t>CALLE 3 # 6 - 22</t>
  </si>
  <si>
    <t>carlitosk281@gmail.com</t>
  </si>
  <si>
    <t>JOSE FERNANDO ECHEVERRY LONDOÑO</t>
  </si>
  <si>
    <t>BAR 011</t>
  </si>
  <si>
    <t>CRA 6 # 3 - 09</t>
  </si>
  <si>
    <t>BLANCA NERY SANCHEZ</t>
  </si>
  <si>
    <t>BAR 013</t>
  </si>
  <si>
    <t>AL LADO DEL KIOSKO</t>
  </si>
  <si>
    <t>sidneymolinasanchez012@gmail.com</t>
  </si>
  <si>
    <t>LUIS FERNANDO SOTO POSADA</t>
  </si>
  <si>
    <t>BAR 003</t>
  </si>
  <si>
    <t>LA CONQUISTA</t>
  </si>
  <si>
    <t>lfsotoposada@hotmail.com</t>
  </si>
  <si>
    <t>DUBERNEY VILLADA NARVAEZ</t>
  </si>
  <si>
    <t>3005071601 - 3234517769</t>
  </si>
  <si>
    <t>BAR 004</t>
  </si>
  <si>
    <t>AMRRA 837</t>
  </si>
  <si>
    <t xml:space="preserve">CASA AL FRENTE DE LA VIRGEN </t>
  </si>
  <si>
    <t>PISO 1</t>
  </si>
  <si>
    <t>duberney2017villada@gmail.com</t>
  </si>
  <si>
    <t>NANCY LILIANA HURTADO OSORIO</t>
  </si>
  <si>
    <t>BAR 005</t>
  </si>
  <si>
    <t>BARRAGAN QUINDIO</t>
  </si>
  <si>
    <t>FINCA LA FRONTERAS</t>
  </si>
  <si>
    <t>nalihu@hotmail.com</t>
  </si>
  <si>
    <t>LORENA GIRALDO</t>
  </si>
  <si>
    <t>BAR 009</t>
  </si>
  <si>
    <t>AMARRA 155</t>
  </si>
  <si>
    <t>ALMENDROS CASA 3</t>
  </si>
  <si>
    <t>ALONSO SAENZ CASA</t>
  </si>
  <si>
    <t>3113540272 - 3212480691</t>
  </si>
  <si>
    <t>BAR 010</t>
  </si>
  <si>
    <t>TIENDA SAENZ PISO 2</t>
  </si>
  <si>
    <t>saenzcamila2022@gmail.com</t>
  </si>
  <si>
    <t>HAIDER STEEVEN MAHECHA SIERRA</t>
  </si>
  <si>
    <t>3106871825 - 3246030014</t>
  </si>
  <si>
    <t>BAR 012</t>
  </si>
  <si>
    <t xml:space="preserve">VIA BARRAGAN CAICEDONIA </t>
  </si>
  <si>
    <t>LA PROVINDENCIA</t>
  </si>
  <si>
    <t>steevenm61@gmail.com</t>
  </si>
  <si>
    <t>LUZ NELLY BETANCURT</t>
  </si>
  <si>
    <t>3138724603 - 3136139821</t>
  </si>
  <si>
    <t>BAR 030</t>
  </si>
  <si>
    <t>JUNTO A LA CASETA</t>
  </si>
  <si>
    <t>ospinacarlos0291@gmail.com</t>
  </si>
  <si>
    <t>VIVIANA ANDREA GARZON MONTOYA</t>
  </si>
  <si>
    <t>BAR 029</t>
  </si>
  <si>
    <t>FILO DE LA CASETA</t>
  </si>
  <si>
    <t>vivianaandreagarzon521@gmail.com</t>
  </si>
  <si>
    <t>PAOLA ANDREA POPAYAN MANCHABAJOY</t>
  </si>
  <si>
    <t>BAR 014</t>
  </si>
  <si>
    <t>AMARRA 238</t>
  </si>
  <si>
    <t>DETRÁS DE LA CASETA Y EL CENTRO DE SALUD</t>
  </si>
  <si>
    <t>JAIME SALAZAR URREA</t>
  </si>
  <si>
    <t>BAR 033</t>
  </si>
  <si>
    <t>CASA AL LADO CENTRO DE SALUD ESQ PISO 1</t>
  </si>
  <si>
    <t>jaimesalazarurrea737@gmail.com</t>
  </si>
  <si>
    <t>OMAYRA TAMAYO VALENCIA</t>
  </si>
  <si>
    <t>BAR 017</t>
  </si>
  <si>
    <t>CRA 3 # 4 - 21</t>
  </si>
  <si>
    <t>GUILLERMO UPEGUI CARRILLO</t>
  </si>
  <si>
    <t>3146828491 - 3165287922</t>
  </si>
  <si>
    <t>BAR 035</t>
  </si>
  <si>
    <t>60 Megas</t>
  </si>
  <si>
    <t>ALMENDROS CASA 51</t>
  </si>
  <si>
    <t>WILIAM CASTILLO RODRIGUEZ</t>
  </si>
  <si>
    <t>3002731503 - 3137471772</t>
  </si>
  <si>
    <t>BAR 018</t>
  </si>
  <si>
    <t>LUNADAS CASA 7</t>
  </si>
  <si>
    <t>LILIANA PATRICIA TABARES</t>
  </si>
  <si>
    <t>BAR 019</t>
  </si>
  <si>
    <t>AMARRA 207</t>
  </si>
  <si>
    <t xml:space="preserve">MAZ 4 CASA 4  </t>
  </si>
  <si>
    <t>lilus.tabarez@gmail.com</t>
  </si>
  <si>
    <t>JORGE ENRIQUE TAFUR CALDERON</t>
  </si>
  <si>
    <t>3003490585 - 3003177009</t>
  </si>
  <si>
    <t>BAR 041</t>
  </si>
  <si>
    <t>AMARRA 026</t>
  </si>
  <si>
    <t>ALMENDROS CASA 63</t>
  </si>
  <si>
    <t>enriquetafur2010@hotmail.com</t>
  </si>
  <si>
    <t>ALVARO TORO BUITRAGO</t>
  </si>
  <si>
    <t>BAR 042</t>
  </si>
  <si>
    <t>AMARRA 124</t>
  </si>
  <si>
    <t>ALMENDROS CASA 32</t>
  </si>
  <si>
    <t>albitovitobu@gmail.com</t>
  </si>
  <si>
    <t>HUGO GOMEZ LOPEZ</t>
  </si>
  <si>
    <t>BAR 028</t>
  </si>
  <si>
    <t>AMARRA 022</t>
  </si>
  <si>
    <t>ALMENDROS CASA 42</t>
  </si>
  <si>
    <t>gugogomezlopez1@gmail.com</t>
  </si>
  <si>
    <t>EDGAR LADINO LANDINEZ</t>
  </si>
  <si>
    <t>3165232102 - 3127412292</t>
  </si>
  <si>
    <t>BAR 020</t>
  </si>
  <si>
    <t xml:space="preserve">LUNADAS CASA 4 </t>
  </si>
  <si>
    <t>edelala01@hotmail.com</t>
  </si>
  <si>
    <t>JULIETA ARCILA LOZDA</t>
  </si>
  <si>
    <t>BAR 045</t>
  </si>
  <si>
    <t>AMARRA 129</t>
  </si>
  <si>
    <t>ALMENDROS CASA 15</t>
  </si>
  <si>
    <t>jalgir46@hotmail.com</t>
  </si>
  <si>
    <t>LAURA PIEDAD ESTRADA SUAREZ</t>
  </si>
  <si>
    <t>BAR 021</t>
  </si>
  <si>
    <t>AMARRA 391</t>
  </si>
  <si>
    <t>ENSEGUIDA PUESTO DE SALUD</t>
  </si>
  <si>
    <t>laurap768z@gmail.com</t>
  </si>
  <si>
    <t>ONU</t>
  </si>
  <si>
    <t>BAR 047</t>
  </si>
  <si>
    <t>LUNADAS</t>
  </si>
  <si>
    <t>JULIANA OCAMPO RESTREPO</t>
  </si>
  <si>
    <t>BAR 023</t>
  </si>
  <si>
    <t>BAR 024</t>
  </si>
  <si>
    <t>LUNADAS SEDE</t>
  </si>
  <si>
    <t>FRANCISCO JAVIER RAMIREZ SARAZA</t>
  </si>
  <si>
    <t>3146452385 - 3165382971</t>
  </si>
  <si>
    <t>BAR 050</t>
  </si>
  <si>
    <t>ALMENDROS CASA 11</t>
  </si>
  <si>
    <t>franjaramirez@hotmail.com</t>
  </si>
  <si>
    <t>ANGELICA MARIA DE LA CRUZ MESA</t>
  </si>
  <si>
    <t>3185706899 - 3165393136</t>
  </si>
  <si>
    <t>BAR 026</t>
  </si>
  <si>
    <t xml:space="preserve">LUNADAS CASA 24 </t>
  </si>
  <si>
    <t>o.delacruzc@hotmail.com</t>
  </si>
  <si>
    <t>PAULO EDUARDO FORERO VERDUGO</t>
  </si>
  <si>
    <t>BAR 027</t>
  </si>
  <si>
    <t>VIA BARRAGAN</t>
  </si>
  <si>
    <t>VILLA PICA PIEDRA</t>
  </si>
  <si>
    <t>pforero1964@hotmail.com</t>
  </si>
  <si>
    <t>LUISA MARIA LOPEZ RENGIFO</t>
  </si>
  <si>
    <t>BAR 031</t>
  </si>
  <si>
    <t>CRA 3 # 4A - 03</t>
  </si>
  <si>
    <t>luisamarialopezrengifo521@gmail.com</t>
  </si>
  <si>
    <t>LIZETH JULIANA JIMENEZ AGUILAR</t>
  </si>
  <si>
    <t>3113582168 - 3122874199</t>
  </si>
  <si>
    <t>BAR 036</t>
  </si>
  <si>
    <t>ALMEDROS CASA 10</t>
  </si>
  <si>
    <t>NOLBERTO VALENCIA SEPULVEDA</t>
  </si>
  <si>
    <t>3207263363 - 3207265489</t>
  </si>
  <si>
    <t>BAR 055</t>
  </si>
  <si>
    <t>AMARRA 144</t>
  </si>
  <si>
    <t xml:space="preserve">VALLE DEL SOL </t>
  </si>
  <si>
    <t>jecasa751@gmail.com</t>
  </si>
  <si>
    <t>ANGELA MARIA TABARES</t>
  </si>
  <si>
    <t>BAR 056</t>
  </si>
  <si>
    <t>AMARRA 145</t>
  </si>
  <si>
    <t>VALLE DEL SOL CASA 71</t>
  </si>
  <si>
    <t>angelatabares2805@gmail.com</t>
  </si>
  <si>
    <t>JAIRO GONZALEZ ARBOLEDA</t>
  </si>
  <si>
    <t>3137342102 - 3115826261</t>
  </si>
  <si>
    <t>BAR 057</t>
  </si>
  <si>
    <t>AMARRA 147</t>
  </si>
  <si>
    <t>VALLE DEL SOL CASA 68</t>
  </si>
  <si>
    <t>jaigonzar59@hotmail.com</t>
  </si>
  <si>
    <t>EDUARDO OSORIO OSORIO</t>
  </si>
  <si>
    <t>BAR 039</t>
  </si>
  <si>
    <t>FRENTE FASILICIMO CASA 5</t>
  </si>
  <si>
    <t>eduardoosorio83@gmail.com</t>
  </si>
  <si>
    <t>VALENTINA TAYACA ALZATE</t>
  </si>
  <si>
    <t>3206742734 - 3207484251</t>
  </si>
  <si>
    <t xml:space="preserve">BAR 040 </t>
  </si>
  <si>
    <t>AMARRA 117</t>
  </si>
  <si>
    <t>CARPA AZUL FRENTE ESTACION</t>
  </si>
  <si>
    <t>tayacavalentina@gmail.com</t>
  </si>
  <si>
    <t>PEDRO ALFONSO BERNAL</t>
  </si>
  <si>
    <t>BAR 043</t>
  </si>
  <si>
    <t>ALMENDROS CASA 57</t>
  </si>
  <si>
    <t>SUPER SERVICIOS DEL VALLE</t>
  </si>
  <si>
    <t>BAR 044</t>
  </si>
  <si>
    <t>AMARRA 130</t>
  </si>
  <si>
    <t>SUPER GIROS</t>
  </si>
  <si>
    <t>info@ganesuperservicios.co</t>
  </si>
  <si>
    <t>EUNICES AYALA ORTIZ</t>
  </si>
  <si>
    <t xml:space="preserve">BAR 046 </t>
  </si>
  <si>
    <t>AMRRA 613</t>
  </si>
  <si>
    <t>CASA ENSEGUIDA BEBE MAS</t>
  </si>
  <si>
    <t>eunice.ayala12@hotmail.com</t>
  </si>
  <si>
    <t>AMARRA 280</t>
  </si>
  <si>
    <t>FONDA BARRAGAN A GENOVA</t>
  </si>
  <si>
    <t>fondabarragan2024@gmail.com</t>
  </si>
  <si>
    <t>DEINYR ROJAS ARIAS</t>
  </si>
  <si>
    <t>BAR 065</t>
  </si>
  <si>
    <t>AMARRA 172</t>
  </si>
  <si>
    <t>VALLE DEL SOL CASA 64</t>
  </si>
  <si>
    <t>deiniyrojas@hotmail.com</t>
  </si>
  <si>
    <t>PAOLA ANDREA BRAVO GARZON</t>
  </si>
  <si>
    <t>BAR 048</t>
  </si>
  <si>
    <t>CRA 7 A # 1 - 20</t>
  </si>
  <si>
    <t>bravopaolaandrea1@gmail.com</t>
  </si>
  <si>
    <t>ESTA DE VIAJE ESTA SEMANA HACE EL PAGO</t>
  </si>
  <si>
    <t xml:space="preserve">LUIS ENRIQUE LEGUISAMON GONZALEZ </t>
  </si>
  <si>
    <t>BAR 051</t>
  </si>
  <si>
    <t>AMARRA 139</t>
  </si>
  <si>
    <t>VALLE DEL SOL CASA 61 - 62</t>
  </si>
  <si>
    <t>krb13lui@hotmail.com</t>
  </si>
  <si>
    <t>JESUS MARIA FALLA LOPEZ</t>
  </si>
  <si>
    <t>BAR 052</t>
  </si>
  <si>
    <t>AMARRA 152</t>
  </si>
  <si>
    <t>VALLE DEL SOL CASA 38</t>
  </si>
  <si>
    <t>jesusfalla1@hotmail.com</t>
  </si>
  <si>
    <t>PATRICIA LOPEZ VIDAL</t>
  </si>
  <si>
    <t>BAR 053</t>
  </si>
  <si>
    <t>AMARRA 141</t>
  </si>
  <si>
    <t>VALLE DEL SOL CASA 47</t>
  </si>
  <si>
    <t>pattylife7@gmail.com</t>
  </si>
  <si>
    <t>GLORIA INES CEDEÑO GOMEZ</t>
  </si>
  <si>
    <t>BAR 070</t>
  </si>
  <si>
    <t>VALLE DEL SOL CASA 52</t>
  </si>
  <si>
    <t>gloriainescedeño@gmail.com</t>
  </si>
  <si>
    <t>EDDY SALAMANCA ARBELAEZ</t>
  </si>
  <si>
    <t>BAR 071</t>
  </si>
  <si>
    <t>VALLE DEL SOL CASA 26</t>
  </si>
  <si>
    <t>eddysalamancaaz@gmail.com</t>
  </si>
  <si>
    <t>MARIA LILEY GIRALDO LOPEZ</t>
  </si>
  <si>
    <t>BAR 072</t>
  </si>
  <si>
    <t>AMARRA 190</t>
  </si>
  <si>
    <t>VALLE DEL SOL CASA 21</t>
  </si>
  <si>
    <t>lileygiraldo@hotmail.es</t>
  </si>
  <si>
    <t xml:space="preserve">LUZ AIDA CARMONA </t>
  </si>
  <si>
    <t>3226833898 - 3105290597</t>
  </si>
  <si>
    <t>BAR 054</t>
  </si>
  <si>
    <t xml:space="preserve">AMARRA 143 </t>
  </si>
  <si>
    <t>VALLE DEL SOL CASA 42</t>
  </si>
  <si>
    <t>ralven50@hotmail.com</t>
  </si>
  <si>
    <t>PATRICIA RAMIREZ HINCAPIE</t>
  </si>
  <si>
    <t>BAR 058</t>
  </si>
  <si>
    <t>AMARRA 345</t>
  </si>
  <si>
    <t>CONDOMINIO ALMENDROS</t>
  </si>
  <si>
    <t>CASA 17</t>
  </si>
  <si>
    <t>patriciaramirezhincapie@gmail.com</t>
  </si>
  <si>
    <t>SAMUEL ADOLFO PEÑALOZA ANDRADE</t>
  </si>
  <si>
    <t>BAR 077</t>
  </si>
  <si>
    <t>AMARRA 223</t>
  </si>
  <si>
    <t>VALLE DEL SOL CASA 53</t>
  </si>
  <si>
    <t>calirumba_2000@yahoo.com</t>
  </si>
  <si>
    <t>MAGDA DEL PILAR SANTA FAJARDO</t>
  </si>
  <si>
    <t>3146209322 - 3136235785</t>
  </si>
  <si>
    <t>BAR 025</t>
  </si>
  <si>
    <t>AMARRA 219</t>
  </si>
  <si>
    <t>VALLE DEL SOL CASA 44</t>
  </si>
  <si>
    <t>ing.magdadelpilar@hotmail.com</t>
  </si>
  <si>
    <t>WILMER ALONSO RODRIGUEZ IDARRAGA</t>
  </si>
  <si>
    <t>BAR 080</t>
  </si>
  <si>
    <t>AMARRA 232</t>
  </si>
  <si>
    <t>VALLE DEL SOL CASA 39</t>
  </si>
  <si>
    <t>warr1969@hotmail.com</t>
  </si>
  <si>
    <t>JESUS ARLEY SALAZAR BENITEZ</t>
  </si>
  <si>
    <t>BAR 081</t>
  </si>
  <si>
    <t>FINCA LA TARDE</t>
  </si>
  <si>
    <t>salazarbenitez@gmail.com</t>
  </si>
  <si>
    <t>GERMAN DUQUE LONDOÑO</t>
  </si>
  <si>
    <t>BAR 060</t>
  </si>
  <si>
    <t>AMARRA 167</t>
  </si>
  <si>
    <t>VALLE DEL SOL CASA 63</t>
  </si>
  <si>
    <t>arracacho666@hotmail.com</t>
  </si>
  <si>
    <t>MARGARITA GIRALDO OVIEDO</t>
  </si>
  <si>
    <t>BAR 061</t>
  </si>
  <si>
    <t>AMARRA 168</t>
  </si>
  <si>
    <t>VALLE DEL SOL CASA 13</t>
  </si>
  <si>
    <t>margareth-1936@hotmail.com</t>
  </si>
  <si>
    <t>PABLO EDUARDO NAUSA RICO</t>
  </si>
  <si>
    <t>BAR 062</t>
  </si>
  <si>
    <t>AMARRA 169</t>
  </si>
  <si>
    <t>VALLE DEL SOL CASA 72</t>
  </si>
  <si>
    <t>pavlow66@hotmail.com</t>
  </si>
  <si>
    <t>OSCAR IVAN GRISALES GRISALES</t>
  </si>
  <si>
    <t>BAR 089</t>
  </si>
  <si>
    <t>AMARRA 244</t>
  </si>
  <si>
    <t>VALLE DEL SOL CASA 66</t>
  </si>
  <si>
    <t>oscargriso61@gmail.com</t>
  </si>
  <si>
    <t xml:space="preserve">CARMEN EMILIA ARBELAEZ RODRIGUEZ </t>
  </si>
  <si>
    <t>BAR 063</t>
  </si>
  <si>
    <t>AMARRA 174</t>
  </si>
  <si>
    <t>VALLE DEL SOL  CASA 25</t>
  </si>
  <si>
    <t>carmenarbelaez@gmail.com</t>
  </si>
  <si>
    <t>STEVAN RIOS SERNA</t>
  </si>
  <si>
    <t>BAR 085</t>
  </si>
  <si>
    <t>LAS AMERICAS</t>
  </si>
  <si>
    <t>estaban.rios@ucp.edu.co</t>
  </si>
  <si>
    <t>CONSUELO RIVERA LONDOÑO</t>
  </si>
  <si>
    <t>BAR 087</t>
  </si>
  <si>
    <t>VIA 6 BARRAGAN</t>
  </si>
  <si>
    <t>2017riveraconsuelo@gmail.com</t>
  </si>
  <si>
    <t>IVAN MANCERA URBANO</t>
  </si>
  <si>
    <t>BAR 064</t>
  </si>
  <si>
    <t>AMARRA 173</t>
  </si>
  <si>
    <t>VALLE DEL SOL CASA 83</t>
  </si>
  <si>
    <t>adm.ibanandresmancera@gmail.com</t>
  </si>
  <si>
    <t xml:space="preserve">IVAN HOYOS PEREZ </t>
  </si>
  <si>
    <t>BAR 066</t>
  </si>
  <si>
    <t>AMARRA 171</t>
  </si>
  <si>
    <t>VALLE DEL SOL CASA 36</t>
  </si>
  <si>
    <t>ivanhoy90@gmail.com</t>
  </si>
  <si>
    <t>MATEO OROZCO PABON</t>
  </si>
  <si>
    <t>BAR 067</t>
  </si>
  <si>
    <t>AMARRA 170</t>
  </si>
  <si>
    <t>VALLE DEL SOL CASA 49</t>
  </si>
  <si>
    <t>mateoop94@gmail.com</t>
  </si>
  <si>
    <t>AMPARO HURTADO OSORIO</t>
  </si>
  <si>
    <t>BAR 015</t>
  </si>
  <si>
    <t>amparohosorios@gmail.com</t>
  </si>
  <si>
    <t>LINA MARCELA CORREA GARZON</t>
  </si>
  <si>
    <t>3117341945 - 3226110724</t>
  </si>
  <si>
    <t>murciacorreajuandiego609@gmail.com</t>
  </si>
  <si>
    <t>HERNAN CEDEÑO GOMEZ</t>
  </si>
  <si>
    <t>BAR 069</t>
  </si>
  <si>
    <t>VALLE DEL SOL CASA 59</t>
  </si>
  <si>
    <t>josehernancedeño@yahoo.com</t>
  </si>
  <si>
    <t>DORA GIRALDO LOPEZ</t>
  </si>
  <si>
    <t>BAR 103</t>
  </si>
  <si>
    <t>VALLE DEL SOL CASA 76</t>
  </si>
  <si>
    <t>dogilo08@hotmail.com</t>
  </si>
  <si>
    <t>BLANCA CECILIA RAMOS GONZALEZ</t>
  </si>
  <si>
    <t>BAR 074</t>
  </si>
  <si>
    <t>AMARRA 184</t>
  </si>
  <si>
    <t>VALLE DEL SOL CASA 9 - 10</t>
  </si>
  <si>
    <t>ramgo2739@gmail.com</t>
  </si>
  <si>
    <t>DINORA GOMEZ ARBOLEDA</t>
  </si>
  <si>
    <t>BAR 104</t>
  </si>
  <si>
    <t>VALLE DEL SOL CASA 46</t>
  </si>
  <si>
    <t>dino08@hotmail.com</t>
  </si>
  <si>
    <t>AURA MARIA CARDONA PARRA</t>
  </si>
  <si>
    <t>BAR 006</t>
  </si>
  <si>
    <t>VALLE DEL SOL CASA 56</t>
  </si>
  <si>
    <t>aumaca53@hotmail.com</t>
  </si>
  <si>
    <t xml:space="preserve">MARIO OSORIO OCAMPO </t>
  </si>
  <si>
    <t>BAR 105</t>
  </si>
  <si>
    <t>AMARRA 277</t>
  </si>
  <si>
    <t>VALLE DEL SOL CASA 23</t>
  </si>
  <si>
    <t>maos598@gmail.com</t>
  </si>
  <si>
    <t>LUIS FERNANDO DAZA</t>
  </si>
  <si>
    <t>BAR 078</t>
  </si>
  <si>
    <t>AMARRA 224</t>
  </si>
  <si>
    <t>VALLE DEL SOL CASA 80</t>
  </si>
  <si>
    <t>jesterboy2@msn.com</t>
  </si>
  <si>
    <t>LUIS FERNANDO VIDALES TRUJILLO</t>
  </si>
  <si>
    <t>BAR 079</t>
  </si>
  <si>
    <t>VIA BARRAGAN KM 1</t>
  </si>
  <si>
    <t>SAN BERNARDO</t>
  </si>
  <si>
    <t>carolinahurtado1605@gmail.com</t>
  </si>
  <si>
    <t>DIEGO FERNANDO RESTREPO PEÑA</t>
  </si>
  <si>
    <t>BAR 082</t>
  </si>
  <si>
    <t>AMARRA 237</t>
  </si>
  <si>
    <t>BAJOS RUMBA BAMBA</t>
  </si>
  <si>
    <t>dr786657@gmail.com</t>
  </si>
  <si>
    <t>JOSE BONEL HINCAPIE BETANCURTH</t>
  </si>
  <si>
    <t>BAR 109</t>
  </si>
  <si>
    <t>CONDOMINIO VALLE DEL SOL</t>
  </si>
  <si>
    <t>bonelghincapie@gmail.com</t>
  </si>
  <si>
    <t>CLARA INES SIERRA SUAZA</t>
  </si>
  <si>
    <t>BAR 084</t>
  </si>
  <si>
    <t>BARRAGAN VALLE</t>
  </si>
  <si>
    <t>FINCA LA MARGARITA</t>
  </si>
  <si>
    <t>claraines.sierra@gmail.com</t>
  </si>
  <si>
    <t>JENNY ALEJANDRA CASTAÑO SANCHEZ</t>
  </si>
  <si>
    <t>BAR 086</t>
  </si>
  <si>
    <t>BAJOS BAR RUMBA BAMBA</t>
  </si>
  <si>
    <t>alejaperezk153@gmail.com</t>
  </si>
  <si>
    <t>YULIETH ANDREA MORALES BORDON</t>
  </si>
  <si>
    <t>3117847750 - 3135636592</t>
  </si>
  <si>
    <t>BAR 088</t>
  </si>
  <si>
    <t>AMARRA 671</t>
  </si>
  <si>
    <t xml:space="preserve">ALTO DE BARRAGAN CASA ENREJADA BAHADA CANCHA </t>
  </si>
  <si>
    <t>moralesyuliethandrea@gmail.com</t>
  </si>
  <si>
    <t>JORGE IVAN CAMPILLO</t>
  </si>
  <si>
    <t>BAR 091</t>
  </si>
  <si>
    <t>GIOCONDA</t>
  </si>
  <si>
    <t>LOTE 3 LLEGADA CAICEDONIA</t>
  </si>
  <si>
    <t>jicampillof@gmail.com</t>
  </si>
  <si>
    <t>YEROL RODRIGUEZ CONTRERAS</t>
  </si>
  <si>
    <t>BAR118</t>
  </si>
  <si>
    <t>AMARRA 327</t>
  </si>
  <si>
    <t>CASA 14</t>
  </si>
  <si>
    <t>JHON ALEJANDRO FLOREZ CASTIBLANCO</t>
  </si>
  <si>
    <t>3117475527 - 3113940800</t>
  </si>
  <si>
    <t>BAR 122</t>
  </si>
  <si>
    <t>CONJUNTO SAMANNES</t>
  </si>
  <si>
    <t>CASA LA JULIANA</t>
  </si>
  <si>
    <t>lina15arias@gmail.com</t>
  </si>
  <si>
    <t>GLORIA ELCY HURTADO OSORIO</t>
  </si>
  <si>
    <t>BAR 093</t>
  </si>
  <si>
    <t>gloriaelcy64@gmail.com</t>
  </si>
  <si>
    <t>JUAN GUILLERMO ROJAS ALVAREZ</t>
  </si>
  <si>
    <t>BAR 094</t>
  </si>
  <si>
    <t>150 Megas</t>
  </si>
  <si>
    <t>ALMENDROS CASA 49</t>
  </si>
  <si>
    <t>juancho1609afa@hotmail.com</t>
  </si>
  <si>
    <t>BAR 107</t>
  </si>
  <si>
    <t>COLEGO LUIS GRANADA MEJIA</t>
  </si>
  <si>
    <t>BARRAGAN AA # 242</t>
  </si>
  <si>
    <t>luisgranadamejia@gmail.com</t>
  </si>
  <si>
    <t>CARLOS ALBERTO RODRIGUEZ</t>
  </si>
  <si>
    <t>BAR 130</t>
  </si>
  <si>
    <t>VALLE DEL SOL</t>
  </si>
  <si>
    <t>CASA 55</t>
  </si>
  <si>
    <t>carlosalberto660@hotmail.com</t>
  </si>
  <si>
    <t>FRANCISCO JAVIER DOMINGUEZ</t>
  </si>
  <si>
    <t>10.10.11.6</t>
  </si>
  <si>
    <t>PIJAO</t>
  </si>
  <si>
    <t>FINCA SAN JOSE</t>
  </si>
  <si>
    <t>EDGAR DE JESUS GOMEZ GIRALDO</t>
  </si>
  <si>
    <t>3113188804 - 3245958194</t>
  </si>
  <si>
    <t>BAR 126</t>
  </si>
  <si>
    <t>AMARRA 397</t>
  </si>
  <si>
    <t>CASA 57</t>
  </si>
  <si>
    <t>BAR 108</t>
  </si>
  <si>
    <t>ERIKA VIVIANA CORTEZ</t>
  </si>
  <si>
    <t>3104206400 - 3166797599</t>
  </si>
  <si>
    <t>BAR 111</t>
  </si>
  <si>
    <t>VIA CAICEDONIA</t>
  </si>
  <si>
    <t>ribeva@gmail.com</t>
  </si>
  <si>
    <t>MARIA ISABEL GUAPACHA MERCHAN</t>
  </si>
  <si>
    <t>3104930127 - 3145654269</t>
  </si>
  <si>
    <t>BAR 133</t>
  </si>
  <si>
    <t>AMARRA 369</t>
  </si>
  <si>
    <t>CALLE 4 # 1 28</t>
  </si>
  <si>
    <t>TIENDA ANTES DEL PUENTE</t>
  </si>
  <si>
    <t>guapachamariaisabel6@gmail.com</t>
  </si>
  <si>
    <t xml:space="preserve">ANGELA MARIA DEL PILAR </t>
  </si>
  <si>
    <t>BAR 114</t>
  </si>
  <si>
    <t>AMARRA 289</t>
  </si>
  <si>
    <t>CONDOMINIO LUNADAS</t>
  </si>
  <si>
    <t>CASA 19</t>
  </si>
  <si>
    <t>boxsi@outlook.com</t>
  </si>
  <si>
    <t xml:space="preserve">PEDRO LUIS VERGARA </t>
  </si>
  <si>
    <t>BAR 115</t>
  </si>
  <si>
    <t>AMARRA 292</t>
  </si>
  <si>
    <t>CASA 30</t>
  </si>
  <si>
    <t>peveza459@gmail.com</t>
  </si>
  <si>
    <t>BEATRIZ EUGENIA ALZATE MONTOYA</t>
  </si>
  <si>
    <t>AMARRA 605</t>
  </si>
  <si>
    <t xml:space="preserve">ALMENDROS </t>
  </si>
  <si>
    <t>CASA 12</t>
  </si>
  <si>
    <t>batra7@hotmail.com</t>
  </si>
  <si>
    <t>EDUARD GIOVANNY ESPINOSA GARCIA</t>
  </si>
  <si>
    <t>BAR 116</t>
  </si>
  <si>
    <t>AMARRA 297</t>
  </si>
  <si>
    <t>CASA 11 FRENTE COMANDO</t>
  </si>
  <si>
    <t>giovannyespinosa1978@gmail.com</t>
  </si>
  <si>
    <t>JUAN ANDRES BERMEO ESPINOZA</t>
  </si>
  <si>
    <t>3146249443 - 3163009836</t>
  </si>
  <si>
    <t>ARP 10.10.11.7</t>
  </si>
  <si>
    <t>VISTA HERMOSA</t>
  </si>
  <si>
    <t>LOS BALSOS</t>
  </si>
  <si>
    <t>arredondoandreina75@gmail.com</t>
  </si>
  <si>
    <t>ANACECILIA GOMEZ PARDO</t>
  </si>
  <si>
    <t>3137506348 - 3004118916</t>
  </si>
  <si>
    <t>BAR 090</t>
  </si>
  <si>
    <t>AMARRA 462</t>
  </si>
  <si>
    <t>CASA 24</t>
  </si>
  <si>
    <t>d.f.arias@hotmail.com</t>
  </si>
  <si>
    <t>FRANCISCO ANTONIO VEGA VASQUEZ</t>
  </si>
  <si>
    <t>3206628084 - 3226555394</t>
  </si>
  <si>
    <t>BAR 117</t>
  </si>
  <si>
    <t xml:space="preserve">PRIMERA CASA ENTRANDO A PALERMO </t>
  </si>
  <si>
    <t>fransisco1975vega@gmail.com</t>
  </si>
  <si>
    <t>LINA MARCELA NARVAEZ POPAYAN</t>
  </si>
  <si>
    <t>3147967578 - 3206628084</t>
  </si>
  <si>
    <t>ARP 10.10.11.4</t>
  </si>
  <si>
    <t>PLANTA TRITURADORA EL TESORITO</t>
  </si>
  <si>
    <t>linagisellenarvaez@gmail.com</t>
  </si>
  <si>
    <t>CLARA INES ORTIZ ZAPATA</t>
  </si>
  <si>
    <t>3122234075 - 3016476139</t>
  </si>
  <si>
    <t>BAR 123</t>
  </si>
  <si>
    <t>KM 1 VIA BARRAGAN</t>
  </si>
  <si>
    <t>FINCA VILLA CLARA</t>
  </si>
  <si>
    <t>joeerney2019henao@gmail.com</t>
  </si>
  <si>
    <t xml:space="preserve">NAYROVIS DEL CARMEN MONTILLA SIRA </t>
  </si>
  <si>
    <t>3022815292 - 3169384088</t>
  </si>
  <si>
    <t>BAR 142</t>
  </si>
  <si>
    <t>AMARRA 673</t>
  </si>
  <si>
    <t>ALTO DE BARRAGAN</t>
  </si>
  <si>
    <t>PASANDO EL PUENTE CASA ENSEGUIDA TIENDA PISO 1</t>
  </si>
  <si>
    <t>jesusdavismoralesmontilla@gmail.com</t>
  </si>
  <si>
    <t>CAROLAY GREGORIA GONZALEZ OSPINA</t>
  </si>
  <si>
    <t>3173148242 - 3167087792</t>
  </si>
  <si>
    <t>BAR 073</t>
  </si>
  <si>
    <t>AMARRA 490</t>
  </si>
  <si>
    <t>ENSEGUIDA DE LA CASETA PISO 2</t>
  </si>
  <si>
    <t>JHON ERGE PADILLA IDARRAGA</t>
  </si>
  <si>
    <t>3234251200 - 3126271350</t>
  </si>
  <si>
    <t>AMARRA 922</t>
  </si>
  <si>
    <t>CASA BLANCA BALCON</t>
  </si>
  <si>
    <t xml:space="preserve">BARRAGAN </t>
  </si>
  <si>
    <t>galaxyacoregalaxyacore8@gmail.com</t>
  </si>
  <si>
    <t xml:space="preserve">JESUS ADRIAN CEBALLOS CASTAÑO </t>
  </si>
  <si>
    <t>3235815119 - 3187810254</t>
  </si>
  <si>
    <t>ARP 10.10.11.13</t>
  </si>
  <si>
    <t>TIENDA LA FONDA</t>
  </si>
  <si>
    <t>VDA RIO LEJOS PIJAO</t>
  </si>
  <si>
    <t>nataliadelaida@gmail.cpm</t>
  </si>
  <si>
    <t>FABIO DE JESUS GRAJALES BEDOYA</t>
  </si>
  <si>
    <t>3113756969 - 3146956216</t>
  </si>
  <si>
    <t>BAR 049</t>
  </si>
  <si>
    <t>AMRRA 625</t>
  </si>
  <si>
    <t>BAJP CAICEDONIA</t>
  </si>
  <si>
    <t>CRA 6 2 14</t>
  </si>
  <si>
    <t>grajalesbedoya@gmail.com</t>
  </si>
  <si>
    <t>NO CONT / NO RESPN</t>
  </si>
  <si>
    <t>MARIA ALEJANDRA CORREA GOMEZ</t>
  </si>
  <si>
    <t>BAR 125</t>
  </si>
  <si>
    <t>AMARRA 606</t>
  </si>
  <si>
    <t>ALMENDROS</t>
  </si>
  <si>
    <t>CASA 20</t>
  </si>
  <si>
    <t>malejac07@hotmail.com</t>
  </si>
  <si>
    <t>TERESA DE JESUS CASTAÑO GIL</t>
  </si>
  <si>
    <t>3113531639 - 3113536416</t>
  </si>
  <si>
    <t xml:space="preserve">LOS BALSOS   </t>
  </si>
  <si>
    <t>FINCA EL VERGEL</t>
  </si>
  <si>
    <t>cebloren@hotmail.com</t>
  </si>
  <si>
    <t xml:space="preserve">RAMIRO ANTONIO SILVA </t>
  </si>
  <si>
    <t>3183377666 - 3161832089</t>
  </si>
  <si>
    <t>BAR 128</t>
  </si>
  <si>
    <t>AMARRA 884</t>
  </si>
  <si>
    <t>FINCA MAGALLANES</t>
  </si>
  <si>
    <t>FRENTE VALLE DEL SOL</t>
  </si>
  <si>
    <t>ELIZABETH BERMEO ESPINOZA</t>
  </si>
  <si>
    <t>3148683466 - 3146249443</t>
  </si>
  <si>
    <t>ARP 10.10.11.12</t>
  </si>
  <si>
    <t xml:space="preserve">LOS BALSOS </t>
  </si>
  <si>
    <t>FINCA VILLA NEY</t>
  </si>
  <si>
    <t>FAVIO ANDRES RAMIREZ GIRALDO</t>
  </si>
  <si>
    <t>BAR 144</t>
  </si>
  <si>
    <t>AMARRA 869</t>
  </si>
  <si>
    <t>CASA 22</t>
  </si>
  <si>
    <t>JUAN SEBASTIAN TORO NIÑO</t>
  </si>
  <si>
    <t>BAR 132</t>
  </si>
  <si>
    <t>CONDOMINIO SAMANES</t>
  </si>
  <si>
    <t>CASA 9</t>
  </si>
  <si>
    <t>juansetoro.abogado@gmail.com</t>
  </si>
  <si>
    <t>ALEJANDRO CERQUERA RODRIGUEZ</t>
  </si>
  <si>
    <t>BAR 135</t>
  </si>
  <si>
    <t>FINCA LA PRIMAVERA</t>
  </si>
  <si>
    <t>VEREDA VIA BARRAGN CASA 2 PLANTAS MANO IZQ BAJANDO</t>
  </si>
  <si>
    <t>DORA INES LINARES FRANCO</t>
  </si>
  <si>
    <t>3138885877 - 3102106986</t>
  </si>
  <si>
    <t>BAR 147</t>
  </si>
  <si>
    <t>CONJUNTO ALMENDROS</t>
  </si>
  <si>
    <t>CASA 37</t>
  </si>
  <si>
    <t>dlinaresesfranco@hotmail.com</t>
  </si>
  <si>
    <t xml:space="preserve">MARIA ARGENIS GARZON OSPINA </t>
  </si>
  <si>
    <t>3138724603 - 3178939809</t>
  </si>
  <si>
    <t>BAR 141</t>
  </si>
  <si>
    <t>AMARRA 463</t>
  </si>
  <si>
    <t>TERCER CASA SUBIENDO EL KIOSKO</t>
  </si>
  <si>
    <t>argenisgarzon588@gmail.com</t>
  </si>
  <si>
    <t>JUAN SEBASTIAN CALDERON ROJAS</t>
  </si>
  <si>
    <t>3225082639 - 3127480825</t>
  </si>
  <si>
    <t>BAR 143</t>
  </si>
  <si>
    <t>AMARRA 632</t>
  </si>
  <si>
    <t>CASA 15</t>
  </si>
  <si>
    <t>DIAGONAL A LA POLICIA</t>
  </si>
  <si>
    <t>sebastian.calderonrojas219@gmail.com</t>
  </si>
  <si>
    <t>LUIS EDUARDO MORENO NARVAEZ</t>
  </si>
  <si>
    <t>3134703537 - 3137496757</t>
  </si>
  <si>
    <t>BAR 146</t>
  </si>
  <si>
    <t>CASA ENSEGUIDA SUPER GIROS</t>
  </si>
  <si>
    <t>imorenonarvaez@gmail.com</t>
  </si>
  <si>
    <t xml:space="preserve">FABIOLA ARDILA BLANDON </t>
  </si>
  <si>
    <t xml:space="preserve">BAR 148 </t>
  </si>
  <si>
    <t>AMARRA 838</t>
  </si>
  <si>
    <t>CALLE PALERMO</t>
  </si>
  <si>
    <t>CALLE 5 # 5 - 09</t>
  </si>
  <si>
    <t>MARTHA INES CEBALLOS BAENA</t>
  </si>
  <si>
    <t>3146958096-3134996741</t>
  </si>
  <si>
    <t>BAR016</t>
  </si>
  <si>
    <t xml:space="preserve">YIVAN RONALD OSORIO RENDON </t>
  </si>
  <si>
    <t>ARP 10.10.11.17</t>
  </si>
  <si>
    <t>FINCA MACEDONIA</t>
  </si>
  <si>
    <t>VEREDA EL CICUYO</t>
  </si>
  <si>
    <t xml:space="preserve">YEISY YULIANA OSORIO </t>
  </si>
  <si>
    <t>3117576475 - 3166092192</t>
  </si>
  <si>
    <t>BAR 150</t>
  </si>
  <si>
    <t>AMARRA 873</t>
  </si>
  <si>
    <t>CASA ENSEGUIDA MONTALLANTAS</t>
  </si>
  <si>
    <t>PUERTA 1</t>
  </si>
  <si>
    <t>yulianaosorioomez6@gmail.com</t>
  </si>
  <si>
    <t>RAUL EDUARDO TELLEZ</t>
  </si>
  <si>
    <t>BAR 151</t>
  </si>
  <si>
    <t>AMARRA 874</t>
  </si>
  <si>
    <t>ESTACION DE POLICIA BARRAGAN CASA</t>
  </si>
  <si>
    <t>telleztellezrauleduardo@gmail.com</t>
  </si>
  <si>
    <t xml:space="preserve">REALIZA EL PAGO MAÑANA </t>
  </si>
  <si>
    <t>NATALY PERDOMO ANGARITA</t>
  </si>
  <si>
    <t>3217131050 - 3148001142</t>
  </si>
  <si>
    <t>ARP 10,10,11,18</t>
  </si>
  <si>
    <t>FINCA STELLA</t>
  </si>
  <si>
    <t>tamialunabladi@gmail.com</t>
  </si>
  <si>
    <t>ANGELICA MARIA LOPEZ MEJIA</t>
  </si>
  <si>
    <t>3002092157 - 3165231965</t>
  </si>
  <si>
    <t>AMARRA 880</t>
  </si>
  <si>
    <t>CONDOMINIO LOS ALMENDROS</t>
  </si>
  <si>
    <t>CASA 13 PISO 2</t>
  </si>
  <si>
    <t>angelica7312@gmail.com</t>
  </si>
  <si>
    <t>AMELIA CARDONA</t>
  </si>
  <si>
    <t>3157192084 - 3147230583</t>
  </si>
  <si>
    <t>BAR 153</t>
  </si>
  <si>
    <t>SECTOR PARQUE</t>
  </si>
  <si>
    <t>CRA 6  1  14</t>
  </si>
  <si>
    <t>mariarengifocardona@gmail.com</t>
  </si>
  <si>
    <t>ALEJANDRA ARANGO CRADONA</t>
  </si>
  <si>
    <t>BAR 156</t>
  </si>
  <si>
    <t>CASA 69</t>
  </si>
  <si>
    <t>MARTHA LUCIA BELTRAN HERNANDEZ</t>
  </si>
  <si>
    <t>ARP 10.10.11.22</t>
  </si>
  <si>
    <t>ESCUELA LOS BALSOS</t>
  </si>
  <si>
    <t>2023marthabeltran@gmail.com</t>
  </si>
  <si>
    <t>MARITZA ESTRADA ARIAS</t>
  </si>
  <si>
    <t>BAR 158</t>
  </si>
  <si>
    <t xml:space="preserve">POR LA SUBIDA AL PARQUE </t>
  </si>
  <si>
    <t>EDILBERTO SOLARTE GONZALEZ</t>
  </si>
  <si>
    <t>BAR 155</t>
  </si>
  <si>
    <t>ALTOS BARRACO</t>
  </si>
  <si>
    <t>CALLE 4  6 46</t>
  </si>
  <si>
    <t>solarteedillberto26@gmail.com</t>
  </si>
  <si>
    <t>JUAN CARLOS BENAVIDES BAÑOL</t>
  </si>
  <si>
    <t>ARP 10,10,11,23</t>
  </si>
  <si>
    <t>VEREDA RIO LEJOS</t>
  </si>
  <si>
    <t>FINCA EL DURAZNO</t>
  </si>
  <si>
    <t>juan973ag@gmail.com</t>
  </si>
  <si>
    <t>JAIRO ALONSO CARDONA CASTRILLON</t>
  </si>
  <si>
    <t>3154197212 - 3104459084</t>
  </si>
  <si>
    <t>BAR 162</t>
  </si>
  <si>
    <t>PLA ILIMITADO</t>
  </si>
  <si>
    <t>cardonajairo@gmail.com</t>
  </si>
  <si>
    <t>VALERIA STEFANY LEON IBARRA</t>
  </si>
  <si>
    <t>3233270991 - 3134118761</t>
  </si>
  <si>
    <t>BAR 157</t>
  </si>
  <si>
    <t>VIA CAICED KL 1</t>
  </si>
  <si>
    <t>RESTAURANTE SAN BERNARTDO</t>
  </si>
  <si>
    <t>YENNY VANESSA NIETO ARIZA</t>
  </si>
  <si>
    <t>3148634541 - 3127954479</t>
  </si>
  <si>
    <t>BAR 160</t>
  </si>
  <si>
    <t>CASA FRENTE LA CASA DE CAKLDERON</t>
  </si>
  <si>
    <t>YESENIA YEPES CALLEJAS</t>
  </si>
  <si>
    <t>3107848650 - 3112517706</t>
  </si>
  <si>
    <t>BAR 163</t>
  </si>
  <si>
    <t>PLAN ILIMITADO</t>
  </si>
  <si>
    <t>CASA 2</t>
  </si>
  <si>
    <t>yeseangel766@gmail.com</t>
  </si>
  <si>
    <t>ANDRES FELIPE SOTO ARIZMENDY</t>
  </si>
  <si>
    <t>3216116920 - 3136870247</t>
  </si>
  <si>
    <t>BAR 164</t>
  </si>
  <si>
    <t>CONDOMINIO LA PROVIDENCIA</t>
  </si>
  <si>
    <t>andres.sotoar@gmail.com</t>
  </si>
  <si>
    <t>VIVIANA OROZCO RAMIREZ</t>
  </si>
  <si>
    <t>BAR 037</t>
  </si>
  <si>
    <t>vivi97.ram@gmail.com</t>
  </si>
  <si>
    <t>FABIAN ORLANDO GOMEZ GARCIA</t>
  </si>
  <si>
    <t>3217679799 - 3205795562</t>
  </si>
  <si>
    <t>FINCA LOS BALSOS AVICOLA</t>
  </si>
  <si>
    <t>samuelnoregagonzales@gmail.com</t>
  </si>
  <si>
    <t>DUVAN ANDRES VILLADA CASTRILLON</t>
  </si>
  <si>
    <t>BAR 165</t>
  </si>
  <si>
    <t>CARPA AZUL FRENTE LA ESTACION POLICIA</t>
  </si>
  <si>
    <t>ddimensioncontable@gmail.com</t>
  </si>
  <si>
    <t>INGRIS MILENA MEZA ROJAS</t>
  </si>
  <si>
    <t>3005219265-3053083551</t>
  </si>
  <si>
    <t>BAR 098</t>
  </si>
  <si>
    <t>LOS ALMENDROS</t>
  </si>
  <si>
    <t xml:space="preserve">JESUS ARGENIS MALAVE </t>
  </si>
  <si>
    <t>3186360784-3168469301</t>
  </si>
  <si>
    <t xml:space="preserve">BAR 102 </t>
  </si>
  <si>
    <t>CALLE 6 1 03 CASA 35</t>
  </si>
  <si>
    <t>PROGRESO</t>
  </si>
  <si>
    <t>GLORIA PTRICIA PATIÑO</t>
  </si>
  <si>
    <t>NODO BARRAGA</t>
  </si>
  <si>
    <t>ARP 10.10.11.168</t>
  </si>
  <si>
    <t>LOS BALSOS VIA GENOVA COSTA RICA</t>
  </si>
  <si>
    <t>patinopatrsia@gmail.com</t>
  </si>
  <si>
    <t>DUVERNEY VILLADA NARVAEZ</t>
  </si>
  <si>
    <t>3005071601 - 3016175113</t>
  </si>
  <si>
    <t>ARP 10.10.10.123</t>
  </si>
  <si>
    <t>RIO LEJOS</t>
  </si>
  <si>
    <t>CASETA COMUNAL</t>
  </si>
  <si>
    <t>YURI BARBOSA</t>
  </si>
  <si>
    <t>3113540272 - 3216119568</t>
  </si>
  <si>
    <t>BAR 034</t>
  </si>
  <si>
    <t>CRA 3 # 4 - 03</t>
  </si>
  <si>
    <t>barbosayuri183@gmail.com</t>
  </si>
  <si>
    <t>DIEGO LLANOS</t>
  </si>
  <si>
    <t>3146253220 - 3025401900</t>
  </si>
  <si>
    <t>BAR 121</t>
  </si>
  <si>
    <t>ENSEGUIDA DE LA CONQUISTA</t>
  </si>
  <si>
    <t>FINCA SAN JOAQUIN</t>
  </si>
  <si>
    <t>LUZ GLADYS GIL DE MOTTA</t>
  </si>
  <si>
    <t>ARP 10.10.11.10</t>
  </si>
  <si>
    <t>VEREDA LA TOPACIA</t>
  </si>
  <si>
    <t>FINCA BOSQUE NATIVO</t>
  </si>
  <si>
    <t>YENNY ALBOLEDA MARIN</t>
  </si>
  <si>
    <t>3104095361 - 3028581951</t>
  </si>
  <si>
    <t>BAR 002</t>
  </si>
  <si>
    <t>BARRGAN</t>
  </si>
  <si>
    <t xml:space="preserve">CONDOMINIO VALLE DEL SOL </t>
  </si>
  <si>
    <t>CASA 79</t>
  </si>
  <si>
    <t>marcearboleda11391@gmail.com</t>
  </si>
  <si>
    <t>SEBASTIAN RESTREPO CARMONA</t>
  </si>
  <si>
    <t>3003766649 - 3216947820</t>
  </si>
  <si>
    <t>BAR 136</t>
  </si>
  <si>
    <t>LA PRADERA</t>
  </si>
  <si>
    <t>restrepocar15@gmail.com</t>
  </si>
  <si>
    <t xml:space="preserve">HACIENDA PRIMAVERA </t>
  </si>
  <si>
    <t>HACIENDA PRIMAVERA</t>
  </si>
  <si>
    <t>contabilidad@proarquitectura.co</t>
  </si>
  <si>
    <t xml:space="preserve">JHON JAIRO HENAO LOPEZ </t>
  </si>
  <si>
    <t>3177265002-3117696195</t>
  </si>
  <si>
    <t>BAR 076</t>
  </si>
  <si>
    <t>AMARRA 921</t>
  </si>
  <si>
    <t>escorpiontaurojj@gmail.com</t>
  </si>
  <si>
    <t>SANTIAGO ORTIZ ANGEL</t>
  </si>
  <si>
    <t>3135159256-3234837284</t>
  </si>
  <si>
    <t>BAR 095</t>
  </si>
  <si>
    <t>AMRRA 923</t>
  </si>
  <si>
    <t>ESQUINA DE CASA DE CALDERON</t>
  </si>
  <si>
    <t>santy.ortoz.angel2004@gmail.com</t>
  </si>
  <si>
    <t>EDNY CAROLINA LOAIZA RODRIGUEZ</t>
  </si>
  <si>
    <t>BAR 101</t>
  </si>
  <si>
    <t>lilyro69@gmail.com</t>
  </si>
  <si>
    <t>GLORIA PATRICIA GIL VASQUEZ</t>
  </si>
  <si>
    <t>3154137925 - 3175307799</t>
  </si>
  <si>
    <t>ARP 10.10.10.75</t>
  </si>
  <si>
    <t>NODO BUENAVISTA</t>
  </si>
  <si>
    <t>VIA BARRAGAN CAICEDONIA RESERVA LA CASTALIA</t>
  </si>
  <si>
    <t>gloriagilva@gmail.com</t>
  </si>
  <si>
    <t>DIEGO NORBERTO HERNANDEZ CORREA</t>
  </si>
  <si>
    <t>3106262851 - 3128324641</t>
  </si>
  <si>
    <t>BAR 127</t>
  </si>
  <si>
    <t>ALEX VARGAS</t>
  </si>
  <si>
    <t>SEVILLA</t>
  </si>
  <si>
    <t>LA CASCADA</t>
  </si>
  <si>
    <t>ARBEY ANGARITA</t>
  </si>
  <si>
    <t>ARP 10.10.10.29</t>
  </si>
  <si>
    <t>LA HABANA</t>
  </si>
  <si>
    <t>andreaangarita26@gmail.com</t>
  </si>
  <si>
    <t>LIBARDO VELASQUEZ ARBOLEDA</t>
  </si>
  <si>
    <t>3 ELDAS</t>
  </si>
  <si>
    <t>msuazaagudelo@gmail.com</t>
  </si>
  <si>
    <t>YEISON ALEJANDRO SUAREZ VELEZ</t>
  </si>
  <si>
    <t>ARP 10.10.10.45</t>
  </si>
  <si>
    <t>alejosuarez2809@gmail.com</t>
  </si>
  <si>
    <t>OLMES MONCADA PALACIO</t>
  </si>
  <si>
    <t>ARP 10.10.10.64</t>
  </si>
  <si>
    <t>LA GRANJA</t>
  </si>
  <si>
    <t>moncadagaymer@hotmail.com</t>
  </si>
  <si>
    <t>CRISTINA LOPEZ BETANCOURTH</t>
  </si>
  <si>
    <t>5 Megas</t>
  </si>
  <si>
    <t>EL CRUCERO</t>
  </si>
  <si>
    <t>zepolcriss1@hotmail.com</t>
  </si>
  <si>
    <t>JULIAN ORLANDO ALZATE</t>
  </si>
  <si>
    <t>ARP 10.10.10.38</t>
  </si>
  <si>
    <t>VILLA GILMA</t>
  </si>
  <si>
    <t>julian.exe@hotmail.com</t>
  </si>
  <si>
    <t>MARIA DEIFAN ENRRIQUEZ GALEANO</t>
  </si>
  <si>
    <t>ARP 10.10.10.47</t>
  </si>
  <si>
    <t>dimaenlo02@gmail.com</t>
  </si>
  <si>
    <t>MARIO HERNESTO JARAMILLO GUEVARA</t>
  </si>
  <si>
    <t>metalicasjaramillo@hotmail.com</t>
  </si>
  <si>
    <t>DIEGO FERNANDO CEBALLOS BENAVIDES</t>
  </si>
  <si>
    <t>ARP 10.10.10.41</t>
  </si>
  <si>
    <t>EL TOPACIO</t>
  </si>
  <si>
    <t>ceballos1970.dc@gmail.com</t>
  </si>
  <si>
    <t>AURA MARIA GUSTIN MARTINEZ</t>
  </si>
  <si>
    <t>ARP 10.10.10.54</t>
  </si>
  <si>
    <t>LA MORADA</t>
  </si>
  <si>
    <t>sebastianpantoja@gmail.com</t>
  </si>
  <si>
    <t>MARIO CARDONA LOPEZ</t>
  </si>
  <si>
    <t>ARP 10.10.10.44</t>
  </si>
  <si>
    <t>MANZANILLO</t>
  </si>
  <si>
    <t>BETANIA</t>
  </si>
  <si>
    <t>mariocarlopez@hotmail.com</t>
  </si>
  <si>
    <t>VICTOR HUGO ALZATE JARAMILLO</t>
  </si>
  <si>
    <t>ARP 10.10.10.116</t>
  </si>
  <si>
    <t>60 MEGAS</t>
  </si>
  <si>
    <t>RESTAURANTE EL BALCON</t>
  </si>
  <si>
    <t>victor197611@hotmail.com</t>
  </si>
  <si>
    <t>ELENA MEJIA DE VELASQUEZ</t>
  </si>
  <si>
    <t>ARP 10.10.10.133</t>
  </si>
  <si>
    <t>FINCA BELLAVISTA</t>
  </si>
  <si>
    <t>elenamejia2903@gmail.com</t>
  </si>
  <si>
    <t>JOSE EDUARDO LADINO</t>
  </si>
  <si>
    <t>SARAGOSA</t>
  </si>
  <si>
    <t>jazminruis1@gmail.com</t>
  </si>
  <si>
    <t>EDWAR HERNANDEZ RESTREPO</t>
  </si>
  <si>
    <t>ARP 10.10.10.142</t>
  </si>
  <si>
    <t>IGLESIA PENTECOSTEL UNIDA</t>
  </si>
  <si>
    <t>ramosulloa83@gmail.com</t>
  </si>
  <si>
    <t>ARBEY DUQUE MEDINA</t>
  </si>
  <si>
    <t>ARP 10.10.10.166</t>
  </si>
  <si>
    <t>MANZANO</t>
  </si>
  <si>
    <t>recepcionfacinterfronteras@gmail.com</t>
  </si>
  <si>
    <t>CARLOS EDUARDO GARCES SALDARRIAGA</t>
  </si>
  <si>
    <t>ARP 10.10.10.149</t>
  </si>
  <si>
    <t>EL CRUCERITO</t>
  </si>
  <si>
    <t>carlosegarces.123@hotmail.com</t>
  </si>
  <si>
    <t>LADY LORENA SEPULVEDA QUICENO</t>
  </si>
  <si>
    <t>ARP 10.10.10.170</t>
  </si>
  <si>
    <t>LA RAQUETA</t>
  </si>
  <si>
    <t>GUAYACANES</t>
  </si>
  <si>
    <t>KEVIN JOSE PAYAN MENESE</t>
  </si>
  <si>
    <t xml:space="preserve">ARP 10.10.10.8 </t>
  </si>
  <si>
    <t>km5437343@gmail.com</t>
  </si>
  <si>
    <t>FRANCY YULIANA FLOREZ RUDA</t>
  </si>
  <si>
    <t>ARP 10.10.10.86</t>
  </si>
  <si>
    <t>DELFINA</t>
  </si>
  <si>
    <t>MAGDALENA</t>
  </si>
  <si>
    <t>francyyulianaflorezruda@gmail.com</t>
  </si>
  <si>
    <t>LUIS GABRIEL MEDINA PONCE</t>
  </si>
  <si>
    <t>ARP 10.10.10.93</t>
  </si>
  <si>
    <t>medinaponceluis@gmail.com</t>
  </si>
  <si>
    <t>NO CONTESTA NO RESPONDE</t>
  </si>
  <si>
    <t>FANERY CARDENAS MUÑOZ</t>
  </si>
  <si>
    <t>ARP 10.10.10.179</t>
  </si>
  <si>
    <t>ALTO DEL RECREO</t>
  </si>
  <si>
    <t>KILOMETRO 1 BODEGA SEVIGAS</t>
  </si>
  <si>
    <t>fanerycardenas@hotmail.com</t>
  </si>
  <si>
    <t>MARTHA NELY OROZCO OSORIO</t>
  </si>
  <si>
    <t>ARP 10.10.10.181</t>
  </si>
  <si>
    <t>BILLAR</t>
  </si>
  <si>
    <t xml:space="preserve">SARA </t>
  </si>
  <si>
    <t>EL PALMAR SAS</t>
  </si>
  <si>
    <t>3103748486 - 3218033320</t>
  </si>
  <si>
    <t>ARP 10.10.10.195</t>
  </si>
  <si>
    <t>EL PALMAR</t>
  </si>
  <si>
    <t>JESSICA ALEJANDRA BAENA LOPEZ</t>
  </si>
  <si>
    <t>ARP 10.10.10.187</t>
  </si>
  <si>
    <t>LAMAFE</t>
  </si>
  <si>
    <t>ALEXANDRA MOLINA DAVILA</t>
  </si>
  <si>
    <t>ARP 10.10.10.180</t>
  </si>
  <si>
    <t>MANZANILLO DEL MAR</t>
  </si>
  <si>
    <t>alexomar440@hotmail.com</t>
  </si>
  <si>
    <t>JAVIER LOPEZ RESTREPO</t>
  </si>
  <si>
    <t>ARP 10.10.10.184</t>
  </si>
  <si>
    <t>LA SIBERIA</t>
  </si>
  <si>
    <t>topoagro@yahoo.com</t>
  </si>
  <si>
    <t>JORGE ELIECER SOTO</t>
  </si>
  <si>
    <t>ARP 10.10.10.165</t>
  </si>
  <si>
    <t>ALTO EL RECREO</t>
  </si>
  <si>
    <t>VILLA LUZ ENSEGUIDA DE LOS MOTELES</t>
  </si>
  <si>
    <t>jesluzda2@hotmail.com</t>
  </si>
  <si>
    <t>DIONICIO GARCIA SANCHEZ</t>
  </si>
  <si>
    <t>ARP 10.10.10.150</t>
  </si>
  <si>
    <t>PEDREGAL</t>
  </si>
  <si>
    <t>bacogarcia82@hotmail.com</t>
  </si>
  <si>
    <t>JOHANA PONCE SALGADO</t>
  </si>
  <si>
    <t>ARP 10.10.10.30</t>
  </si>
  <si>
    <t>LA CUCHILLA</t>
  </si>
  <si>
    <t>poncealexandra6@gmail.com</t>
  </si>
  <si>
    <t xml:space="preserve">CARLOS RODRIGUEZ CARDONA </t>
  </si>
  <si>
    <t>ARP 10.10.10.10</t>
  </si>
  <si>
    <t>AYUDAS JURIDICAS</t>
  </si>
  <si>
    <t>ayudasjuridicasrc7@hotmail.com</t>
  </si>
  <si>
    <t>DIEGO FERNANDO VALENCIA CASTILLO</t>
  </si>
  <si>
    <t>ARP 10.10.10.103</t>
  </si>
  <si>
    <t>VENADO ENTRADA ITALIA</t>
  </si>
  <si>
    <t>NAPOLES</t>
  </si>
  <si>
    <t>tuzovalencia25@gmail.com</t>
  </si>
  <si>
    <t>GUSTAVO ROA OSPINA</t>
  </si>
  <si>
    <t>ARP 10.10.10.139</t>
  </si>
  <si>
    <t>LA ESMERALDA</t>
  </si>
  <si>
    <t>gustavoshaira091@gmail.com</t>
  </si>
  <si>
    <t>VIVIAN VANESSA MOLINA REYES</t>
  </si>
  <si>
    <t>ARP 10.10.10.46</t>
  </si>
  <si>
    <t>BIENAVISTA</t>
  </si>
  <si>
    <t>vanesa.mol95610@gmail.com</t>
  </si>
  <si>
    <t>CAMILO DUQUE ORTIZ</t>
  </si>
  <si>
    <t>VILLA JHON</t>
  </si>
  <si>
    <t>cduque638@gmail.com</t>
  </si>
  <si>
    <t>HUGO FERNANDO RODRIGUEZ</t>
  </si>
  <si>
    <t>ARP 10.10.10.189</t>
  </si>
  <si>
    <t>LA VENDA</t>
  </si>
  <si>
    <t>EL CARMEN</t>
  </si>
  <si>
    <t>huferav@hotmail.com</t>
  </si>
  <si>
    <t>GLORIA ENITD MARIN PEÑA</t>
  </si>
  <si>
    <t>3117471415 - 3015272923</t>
  </si>
  <si>
    <t>ARP 10.10.10.155</t>
  </si>
  <si>
    <t>BARRANQUERO</t>
  </si>
  <si>
    <t>gloen.mafe@hotmail.com</t>
  </si>
  <si>
    <t>DEYSI LORENA VILLOTA</t>
  </si>
  <si>
    <t>3248045371 - 3168742340</t>
  </si>
  <si>
    <t>ARP 10.10.10.14</t>
  </si>
  <si>
    <t>EL PRADO</t>
  </si>
  <si>
    <t>villotadeicy9@gmail.com</t>
  </si>
  <si>
    <t>JOSE BESALIO GARCIA</t>
  </si>
  <si>
    <t>LA ABANA</t>
  </si>
  <si>
    <t>FERNANDO ZAPATA ROJAS</t>
  </si>
  <si>
    <t>LA BETULIA</t>
  </si>
  <si>
    <t>fernandozapatarojas@yahoo.es</t>
  </si>
  <si>
    <t>PABLO CESAR TABARES</t>
  </si>
  <si>
    <t>ARP 10.10.10.88</t>
  </si>
  <si>
    <t>VILLA MAJU ENSEGUIDA DE LA LA FINCA DE FREDY OMAR</t>
  </si>
  <si>
    <t>pacetaq@gmail.com</t>
  </si>
  <si>
    <t>ALEXANDRA DELIBETH HERNANDEZ PEÑA</t>
  </si>
  <si>
    <t>3133498096 - 3144217626</t>
  </si>
  <si>
    <t>ARP 10.10.10.100</t>
  </si>
  <si>
    <t>BOSQUE BAJO</t>
  </si>
  <si>
    <t>LA CARMELITA</t>
  </si>
  <si>
    <t>delibeth920hernandezp@hotmail.com</t>
  </si>
  <si>
    <t>EDMER LONDOÑO ROJAS</t>
  </si>
  <si>
    <t>ARP 10.10.10.13</t>
  </si>
  <si>
    <t>VEREDA SAN ANTONIO</t>
  </si>
  <si>
    <t>FINCA LAS PALMAS</t>
  </si>
  <si>
    <t>ALEXANDER CONTRERAS GUAYANCUNO</t>
  </si>
  <si>
    <t>3146225429 - 3145966935</t>
  </si>
  <si>
    <t>VDA SAMARIA PUENTE</t>
  </si>
  <si>
    <t>acerobetancuord@gmail.com</t>
  </si>
  <si>
    <t>OSCAR HUMBERTO VILLALBA ZULETA</t>
  </si>
  <si>
    <t>VEREDA LA DELFINA</t>
  </si>
  <si>
    <t>DARNOBY NIETO VARGAS</t>
  </si>
  <si>
    <t>3113355146 - 3116313798</t>
  </si>
  <si>
    <t>ARP 10.10.10.162</t>
  </si>
  <si>
    <t>VEREDA FRONTINO</t>
  </si>
  <si>
    <t>FINCA LA MORELIA</t>
  </si>
  <si>
    <t>ALBETH</t>
  </si>
  <si>
    <t>VIVIAN LICET CASTRO</t>
  </si>
  <si>
    <t>3114099237 - 3114378954</t>
  </si>
  <si>
    <t>ESCUELA SEDE TRINIDAD</t>
  </si>
  <si>
    <t>JEFERSSON FABIAN OSSA QUINCHIA</t>
  </si>
  <si>
    <t>3232941041 - 3181226725</t>
  </si>
  <si>
    <t>FINCA AURORA</t>
  </si>
  <si>
    <t>JULIAN ALVAREZ</t>
  </si>
  <si>
    <t>FINCA LA PALOMA</t>
  </si>
  <si>
    <t>LUZ MILDRED CELEMIN MARTINEZ</t>
  </si>
  <si>
    <t xml:space="preserve">MAZ G CASA 2 </t>
  </si>
  <si>
    <t>SOL BIBIANA QUINTERO OSORIO</t>
  </si>
  <si>
    <t>3113973427 - 3145891739</t>
  </si>
  <si>
    <t xml:space="preserve">CASA BRISAS DEL RIO </t>
  </si>
  <si>
    <t>EDISON GUILLERMO MIRAMA GUACHAVEZ</t>
  </si>
  <si>
    <t>3204809896 - 3126064945</t>
  </si>
  <si>
    <t>ARP 10.10.10..14</t>
  </si>
  <si>
    <t>VDA LOS BALSOS</t>
  </si>
  <si>
    <t>FINCA GRANJA LOS BALSOS</t>
  </si>
  <si>
    <t>GERALDINE PUENTES OCAMPO</t>
  </si>
  <si>
    <t>3142088390 - 3175843231</t>
  </si>
  <si>
    <t>70 Megas</t>
  </si>
  <si>
    <t>CRA 12 # 22 - 16</t>
  </si>
  <si>
    <t>CENTRO PISO 2</t>
  </si>
  <si>
    <t>MARIA ALEJANDRA OSSMA BERNAL</t>
  </si>
  <si>
    <t>3114081143 - 3216256758</t>
  </si>
  <si>
    <t>CRA 10 # 17 - 71</t>
  </si>
  <si>
    <t xml:space="preserve">YON JAIRO GOMEZ BOTERO </t>
  </si>
  <si>
    <t>3127800775 - 3108400597</t>
  </si>
  <si>
    <t>PRIMER PISO</t>
  </si>
  <si>
    <t>CRA 11 # 27 - 19</t>
  </si>
  <si>
    <t>OLGA LUCIA ESCOBAR RAMIREZ</t>
  </si>
  <si>
    <t>CALLE 22 # 11-26</t>
  </si>
  <si>
    <t>PRIMERA CLASE INMOBILIARIA SAS</t>
  </si>
  <si>
    <t>CRA 6 # 1N - 75</t>
  </si>
  <si>
    <t>AVEN CENTENARI ARMENIA</t>
  </si>
  <si>
    <t>YUNIOR EMANUEL FLOREZ GAVIRIAA</t>
  </si>
  <si>
    <t>3116789457 - 3216494010</t>
  </si>
  <si>
    <t>GENO 462</t>
  </si>
  <si>
    <t>AMRRA 020</t>
  </si>
  <si>
    <t>GUSTAVO ORTEGA</t>
  </si>
  <si>
    <t>3126742763 - 3105212957</t>
  </si>
  <si>
    <t>GENO 499</t>
  </si>
  <si>
    <t>BLOQUE 4 APTO 404</t>
  </si>
  <si>
    <t>LEIDY VIVIANA USMA URREA</t>
  </si>
  <si>
    <t>CRA 11 # 34 - 110</t>
  </si>
  <si>
    <t xml:space="preserve">JUAN CAMILO DAVILA BLANDON </t>
  </si>
  <si>
    <t>3103674397 - 3108453699</t>
  </si>
  <si>
    <t>CALLE 27 # 11 - 21</t>
  </si>
  <si>
    <t>CARLOS ARTURO CAMACHO BOADA</t>
  </si>
  <si>
    <t>3103689813 - 3248055296</t>
  </si>
  <si>
    <t>CRA 9 # 18 - 60</t>
  </si>
  <si>
    <t>ANGI PAOLA OSORIO CORREA</t>
  </si>
  <si>
    <t>CRA 12 CALLE 17 ESQ</t>
  </si>
  <si>
    <t>DONALDO MANUEL GONZALEZ GARAVITO</t>
  </si>
  <si>
    <t>CALLE 27 # 11 - 05</t>
  </si>
  <si>
    <t>CALLE 29 CRA 8 8 01</t>
  </si>
  <si>
    <t>CRA 14  26 100</t>
  </si>
  <si>
    <t>EDWINLADINO CRADONA</t>
  </si>
  <si>
    <t>CRA 12  16 34</t>
  </si>
  <si>
    <t>ANA MARIA GONZALEZ RODRIGUEZ</t>
  </si>
  <si>
    <t xml:space="preserve">LUZ AMPARO QUIRAMA CASTAÑO </t>
  </si>
  <si>
    <t>VDA LA MILONGA</t>
  </si>
  <si>
    <t>FINCA LOS GALPONES</t>
  </si>
  <si>
    <t>3107131277 - 3218225031</t>
  </si>
  <si>
    <t>BUENA 61</t>
  </si>
  <si>
    <t>CALLE 2 # 2 - 05 APT 7</t>
  </si>
  <si>
    <t>LUZ MARY VELASQUEZ MARTINEZ</t>
  </si>
  <si>
    <t>3127156329 - 3127234072</t>
  </si>
  <si>
    <t>CRA 7 5 12</t>
  </si>
  <si>
    <t>BUENA 75</t>
  </si>
  <si>
    <t>1A 33</t>
  </si>
  <si>
    <t>LUZ DANIELA CASTAÑO VEGA</t>
  </si>
  <si>
    <t>PISO 2</t>
  </si>
  <si>
    <t>CASA BLANCA GRANDE</t>
  </si>
  <si>
    <t>LUIS FERNANDO VELEZ CARDONA</t>
  </si>
  <si>
    <t xml:space="preserve">VERDA MELVA </t>
  </si>
  <si>
    <t>ESCUELA LA MELVA</t>
  </si>
  <si>
    <t>3105185792 - 3148673431</t>
  </si>
  <si>
    <t>CALLE 26 12 49</t>
  </si>
  <si>
    <t>3178376284 - 3185639246</t>
  </si>
  <si>
    <t xml:space="preserve">MAZ 4 CASA 1 </t>
  </si>
  <si>
    <t xml:space="preserve">LUIS FERNANDO RENDON AYA </t>
  </si>
  <si>
    <t>3215063848 - 3162359843</t>
  </si>
  <si>
    <t>JHON JAIRO CASTAÑEDA VALENCIA</t>
  </si>
  <si>
    <t>BAR 007</t>
  </si>
  <si>
    <t>ENSEGUIDA ANDRES CALDERON</t>
  </si>
  <si>
    <t>JOVANY DE JESUS GARCIA CASTAÑEDA</t>
  </si>
  <si>
    <t>DORA NELLY GARZON NARVAEZ</t>
  </si>
  <si>
    <t>3107414978 - 3008176083</t>
  </si>
  <si>
    <t>ARP 10.10.11.9</t>
  </si>
  <si>
    <t>JHON FREISON PINEDA DIAZ</t>
  </si>
  <si>
    <t>VERDA LOS BALSOS</t>
  </si>
  <si>
    <t>FINCA CASA LOS BALSOS</t>
  </si>
  <si>
    <t>KAREN JULIANA PEREZ BELTRAN</t>
  </si>
  <si>
    <t>MANZ 3 CASA 8 PISO 2</t>
  </si>
  <si>
    <t>CARLOS ERNESTO ACOSTA PARRA</t>
  </si>
  <si>
    <t>3216481238 - 3229138069</t>
  </si>
  <si>
    <t xml:space="preserve">ETAPA 2 CASA 11 </t>
  </si>
  <si>
    <t>MIRIAM YOVANI MARTINEZ COLORADO</t>
  </si>
  <si>
    <t>3225070904 - 3235428121</t>
  </si>
  <si>
    <t xml:space="preserve">GENO 313 </t>
  </si>
  <si>
    <t>BLOQUE 4 APRT 201</t>
  </si>
  <si>
    <t>MARIA LUCERO MORENO GOMEZ</t>
  </si>
  <si>
    <t>3122976516 - 3176811856</t>
  </si>
  <si>
    <t>GENO 465</t>
  </si>
  <si>
    <t>MAZ 6 CASA 1 FRENTE AL PARQUE</t>
  </si>
  <si>
    <t>BLANCA MARCELA IZA</t>
  </si>
  <si>
    <t>CRA 12  23 20</t>
  </si>
  <si>
    <t>JACKSON STIVEN CERON ARENAS</t>
  </si>
  <si>
    <t>AMARRA 379</t>
  </si>
  <si>
    <t>CRA 10 # 9 - 33</t>
  </si>
  <si>
    <t>AMPARO AMOROCHO GUTIERREZ</t>
  </si>
  <si>
    <t xml:space="preserve">GENO 360 </t>
  </si>
  <si>
    <t>WILLIAM ALBERTO MORALES</t>
  </si>
  <si>
    <t>FINCA LA HELENA</t>
  </si>
  <si>
    <t>ANA LUCIA CRUZ LOZANO</t>
  </si>
  <si>
    <t xml:space="preserve">MONTEGRANDE </t>
  </si>
  <si>
    <t>SAN ISIDRO CASA 19</t>
  </si>
  <si>
    <t>LUZ YENI OVIEDO SALAZR</t>
  </si>
  <si>
    <t>AMARRA 576</t>
  </si>
  <si>
    <t>MAZ 1 CASA 40</t>
  </si>
  <si>
    <t>MIRIAM ROSA MORILLO MARTINEZ</t>
  </si>
  <si>
    <t>BLOQUE 1 APTO 301</t>
  </si>
  <si>
    <t>JUAN CAMILO GARCIA GARCIA</t>
  </si>
  <si>
    <t>CALLE 24 11 25</t>
  </si>
  <si>
    <t>CARLOS CELESTINO CUAULMA MARTINEZ</t>
  </si>
  <si>
    <t>GENO 432</t>
  </si>
  <si>
    <t>AMARRA 521</t>
  </si>
  <si>
    <t>CRA 12 # 14 - 03</t>
  </si>
  <si>
    <t>CASA HOGAR MADRE MARGARITA</t>
  </si>
  <si>
    <t>CALLE 26 # 12-30 APTO 3</t>
  </si>
  <si>
    <t>JUAN DAVID TRUJILLO</t>
  </si>
  <si>
    <t>LA LAGUNA</t>
  </si>
  <si>
    <t>MIRYAN RAMIREZ</t>
  </si>
  <si>
    <t>3188331950 - 3147146969</t>
  </si>
  <si>
    <t>CRA 10  21 33</t>
  </si>
  <si>
    <t>YOLIMAR CAROLINA SUAREZ</t>
  </si>
  <si>
    <t>3113037177 - 3113024850</t>
  </si>
  <si>
    <t>BAR 113</t>
  </si>
  <si>
    <t>FONDA EL MONO</t>
  </si>
  <si>
    <t>SOTANO 2</t>
  </si>
  <si>
    <t>SANDRA LILIANA HURTADO LONDOÑO</t>
  </si>
  <si>
    <t>3148156100 - 3182388644</t>
  </si>
  <si>
    <t>NILSON ALVAREZ MARTINEZ</t>
  </si>
  <si>
    <t>AMARRA 319</t>
  </si>
  <si>
    <t>MAZ A CASA 2</t>
  </si>
  <si>
    <t>VALENTINA PATIÑO PINEDA</t>
  </si>
  <si>
    <t>3212141352 - 3234911781</t>
  </si>
  <si>
    <t xml:space="preserve">GENO 83 </t>
  </si>
  <si>
    <t>CRA 12 12 70</t>
  </si>
  <si>
    <t>LUZ MARINA OSORIO BELTRAN</t>
  </si>
  <si>
    <t>3132212297 - 3145305216</t>
  </si>
  <si>
    <t>GENO 450</t>
  </si>
  <si>
    <t>AMARRA 541</t>
  </si>
  <si>
    <t>LILIA YISETH OSORIO RAMIREZ</t>
  </si>
  <si>
    <t>3507219770 - 3233740109</t>
  </si>
  <si>
    <t>CALLE 27 11 05</t>
  </si>
  <si>
    <t>NELSY YISETH MONDRAGON GONZALEZ</t>
  </si>
  <si>
    <t>41940388</t>
  </si>
  <si>
    <t>3172705011 - 3166291625</t>
  </si>
  <si>
    <t>GENO 406</t>
  </si>
  <si>
    <t>AMARRA 442</t>
  </si>
  <si>
    <t>CRA 13 # 26 - 31</t>
  </si>
  <si>
    <t>EXON ALEJANDRO TORREZ COY</t>
  </si>
  <si>
    <t>3024323745 - 3218289969</t>
  </si>
  <si>
    <t>BLOQUE 3 APTO 204</t>
  </si>
  <si>
    <t>TATIANA FAJARDO SANCHEZ</t>
  </si>
  <si>
    <t>3104163029 - 3026018313</t>
  </si>
  <si>
    <t>CRA 10 21 33</t>
  </si>
  <si>
    <t>EL CONTAINER</t>
  </si>
  <si>
    <t>CENELIA GONZALEZ RODRIGUEZ</t>
  </si>
  <si>
    <t>CRA 10 # 18 - 34</t>
  </si>
  <si>
    <t>HERNAN DARIO OSORIO CIFUENTES</t>
  </si>
  <si>
    <t>BAR 083</t>
  </si>
  <si>
    <t>VIVERO KILOMETRO 3 VIA BARRAGAN</t>
  </si>
  <si>
    <t>ARP 10.10.10.23</t>
  </si>
  <si>
    <t>PAOLAMA</t>
  </si>
  <si>
    <t>MAIRA LIZETH RUIZ TORREZ</t>
  </si>
  <si>
    <t>3218648774 - 3185356597</t>
  </si>
  <si>
    <t>GENO 373</t>
  </si>
  <si>
    <t>SEGUNDO PISO 27 A - 28</t>
  </si>
  <si>
    <t>MAIDA ALEJANDRA VARGAS MESA</t>
  </si>
  <si>
    <t>3136203096 - 3158552957</t>
  </si>
  <si>
    <t>MAZ 1 CASA 10</t>
  </si>
  <si>
    <t>MZ B # 1</t>
  </si>
  <si>
    <t>JEFERSON SUAZO</t>
  </si>
  <si>
    <t>CASA 5</t>
  </si>
  <si>
    <t>ALBA NELLY ROMERO</t>
  </si>
  <si>
    <t>3128639214 - 3125054729</t>
  </si>
  <si>
    <t>BAR 149</t>
  </si>
  <si>
    <t>CALLLE PALERMO CASA 2 PISO 2</t>
  </si>
  <si>
    <t>JULIO CESAR HENAO MIRA</t>
  </si>
  <si>
    <t>GLANPING LA MOTOI</t>
  </si>
  <si>
    <t>NICOLLE DUQUE</t>
  </si>
  <si>
    <t>3184707912-3135159256</t>
  </si>
  <si>
    <t>BAR002</t>
  </si>
  <si>
    <t xml:space="preserve">CASA GRANDE BLANCA </t>
  </si>
  <si>
    <t>NUMERO 1 PISO 1</t>
  </si>
  <si>
    <t>OMAR QUINTANA MOLINA</t>
  </si>
  <si>
    <t>3235926309 - 3108283460</t>
  </si>
  <si>
    <t>BAR 134</t>
  </si>
  <si>
    <t>CALLE PALERMO CASA 6 - 11 PSO 2</t>
  </si>
  <si>
    <t>JOSE RICAUTE PARRA CASTIBLANCO</t>
  </si>
  <si>
    <t>GENO 155</t>
  </si>
  <si>
    <t>CALLE 21 # 13 - 38</t>
  </si>
  <si>
    <t>SALIDA DORADO</t>
  </si>
  <si>
    <t xml:space="preserve">ANDREA YULIETH BUITRAGO MARIN </t>
  </si>
  <si>
    <t>3212017983-3122681285</t>
  </si>
  <si>
    <t>GENO270</t>
  </si>
  <si>
    <t>CALLE 12 18 46 PISO 2</t>
  </si>
  <si>
    <t>KAROL MARITZA GRAJALES SUAZO</t>
  </si>
  <si>
    <t>PALERMO CASA 5</t>
  </si>
  <si>
    <t>JESUS ALBERTO MORENO DELGADO</t>
  </si>
  <si>
    <t>3206804098 - 3227836453</t>
  </si>
  <si>
    <t>ESCALERAS FONDA EL PROGRESO</t>
  </si>
  <si>
    <t>ELIZABETH GAVIRIA ZAPATA</t>
  </si>
  <si>
    <t>CALLE 10 # 28 - 29 PISO 2</t>
  </si>
  <si>
    <t>ARBEY GIRALDO RAMOS</t>
  </si>
  <si>
    <t>BAR 140</t>
  </si>
  <si>
    <t>ENSEGUIDA DEL PARQUE</t>
  </si>
  <si>
    <t>DORA ALBA BENAVIDEZ</t>
  </si>
  <si>
    <t>CRA 5 # 3 - 14</t>
  </si>
  <si>
    <t>DAVIER STIVER DAVILA ROJAS</t>
  </si>
  <si>
    <t>3146236623 - 3134059104</t>
  </si>
  <si>
    <t>SIGUIENTE CASA DESPUES DE PASAE EL PUENTE</t>
  </si>
  <si>
    <t>MARIA RUBY GUZMAN OSORIO</t>
  </si>
  <si>
    <t>ARP 10.10.10.04</t>
  </si>
  <si>
    <t>LINA MARIA CARDONA HENAO</t>
  </si>
  <si>
    <t>LUZ ADRIANA GOMEZ SIERRA</t>
  </si>
  <si>
    <t>CALLE 23 # 10 - 12</t>
  </si>
  <si>
    <t>JOSE WILSON AGUIRRE TELLEZ</t>
  </si>
  <si>
    <t>ARP 10.10.10.96</t>
  </si>
  <si>
    <t>NAYELIS FONSECA PEREZ</t>
  </si>
  <si>
    <t>3127077018 - 3207787634</t>
  </si>
  <si>
    <t>GENO 1001</t>
  </si>
  <si>
    <t>CRA 12 14 03 PISO 1</t>
  </si>
  <si>
    <t>YENNY PAOLA DIAZ RODRIGUEZ</t>
  </si>
  <si>
    <t>3117804177 - 3216182091</t>
  </si>
  <si>
    <t>CALLE 25 # 13 ESQUINA</t>
  </si>
  <si>
    <t>EDEL YUVANY LOPEZ GONZLEZ</t>
  </si>
  <si>
    <t>3206363576 - 3226288569</t>
  </si>
  <si>
    <t>MANZ 1 CASA 8 ALAMOS</t>
  </si>
  <si>
    <t>OSCAR MARIO JIMENEZ</t>
  </si>
  <si>
    <t>3196144024 - 3195571907</t>
  </si>
  <si>
    <t>BUEN A34</t>
  </si>
  <si>
    <t>CAR 6 # 5 -04</t>
  </si>
  <si>
    <t>CLAUDIA TERESA VELEZ ARBELAEZ</t>
  </si>
  <si>
    <t>3117697716 - 3158321955</t>
  </si>
  <si>
    <t xml:space="preserve">BUENA 37 </t>
  </si>
  <si>
    <t>AMARRA 479</t>
  </si>
  <si>
    <t>CALLE 3 # 7 - 28</t>
  </si>
  <si>
    <t>GLORIA ELENA CUBILLOS SANTOFINO</t>
  </si>
  <si>
    <t>3148875836-3228794085</t>
  </si>
  <si>
    <t>AMARRA 140</t>
  </si>
  <si>
    <t>PAGA NOV</t>
  </si>
  <si>
    <t>MZ D CASA #7</t>
  </si>
  <si>
    <t xml:space="preserve">ERIKA ANDREA VILLADA RIOS </t>
  </si>
  <si>
    <t>3127547304 . 3117202475</t>
  </si>
  <si>
    <t>AMARRA 419</t>
  </si>
  <si>
    <t>CRA 11 # 21 - 71</t>
  </si>
  <si>
    <t>MIGUEL ANGEL MENDEZ MAHECHA</t>
  </si>
  <si>
    <t>AMARRA 804</t>
  </si>
  <si>
    <t>faciliSIMO</t>
  </si>
  <si>
    <t>MAZ 3 CASA 14 PISO 2</t>
  </si>
  <si>
    <t>ALEXANDRA GUTIERREZ GONZALEZ</t>
  </si>
  <si>
    <t xml:space="preserve">BLOQUE 2 APT 104 </t>
  </si>
  <si>
    <t>MARIA FERNANDA CANO TAMAYO</t>
  </si>
  <si>
    <t>3217194372 - 3124983872</t>
  </si>
  <si>
    <t>ETAPA 2 CASA 15</t>
  </si>
  <si>
    <t>GENO 515</t>
  </si>
  <si>
    <t>JUAN CAMILO ARENAS TAPIA</t>
  </si>
  <si>
    <t>3146766095 - 3114501590</t>
  </si>
  <si>
    <t>GENO 463</t>
  </si>
  <si>
    <t>CALLE 25  9 36</t>
  </si>
  <si>
    <t xml:space="preserve">MELVA LILIANA GAVIRIA </t>
  </si>
  <si>
    <t>3128526425 - 3164200153</t>
  </si>
  <si>
    <t>GENO 277</t>
  </si>
  <si>
    <t>AMRRA 698</t>
  </si>
  <si>
    <t>CRA 10 # 27 -71</t>
  </si>
  <si>
    <t>ROMAN RICARDO ARIZA</t>
  </si>
  <si>
    <t>BUENA 57</t>
  </si>
  <si>
    <t>AMARRA 758</t>
  </si>
  <si>
    <t xml:space="preserve">FINCA LA TESALIA </t>
  </si>
  <si>
    <t>VDA LA CABAÑA</t>
  </si>
  <si>
    <t>DESIRE NOEMI ESTRADA AGUILAR</t>
  </si>
  <si>
    <t>3133544381 - 3234578334</t>
  </si>
  <si>
    <t>VEREDA CANOAS</t>
  </si>
  <si>
    <t>FINCA EL PLACER</t>
  </si>
  <si>
    <t>NESTOR IVAN ACEVEDO ZULUAGA</t>
  </si>
  <si>
    <t>ARP 10.10.10.28</t>
  </si>
  <si>
    <t>VEREDA LA MILONGA</t>
  </si>
  <si>
    <t>ADRIANA PULGARON ALBA</t>
  </si>
  <si>
    <t>CAICEODNIA</t>
  </si>
  <si>
    <t>CRISTIAN MAURICIO RAMIREZ OSORIO</t>
  </si>
  <si>
    <t>BARRIO PORVENIR</t>
  </si>
  <si>
    <t>VILLA LEONOR CALLE 13# 6 -01</t>
  </si>
  <si>
    <t>MIGUEL FERNANDO CASTAÑO</t>
  </si>
  <si>
    <t>3223192980 - 3204136795</t>
  </si>
  <si>
    <t>BAR 124</t>
  </si>
  <si>
    <t>AMARRA 342</t>
  </si>
  <si>
    <t>PRIMER CASA</t>
  </si>
  <si>
    <t>ANGELA PATRICIA RUIZ HENAO</t>
  </si>
  <si>
    <t>3213160843 - 3122796794</t>
  </si>
  <si>
    <t>10.10.11.3</t>
  </si>
  <si>
    <t>YOLANDA GARZON CORREA</t>
  </si>
  <si>
    <t>BAR 092</t>
  </si>
  <si>
    <t>CASA 5 - 27</t>
  </si>
  <si>
    <t>ALBEIRO BARRAGAN ESPINOSA</t>
  </si>
  <si>
    <t>3215889825 - 3126463409</t>
  </si>
  <si>
    <t>AMARRA 628</t>
  </si>
  <si>
    <t>BAJO CAICEDONIA</t>
  </si>
  <si>
    <t>MARIA ISABEL ESCUDERO</t>
  </si>
  <si>
    <t>3105127368 - 3153749145</t>
  </si>
  <si>
    <t>BAR 022</t>
  </si>
  <si>
    <t>AMARRA 883</t>
  </si>
  <si>
    <t>CALLE 4 # 6 12</t>
  </si>
  <si>
    <t>CASA FODO</t>
  </si>
  <si>
    <t>MARIA MERCEDES OCAMPO CASTAÑO</t>
  </si>
  <si>
    <t>ARP 10.11.10</t>
  </si>
  <si>
    <t>GUADUALES</t>
  </si>
  <si>
    <t>EDILIA SANCHEZ GARZON</t>
  </si>
  <si>
    <t>BAR 059</t>
  </si>
  <si>
    <t>AMARRA 148</t>
  </si>
  <si>
    <t>CALLE PALERMO CASA 5 -27</t>
  </si>
  <si>
    <t>YURI VIVIANA ARIAS SALAZAR</t>
  </si>
  <si>
    <t>CRA 12 # 24 - 21</t>
  </si>
  <si>
    <t>JOSE ARCADIO TORREZ BARRETO</t>
  </si>
  <si>
    <t>3226884314 - 3145406073</t>
  </si>
  <si>
    <t>AMARRA 193</t>
  </si>
  <si>
    <t>CRA 12 # 25 -33</t>
  </si>
  <si>
    <t>VIVIANA ANDREA FRANCO MONTOYA</t>
  </si>
  <si>
    <t>ETAPA 2 MANZ 2 PISO 2</t>
  </si>
  <si>
    <t>LISBEY HIGUITA MARTINEZ</t>
  </si>
  <si>
    <t>EN OCT PAGA 2 MESES</t>
  </si>
  <si>
    <t>CALLE 27 # 11 - 19</t>
  </si>
  <si>
    <t>JHOANNA GARCIA MORENO</t>
  </si>
  <si>
    <t>AMARRA 332</t>
  </si>
  <si>
    <t>CALLE 23 # 14 - 14</t>
  </si>
  <si>
    <t>CENTRO MATADERO</t>
  </si>
  <si>
    <t>AMPARO PULGARIN</t>
  </si>
  <si>
    <t>LUZ HELENA HERRERA PARRA</t>
  </si>
  <si>
    <t>3182309601 - 3234789887</t>
  </si>
  <si>
    <t>AMARRA 388</t>
  </si>
  <si>
    <t>CALLE 19 # 19 - 06</t>
  </si>
  <si>
    <t>YESICA MUÑOZ FLOREZ</t>
  </si>
  <si>
    <t>3122221752 - 3147962526</t>
  </si>
  <si>
    <t>CRA 12 # 12 - 14</t>
  </si>
  <si>
    <t xml:space="preserve">YULIANA MARTINEZ OREJUELA </t>
  </si>
  <si>
    <t>3134316229 - 3122704781</t>
  </si>
  <si>
    <t>CRA 11 # 20 - 04</t>
  </si>
  <si>
    <t>LILY JOHANA MOSQUERA RINCON</t>
  </si>
  <si>
    <t>3161310795 - 3214914880</t>
  </si>
  <si>
    <t>AMARRA 435</t>
  </si>
  <si>
    <t>CRA 14 # 23 - 13</t>
  </si>
  <si>
    <t>MARIA MARISOL CARDENAS CARDENAS</t>
  </si>
  <si>
    <t>3233347547 - 3135363664</t>
  </si>
  <si>
    <t>AMARRA 475</t>
  </si>
  <si>
    <t>CRA 29 # 5 - 10</t>
  </si>
  <si>
    <t>JEFERSON ALEXANDER RAMIREZ TANGARIFE</t>
  </si>
  <si>
    <t>3165195623 - 3206986704</t>
  </si>
  <si>
    <t>AMARRA 505</t>
  </si>
  <si>
    <t>CRA 11 # 19 - 07</t>
  </si>
  <si>
    <t>MARIA DEL CARMEN REYES GALLEGO</t>
  </si>
  <si>
    <t>ARP 10.10.10.182</t>
  </si>
  <si>
    <t>12 Megas</t>
  </si>
  <si>
    <t>SUIZA</t>
  </si>
  <si>
    <t>JUAN BAUTISTA GIRALDO OSORIO</t>
  </si>
  <si>
    <t>ARP 10.10.10.56</t>
  </si>
  <si>
    <t>SAN ISIDRO</t>
  </si>
  <si>
    <t>JONATHAN JOSE DELGADO ROMERO</t>
  </si>
  <si>
    <t>ARP 10.10.10.74</t>
  </si>
  <si>
    <t>EL CEDRAL 2</t>
  </si>
  <si>
    <t>LUZ DARY ARIAS ECHEVERRY</t>
  </si>
  <si>
    <t>FINCA LA NUVIA</t>
  </si>
  <si>
    <t>YERALDINE TRUJILLO PEREZ</t>
  </si>
  <si>
    <t>3103865082 - 3502099784</t>
  </si>
  <si>
    <t>BAR 112</t>
  </si>
  <si>
    <t>AMARRA 670</t>
  </si>
  <si>
    <t xml:space="preserve">ALTO DE BARRAGAN CASA 8 </t>
  </si>
  <si>
    <t>MARIA ISABEL HERNANDEZ ZAPATA</t>
  </si>
  <si>
    <t>CRA 13 # 26 - 15</t>
  </si>
  <si>
    <t>GLORIA PATRICIA CANO</t>
  </si>
  <si>
    <t>BLOQUE 1 PISO 2 APT 204</t>
  </si>
  <si>
    <t>3226884314 - 3226884314</t>
  </si>
  <si>
    <t>CRA 11 # 24 - 26</t>
  </si>
  <si>
    <t>FRANKLIN MEDINA GRUESO</t>
  </si>
  <si>
    <t>3057993601 - 3218733080</t>
  </si>
  <si>
    <t>AMARRA 816</t>
  </si>
  <si>
    <t>LINA MARIA GONZALEZ</t>
  </si>
  <si>
    <t>3103518119 - 3154043060</t>
  </si>
  <si>
    <t>AMARRA 683</t>
  </si>
  <si>
    <t>CALLE 26 # 12 - 30</t>
  </si>
  <si>
    <t>XIOMARA ALEJANDRA SANCHEZ</t>
  </si>
  <si>
    <t>3215897305 - 3182183581</t>
  </si>
  <si>
    <t>AMARRA 266</t>
  </si>
  <si>
    <t>NICOLAS ALEJANDRO ROJAS VALERO</t>
  </si>
  <si>
    <t>3138467504 - 3226624055</t>
  </si>
  <si>
    <t>AMARRA 496</t>
  </si>
  <si>
    <t>CRA 10 29 07</t>
  </si>
  <si>
    <t xml:space="preserve">JUAN CAMILO AGUDELO </t>
  </si>
  <si>
    <t>CRA 12 #15 - 54</t>
  </si>
  <si>
    <t>BRAYAN STEVAN AREIZA BARRERA</t>
  </si>
  <si>
    <t>3235513731 - 3204673152</t>
  </si>
  <si>
    <t>AMARRA 465</t>
  </si>
  <si>
    <t>CRA 10 # 29 - 01</t>
  </si>
  <si>
    <t>ENSEGUIDA APUESTA OCHOA APT 2</t>
  </si>
  <si>
    <t>GIOVANI VELEZ BURANGO</t>
  </si>
  <si>
    <t>FRANCY EDITH GOMEZ ARIZA</t>
  </si>
  <si>
    <t>3009821855 - 3127867352</t>
  </si>
  <si>
    <t>Buena 13</t>
  </si>
  <si>
    <t>CALLE 3 # 2 - 81</t>
  </si>
  <si>
    <t>JHENIFER ALEJANDRA DAVILA</t>
  </si>
  <si>
    <t>3107104094 - 3234663282</t>
  </si>
  <si>
    <t>AMARRA 678</t>
  </si>
  <si>
    <t xml:space="preserve">MANZ B CASA 18 </t>
  </si>
  <si>
    <t>BARRIO EL TOLRA</t>
  </si>
  <si>
    <t>MAYCOL MUÑOZ MUÑOZ</t>
  </si>
  <si>
    <t>ARP 10.10.10.82</t>
  </si>
  <si>
    <t>ESTACION DE POLICIA</t>
  </si>
  <si>
    <t>JENNY VIVIANA RIVERA SANCHEZ</t>
  </si>
  <si>
    <t>CASERIO SAMARIA</t>
  </si>
  <si>
    <t>DISCOTECA LOS AMIGOS</t>
  </si>
  <si>
    <t>RICARDO ANTONIO HUERTAS COTES</t>
  </si>
  <si>
    <t>LA REPRESA</t>
  </si>
  <si>
    <t>VALENTINA LOMBANA PAEZ</t>
  </si>
  <si>
    <t>CASA AZUL EMPEZANDO EL PUENTE</t>
  </si>
  <si>
    <t>JULIANA ESTEFANIA LOPEZ BEDOYA</t>
  </si>
  <si>
    <t>CALLE 31 # 9 - 110</t>
  </si>
  <si>
    <t>ENSEGUIDA DE VILLA GLORIA</t>
  </si>
  <si>
    <t>VEREDA LA RIVERA</t>
  </si>
  <si>
    <t>JAMAICA</t>
  </si>
  <si>
    <t>ONEY YARITZA BOLIVAR VARGAS</t>
  </si>
  <si>
    <t>3023183181 - 3217988892</t>
  </si>
  <si>
    <t>ESCUELA RIO LEJOS</t>
  </si>
  <si>
    <t>KEVIN POPAYAN ZAPATA</t>
  </si>
  <si>
    <t>3146848033-3137781733</t>
  </si>
  <si>
    <t>AMARAR 360</t>
  </si>
  <si>
    <t>CALLE 5 # 6 - 30</t>
  </si>
  <si>
    <t>ANTRADA PALERMO</t>
  </si>
  <si>
    <t>OSCAR HUMBERTO VILLALBA</t>
  </si>
  <si>
    <t>ARP 10.10.10.148</t>
  </si>
  <si>
    <t>LA FINA</t>
  </si>
  <si>
    <t>CRISTIAN CORREA ARICAPA</t>
  </si>
  <si>
    <t>PISO 4 APAT 404</t>
  </si>
  <si>
    <t>LOS BOSQUE 1</t>
  </si>
  <si>
    <t>LEONARDO FABIO RAMIREZ HERNANDEZ</t>
  </si>
  <si>
    <t>3114176204 - 3165702570</t>
  </si>
  <si>
    <t xml:space="preserve">CALLE 25 # 12 - 30 </t>
  </si>
  <si>
    <t>LINA MARCELA TORO ARIAS</t>
  </si>
  <si>
    <t>TIENDA CASERIO</t>
  </si>
  <si>
    <t>ELDER LEANDRO ALZATE RUIZ</t>
  </si>
  <si>
    <t>3207536933 - 3106331371</t>
  </si>
  <si>
    <t>MANANTIALES</t>
  </si>
  <si>
    <t xml:space="preserve">KARINA ALEJANDRA SALAZAR MUÑOZ </t>
  </si>
  <si>
    <t>3234838551 - 3127070463</t>
  </si>
  <si>
    <t>MANZ A CASA 202 PISO 2</t>
  </si>
  <si>
    <t xml:space="preserve">JOSE LEONIDAS VILLOTA </t>
  </si>
  <si>
    <t>LOS NARANJOS</t>
  </si>
  <si>
    <t>CRA 10 # 18 - 61</t>
  </si>
  <si>
    <t>fundacionamazing.grace@gmail.com</t>
  </si>
  <si>
    <t>MILTON MAURICIO OSORIO RIOS</t>
  </si>
  <si>
    <t>GENO 070</t>
  </si>
  <si>
    <t>CRA 10 # 23 - 08</t>
  </si>
  <si>
    <t>mosornorios@gmail.com</t>
  </si>
  <si>
    <t>AMARRA 807</t>
  </si>
  <si>
    <t>MAZ 3  CASA 22 PISO 1</t>
  </si>
  <si>
    <t>ANGIE DANIELA CARDONA GALVEZ</t>
  </si>
  <si>
    <t>AMARRA 420</t>
  </si>
  <si>
    <t>CRA 13 # 20 - 76</t>
  </si>
  <si>
    <t>angiedanielac512@gmail.com</t>
  </si>
  <si>
    <t>CRA 11 # 19 - 25</t>
  </si>
  <si>
    <t>LOCAL</t>
  </si>
  <si>
    <t>JHON JAIRO CANO PASADA</t>
  </si>
  <si>
    <t>3205466323 - 3116735292</t>
  </si>
  <si>
    <t>AMARRA 445</t>
  </si>
  <si>
    <t>CALLE 31 # 11 - 17</t>
  </si>
  <si>
    <t>zapataangii@gmail.com</t>
  </si>
  <si>
    <t>GINA PAOLA RODRIGUEZ ROJA</t>
  </si>
  <si>
    <t>3106823975 - 3135428028</t>
  </si>
  <si>
    <t>GENO 420</t>
  </si>
  <si>
    <t xml:space="preserve">MANZ A CASA 4 </t>
  </si>
  <si>
    <t>rojasbustloanavictoria@gmail.com</t>
  </si>
  <si>
    <t>CLAUDIA PATRICIA REYES MEJIA</t>
  </si>
  <si>
    <t>clarey.docente.73@gmail.com</t>
  </si>
  <si>
    <t>CLAUDIA PATRICIA ZARATE LOAIZA</t>
  </si>
  <si>
    <t xml:space="preserve">   </t>
  </si>
  <si>
    <t>BUENA 16</t>
  </si>
  <si>
    <t>AMARRA 346</t>
  </si>
  <si>
    <t>HOGAR ADULTO MAYOR</t>
  </si>
  <si>
    <t>clauzarate2822@gmail.com</t>
  </si>
  <si>
    <t xml:space="preserve">SANDRA PAOLA QUINTERO </t>
  </si>
  <si>
    <t>3206641649 - 3218947874</t>
  </si>
  <si>
    <t>BUENA 46</t>
  </si>
  <si>
    <t>AMARRA 663</t>
  </si>
  <si>
    <t>HOGAR COMUNITARIO DETRÁS DE LA IGLESIA</t>
  </si>
  <si>
    <t>sandrapaolaquinterozamudio@gmail.com</t>
  </si>
  <si>
    <t>HECTOR JULIO GRANADOS CERINZA</t>
  </si>
  <si>
    <t>3006831588 - 3204614495</t>
  </si>
  <si>
    <t>AMARRA 610</t>
  </si>
  <si>
    <t>CRA 5  2 16</t>
  </si>
  <si>
    <t>hjuliomotolis@hotmail.com</t>
  </si>
  <si>
    <t>GLORIA AMPARO HURTADO</t>
  </si>
  <si>
    <t>JAMES DE JESUS RODRIGUEZ HENAO</t>
  </si>
  <si>
    <t>3183636414 - 3219346997</t>
  </si>
  <si>
    <t>ARP 10.10.10.111</t>
  </si>
  <si>
    <t>FINCA LA FLORIDA</t>
  </si>
  <si>
    <t>cuartascarmen042@gmail.com</t>
  </si>
  <si>
    <t>MARIA LUCELY GIRALDO</t>
  </si>
  <si>
    <t>AMARRA 357</t>
  </si>
  <si>
    <t>ENTRADA PALERMO CASA 6 - 11</t>
  </si>
  <si>
    <t>villaloboskevinalexis5@gmail.com</t>
  </si>
  <si>
    <t>DANIELA VELEZ MEJIA</t>
  </si>
  <si>
    <t>ARP 10.10.10.66</t>
  </si>
  <si>
    <t>EL VENADO PALOMINO</t>
  </si>
  <si>
    <t>DISCOTECA COCOBOMBO</t>
  </si>
  <si>
    <t>OEO CONSTRUCTORES</t>
  </si>
  <si>
    <t>CASA 34</t>
  </si>
  <si>
    <t>orregosca@hotmail.com</t>
  </si>
  <si>
    <t>MARIA LILIANA CORREA AGUDELO</t>
  </si>
  <si>
    <t>3103746068 - 3166217109</t>
  </si>
  <si>
    <t>BAR 016</t>
  </si>
  <si>
    <t>erivico1014@gmail.com</t>
  </si>
  <si>
    <t>YOLANDA GUTIERRREZ SANMARTIN</t>
  </si>
  <si>
    <t>3157922900 - 3184866509</t>
  </si>
  <si>
    <t>VDA SAN ANTONIO</t>
  </si>
  <si>
    <t>FINCA LA IBERA</t>
  </si>
  <si>
    <t>yg1401043@gmail.com</t>
  </si>
  <si>
    <t>COLEGIO SAN VICENTE DE PAUL</t>
  </si>
  <si>
    <t>TODO</t>
  </si>
  <si>
    <t>OSCAR JAVIER RINCON ALZATE</t>
  </si>
  <si>
    <t>AMARRA 552</t>
  </si>
  <si>
    <t>MAZ 5 CASA 5 PISO 2</t>
  </si>
  <si>
    <t>KEVIN FERNANDO PULIDO FLOREZ</t>
  </si>
  <si>
    <t>GENO 247</t>
  </si>
  <si>
    <t>MANZ 4 CASA 2</t>
  </si>
  <si>
    <t>CENTRO DE DESARROLLO COMUNITARIO VERSALLES</t>
  </si>
  <si>
    <t>CRA 22 # 46 - 19</t>
  </si>
  <si>
    <t>ANA MARIA ACEVEDO DUQUE</t>
  </si>
  <si>
    <t>LUCIA PATIÑO HOYOS</t>
  </si>
  <si>
    <t>CRA 11 # 27 - 09 APT 1</t>
  </si>
  <si>
    <t>JHAYNOWER ALEJANDRO CORTEZ BAUTISTA</t>
  </si>
  <si>
    <t>AMARRA 424</t>
  </si>
  <si>
    <t>CAR 13 # 17 - 48</t>
  </si>
  <si>
    <t>ANYI DANIELA RAMIREZ VARGAS</t>
  </si>
  <si>
    <t>3127290847 - 3122187710</t>
  </si>
  <si>
    <t xml:space="preserve">GENO 417 </t>
  </si>
  <si>
    <t>CRA 11 # 34- 167</t>
  </si>
  <si>
    <t>JUAN CARLOS PAVA MIRANDA</t>
  </si>
  <si>
    <t>KELLY JOHANA ESCOBAR PIAMBA</t>
  </si>
  <si>
    <t>CRA 10 # 23 31</t>
  </si>
  <si>
    <t>KAREN LADINO CARDONA</t>
  </si>
  <si>
    <t>3026654605 - 3233610810</t>
  </si>
  <si>
    <t>GENO 439</t>
  </si>
  <si>
    <t>AMARRA 522</t>
  </si>
  <si>
    <t>EXTERNO</t>
  </si>
  <si>
    <t>CRA 10 # 17 60</t>
  </si>
  <si>
    <t>WILSON ALEXANDER BELTRAN QUIROGA</t>
  </si>
  <si>
    <t>3148470299 - 3145861831</t>
  </si>
  <si>
    <t>AMARRA 105</t>
  </si>
  <si>
    <t>CRA 12 # 12 - 32</t>
  </si>
  <si>
    <t>JOSE JAMES FRANCO VASQUEZ</t>
  </si>
  <si>
    <t>3123843601 - 3106351421</t>
  </si>
  <si>
    <t>GENO 70</t>
  </si>
  <si>
    <t>AMARRA 554</t>
  </si>
  <si>
    <t>CRA 10 # 29 -47</t>
  </si>
  <si>
    <t>RIO GRIS</t>
  </si>
  <si>
    <t>JOSELIN VALENCIA VIVAS</t>
  </si>
  <si>
    <t>ENSEGUIDA DEL RESGUARDO</t>
  </si>
  <si>
    <t>3170608071 - 3223738077</t>
  </si>
  <si>
    <t>VEREDA MILONGA</t>
  </si>
  <si>
    <t>FNC IBERA</t>
  </si>
  <si>
    <t>IBAN CAMILO CARDONA RIOS</t>
  </si>
  <si>
    <t>Buena 2</t>
  </si>
  <si>
    <t>CRA 4 # 6 - 31</t>
  </si>
  <si>
    <t>JAVIER ORLANDO QUITIAN</t>
  </si>
  <si>
    <t>3117922861 - 3117453296</t>
  </si>
  <si>
    <t>CRA 5 # 5 - 08</t>
  </si>
  <si>
    <t>BLANCA NELIA GALLON VELASQUEZ</t>
  </si>
  <si>
    <t>3206248372 - 3116696342</t>
  </si>
  <si>
    <t>BUENA 45</t>
  </si>
  <si>
    <t>CRA 6 B # 7 - 04</t>
  </si>
  <si>
    <t>LUZ MERY AVALO FRANCO</t>
  </si>
  <si>
    <t>3117325266 - 3170266009</t>
  </si>
  <si>
    <t>KALAMAR</t>
  </si>
  <si>
    <t>JHON ALBEIRO PALOMINO MENDOZA</t>
  </si>
  <si>
    <t>3114112309 - 3024425060</t>
  </si>
  <si>
    <t>LA GAVIOTA</t>
  </si>
  <si>
    <t>LUZ AIDE ARANDA NARVAEZ</t>
  </si>
  <si>
    <t>3126203848 - 3227947912</t>
  </si>
  <si>
    <t>MAZ F CASA 1 PRIMER CASA BAJANDO</t>
  </si>
  <si>
    <t>MANO IZQUIERDA 2 PISO 2</t>
  </si>
  <si>
    <t>AMARRA 669</t>
  </si>
  <si>
    <t>CSA 30</t>
  </si>
  <si>
    <t>VICTOR ALFOSO HURTADO VARGAS</t>
  </si>
  <si>
    <t>3225607128 - 3148068463</t>
  </si>
  <si>
    <t>AMARRA 810</t>
  </si>
  <si>
    <t>ESTABAN ORJUELA CORREDOR</t>
  </si>
  <si>
    <t>3166149748 - 3136170304</t>
  </si>
  <si>
    <t xml:space="preserve">BAR 010 </t>
  </si>
  <si>
    <t>CASA 13 PISO 1</t>
  </si>
  <si>
    <t xml:space="preserve">MANUEL FELIPE SIERRA CARDONA </t>
  </si>
  <si>
    <t>GENO 392</t>
  </si>
  <si>
    <t>AMAFRR 397</t>
  </si>
  <si>
    <t xml:space="preserve">MANZ B CASA 6 </t>
  </si>
  <si>
    <t>LINA FERNANDA MEDINA</t>
  </si>
  <si>
    <t>GENO 262</t>
  </si>
  <si>
    <t>MANZ 3 CASA 11 PISO 1</t>
  </si>
  <si>
    <t>JHON JAIRO SALGADO RODRIGUEZ</t>
  </si>
  <si>
    <t>3233981754  - 3193310661</t>
  </si>
  <si>
    <t>AMARRA 533</t>
  </si>
  <si>
    <t>3133810289 - 3105143342</t>
  </si>
  <si>
    <t xml:space="preserve">GENO 414 </t>
  </si>
  <si>
    <t>AMARRA 457</t>
  </si>
  <si>
    <t>CRA 11 # 34 - 157</t>
  </si>
  <si>
    <t>WILSON BEDOYA SUAREZ</t>
  </si>
  <si>
    <t>3228249862 - 3116511820</t>
  </si>
  <si>
    <t>CALLE 3 A CASA 5 ESQUINA PARQUE</t>
  </si>
  <si>
    <t>MIGUEL ANGEL ARIZMENDY CASTAÑO</t>
  </si>
  <si>
    <t>3234847380 - 3105920652</t>
  </si>
  <si>
    <t>CRA 2 # 4A - 06</t>
  </si>
  <si>
    <t>MAIBI LORENA GUITIERREZ LOPEZ</t>
  </si>
  <si>
    <t>BLOQUE 1 APT 104</t>
  </si>
  <si>
    <t>AMARRA 373</t>
  </si>
  <si>
    <t>CRA 10 # 21 - 08</t>
  </si>
  <si>
    <t>CONTAINER</t>
  </si>
  <si>
    <t>CESARY JOSE SOLORZANO GOMEZ</t>
  </si>
  <si>
    <t>AMARRA 558</t>
  </si>
  <si>
    <t>CRA 11 # 34 - 96</t>
  </si>
  <si>
    <t>DAYANA CAROLINA VERA FERNANDEZ</t>
  </si>
  <si>
    <t>CRA 12  12 36</t>
  </si>
  <si>
    <t xml:space="preserve">WILLIAN PALACIOS CABRERA </t>
  </si>
  <si>
    <t>ARP 10.10.10.190</t>
  </si>
  <si>
    <t>BAJO COMINALES</t>
  </si>
  <si>
    <t>MARLENY MARIN HENAO</t>
  </si>
  <si>
    <t>CASA 21</t>
  </si>
  <si>
    <t>MELISSA MARTINEZ ZULETA</t>
  </si>
  <si>
    <t xml:space="preserve">ARP 10.10.10.15 </t>
  </si>
  <si>
    <t>LA PASTORA</t>
  </si>
  <si>
    <t>NIXON DANIEL BURBANO</t>
  </si>
  <si>
    <t>ESCUELA EL VENADO</t>
  </si>
  <si>
    <t>CARLOS HERNESTO ACOSTA</t>
  </si>
  <si>
    <t>ETAPA 2 CASA 11</t>
  </si>
  <si>
    <t>ANDERSON RIOS FLOREZ</t>
  </si>
  <si>
    <t>3117332336 - 3233740536</t>
  </si>
  <si>
    <t>AMARRA 545</t>
  </si>
  <si>
    <t xml:space="preserve">MAZ 3 CASA 6 </t>
  </si>
  <si>
    <t>LINA MARCELA GONZALEZ VARGAS</t>
  </si>
  <si>
    <t>3172991884 - 3186778109</t>
  </si>
  <si>
    <t>DARWIN STEVEN RUIZ</t>
  </si>
  <si>
    <t>FINCA LOS TOROS</t>
  </si>
  <si>
    <t>CARLOS ORLANDO ARTUDUAGA</t>
  </si>
  <si>
    <t>3001439554 - 3153452816</t>
  </si>
  <si>
    <t>BUENA 71</t>
  </si>
  <si>
    <t>CRA 5 # 6A - 04</t>
  </si>
  <si>
    <t>ALICIA PIAMBA MENESES</t>
  </si>
  <si>
    <t>CALLE 25 # 12  30</t>
  </si>
  <si>
    <t>HAROL ANDRES GARCIA PEREZ</t>
  </si>
  <si>
    <t>EDIFICIO RECHIMBA SOTANO 1</t>
  </si>
  <si>
    <t>SORAIDA VILLA</t>
  </si>
  <si>
    <t>BAR 102</t>
  </si>
  <si>
    <t>YESSICA LOPEZ AGUILAR</t>
  </si>
  <si>
    <t>CALLE 17 # 10 - 42</t>
  </si>
  <si>
    <t>JOSE LUIS MENDEZ MONTOYA</t>
  </si>
  <si>
    <t>3122260937 - 3011716935</t>
  </si>
  <si>
    <t>CALLE 17 10 - 20</t>
  </si>
  <si>
    <t>TEJARES PRIMER PISO</t>
  </si>
  <si>
    <t xml:space="preserve"> FARMFOLIO S.A.S</t>
  </si>
  <si>
    <t>3006744873 - 3105780132</t>
  </si>
  <si>
    <t>ARP 10.10.10.92</t>
  </si>
  <si>
    <t>FRONTERA</t>
  </si>
  <si>
    <t>JOSE ALEXANDER MULCUE</t>
  </si>
  <si>
    <t>AMARRA 236</t>
  </si>
  <si>
    <t>CRA 10 CALLE 19 10</t>
  </si>
  <si>
    <t>JUAN CARLOS HERNANDEZ VALENCIA</t>
  </si>
  <si>
    <t>BAR 129</t>
  </si>
  <si>
    <t>YESICA ALEJANDRA VALENCIA FRANCO</t>
  </si>
  <si>
    <t>3126894261 - 3145292993</t>
  </si>
  <si>
    <t>AMARRA 565</t>
  </si>
  <si>
    <t>CRA 11 34 72</t>
  </si>
  <si>
    <t>ALEXANDER ORDOÑEZ</t>
  </si>
  <si>
    <t>CASA 53</t>
  </si>
  <si>
    <t>JHON ARIAS SERNA</t>
  </si>
  <si>
    <t>ARP.10.10.10.83</t>
  </si>
  <si>
    <t>33 Megas</t>
  </si>
  <si>
    <t>LA DIVISA</t>
  </si>
  <si>
    <t>NATALIA JARAMILLO RENDON</t>
  </si>
  <si>
    <t>ARP 10.10.10.105</t>
  </si>
  <si>
    <t>GLAMPIMG</t>
  </si>
  <si>
    <t>TUKAI</t>
  </si>
  <si>
    <t>JOSE DUCARDO BENAVIDEZ MORENO</t>
  </si>
  <si>
    <t>ARP 10.10.10.52</t>
  </si>
  <si>
    <t>AGUA BONITA</t>
  </si>
  <si>
    <t>ARP 10.10.10.143</t>
  </si>
  <si>
    <t>ALTO CARNGAL</t>
  </si>
  <si>
    <t>FINCA TUKAY</t>
  </si>
  <si>
    <t>3114711056 - 3214565757</t>
  </si>
  <si>
    <t>AMARRA 560</t>
  </si>
  <si>
    <t>MAZ C CASA 2</t>
  </si>
  <si>
    <t>CALLE 17 10 20</t>
  </si>
  <si>
    <t>Efecty</t>
  </si>
  <si>
    <t>JARAINY VIRGINIA ZAMBRANO GRATERAL</t>
  </si>
  <si>
    <t>GENO379</t>
  </si>
  <si>
    <t>3127633064 - 3136263034</t>
  </si>
  <si>
    <t>LINDA YISETH FLOREZ GAVIRIA</t>
  </si>
  <si>
    <t>3135485555 - 3147637057</t>
  </si>
  <si>
    <t>100  MEGAS</t>
  </si>
  <si>
    <t>CRA 11  27 10</t>
  </si>
  <si>
    <t>MANZ 5 CASA 3</t>
  </si>
  <si>
    <t>DIANY ESPERANZA SANCHEZ DIAZ</t>
  </si>
  <si>
    <t>3247658903 - 3247658934</t>
  </si>
  <si>
    <t>MANZ 1 CASA 17</t>
  </si>
  <si>
    <t>mariana130804@yahoo.com</t>
  </si>
  <si>
    <t>3113414242 - 3113418900</t>
  </si>
  <si>
    <t>PAGA EN ABRIL</t>
  </si>
  <si>
    <t>3115092775 - 3112225885</t>
  </si>
  <si>
    <t xml:space="preserve">ARP </t>
  </si>
  <si>
    <t>VEREDA BOLIVAR</t>
  </si>
  <si>
    <t>VILLA CECILIA</t>
  </si>
  <si>
    <t>CALLE 3 # 4 11</t>
  </si>
  <si>
    <t>CARNICERIA CHILO</t>
  </si>
  <si>
    <t>LUZ PEREZ RESTREPO</t>
  </si>
  <si>
    <t>3102626572 - 3043314759</t>
  </si>
  <si>
    <t>CALLE 3 # 5 - 26</t>
  </si>
  <si>
    <t>AMARRA 872</t>
  </si>
  <si>
    <t>AMARRA 875</t>
  </si>
  <si>
    <t>AMELIA CRADONA</t>
  </si>
  <si>
    <t>YESID PATIÑO HERNANDEZ</t>
  </si>
  <si>
    <t>CRA 12 # 19 - 21</t>
  </si>
  <si>
    <t>YISSEL POLANIA MARTINEZ</t>
  </si>
  <si>
    <t>CRA 11 # 26 A -16</t>
  </si>
  <si>
    <t>LUIS FERNANDO CARDENAS VALENCIA</t>
  </si>
  <si>
    <t>GENO 157</t>
  </si>
  <si>
    <t>CALLE 33A  10  10 CASA 7</t>
  </si>
  <si>
    <t>CRA 12 A # 19-14</t>
  </si>
  <si>
    <t>BERONICA MARIN MORALES</t>
  </si>
  <si>
    <t>GENO 288</t>
  </si>
  <si>
    <t>CARLOS ANDRES PULIDO CASTILLO</t>
  </si>
  <si>
    <t>3187945886 - 3137687242</t>
  </si>
  <si>
    <t xml:space="preserve">GENO 395 </t>
  </si>
  <si>
    <t>AMARRA 689</t>
  </si>
  <si>
    <t>BLOQUE 2 APTO 303</t>
  </si>
  <si>
    <t>3117774702 - 3103026532</t>
  </si>
  <si>
    <t xml:space="preserve">GENO 416 </t>
  </si>
  <si>
    <t>AMARRA 493</t>
  </si>
  <si>
    <t xml:space="preserve">CRA 10 # 29 -09 </t>
  </si>
  <si>
    <t>SANDRA TERESA SAFIAMA GARCIA</t>
  </si>
  <si>
    <t>CRA 12 # 25 27</t>
  </si>
  <si>
    <t>MARY FARY MUESES</t>
  </si>
  <si>
    <t>COLEGIO ALTO ROCIO</t>
  </si>
  <si>
    <t>LUZ MIRYAN SANMARTIN VELEZ</t>
  </si>
  <si>
    <t>3172507187 - 3218296581</t>
  </si>
  <si>
    <t>ARP 10.10.10.2¡35</t>
  </si>
  <si>
    <t>VDA SA ANTONIO</t>
  </si>
  <si>
    <t>FNC EL VERGEL</t>
  </si>
  <si>
    <t>DIANA MILENA LOPEZ LONDOÑO</t>
  </si>
  <si>
    <t>DIAMANTE</t>
  </si>
  <si>
    <t>CARLOS ARTURO DIAZ SANCHEZ</t>
  </si>
  <si>
    <t>3046538896-3136833042</t>
  </si>
  <si>
    <t>FINCA EL POPAL</t>
  </si>
  <si>
    <t>VEREDA EL FRONTINO</t>
  </si>
  <si>
    <t>LUISA MANUELA MAZO ALZATE</t>
  </si>
  <si>
    <t>LAS ACASIAS</t>
  </si>
  <si>
    <t>GLADIS CERON VAZQUEZ</t>
  </si>
  <si>
    <t>3137866487 - 3125338898</t>
  </si>
  <si>
    <t xml:space="preserve">CALLE 13 # 19 </t>
  </si>
  <si>
    <t>YANETH CACERES MOSQUERA</t>
  </si>
  <si>
    <t>3147280227 - 3137821618</t>
  </si>
  <si>
    <t>AMARRA 691</t>
  </si>
  <si>
    <t>CRA 13 # 22 -22</t>
  </si>
  <si>
    <t>LUZ MARINA OSORNO MONSALVE</t>
  </si>
  <si>
    <t>3104247816 - 3104150761</t>
  </si>
  <si>
    <t>BUENA 4</t>
  </si>
  <si>
    <t>AMARRA 646</t>
  </si>
  <si>
    <t>CASA 2C - 11</t>
  </si>
  <si>
    <t>NUEVO HORIZANTE ETAPA 2</t>
  </si>
  <si>
    <t>EDILBER PALOMINO MENDOZA</t>
  </si>
  <si>
    <t>ARP 10.10.10.43</t>
  </si>
  <si>
    <t>JARID KATHERINE AGUDELO GOMEZ</t>
  </si>
  <si>
    <t>3182724831 - 3222069925</t>
  </si>
  <si>
    <t>GENO 266</t>
  </si>
  <si>
    <t>AMARRA 499</t>
  </si>
  <si>
    <t>CRA 10 # 21 - 09</t>
  </si>
  <si>
    <t>LILIANA LUCIA PEREZ RAMIREZ</t>
  </si>
  <si>
    <t>3148447301 - 3102315554</t>
  </si>
  <si>
    <t>AMARRA 574</t>
  </si>
  <si>
    <t>CRA 14 # 22 21</t>
  </si>
  <si>
    <t xml:space="preserve">LIDIER BARRETO MURILLO </t>
  </si>
  <si>
    <t>GENO417</t>
  </si>
  <si>
    <t xml:space="preserve">CRA 11 34 167 </t>
  </si>
  <si>
    <t>MARIEN GONZALEZ PORTELA</t>
  </si>
  <si>
    <t>CALLE 21 # 12- 16</t>
  </si>
  <si>
    <t>CRA 10 # 17 - 73</t>
  </si>
  <si>
    <t>JENNY LOPEZ AGUILAR</t>
  </si>
  <si>
    <t>AMARRA 812</t>
  </si>
  <si>
    <t>MANZ 3 CASA 8 PISO 1</t>
  </si>
  <si>
    <t>EFIGENIA RESTREPO</t>
  </si>
  <si>
    <t>CRA 12 # CALLE 14 ESQUINA</t>
  </si>
  <si>
    <t>RAIBELIS COROMOTO LOPEZ CASTRO</t>
  </si>
  <si>
    <t>FRENTE AL HOGAR MADRE MARGARITA</t>
  </si>
  <si>
    <t>GUSTAVO ADOLFO PERALTA VASQUEZ</t>
  </si>
  <si>
    <t>3122268433 - 3172673480</t>
  </si>
  <si>
    <t>AMARRA 806</t>
  </si>
  <si>
    <t>MANZ A 4 CASA 2 PISO 2</t>
  </si>
  <si>
    <t>ADRIANA MARIA RODRIGUEZ MEJIA</t>
  </si>
  <si>
    <t>3112800485 - 3205475293</t>
  </si>
  <si>
    <t>GENO 438</t>
  </si>
  <si>
    <t>YULIAN AGUDELO</t>
  </si>
  <si>
    <t>3177311311 - 3104240612</t>
  </si>
  <si>
    <t>AMARRA 894</t>
  </si>
  <si>
    <t>CRA 12 # 15 - 54</t>
  </si>
  <si>
    <t>YULIETH ANDREA ROBLES OSORIO</t>
  </si>
  <si>
    <t>AMARRA 562</t>
  </si>
  <si>
    <t>ETAPA 2 CASA 7</t>
  </si>
  <si>
    <t>ANGIE TATIANA HERNANDEZ MONTOYA</t>
  </si>
  <si>
    <t xml:space="preserve">MANZ C CASA 2 </t>
  </si>
  <si>
    <t>FERNANDO DE JESUS CORRALES GOMEZ</t>
  </si>
  <si>
    <t>3176714888 - 3162960211</t>
  </si>
  <si>
    <t>Buena 18</t>
  </si>
  <si>
    <t>CAR 5 # 3 - 15</t>
  </si>
  <si>
    <t>GUSTAVO ADOLFO SALGADO VERGARA</t>
  </si>
  <si>
    <t>3148129130 - 3013480159</t>
  </si>
  <si>
    <t>AMARRA 658</t>
  </si>
  <si>
    <t xml:space="preserve">CRA 3 2 78 </t>
  </si>
  <si>
    <t>ANA LUCIA TOVAR QUITIAN</t>
  </si>
  <si>
    <t>3246869571 - 3107140565</t>
  </si>
  <si>
    <t>AMARRA 614</t>
  </si>
  <si>
    <t>MAZ B CASA 9 TOLRA</t>
  </si>
  <si>
    <t>SANDRA CRUZ JARAMILLO</t>
  </si>
  <si>
    <t>LA GRECIA 2</t>
  </si>
  <si>
    <t>BRAYAN DAVID PALOMINO MENDOZA</t>
  </si>
  <si>
    <t>3222484284 - 3124767380</t>
  </si>
  <si>
    <t>LA JAULA</t>
  </si>
  <si>
    <t>NICOL DAYANA CARDONA ESPINOZA</t>
  </si>
  <si>
    <t>FRENTE PARQUE PRINCIPAL</t>
  </si>
  <si>
    <t>DIEGO FERNANDO GAVIRIA CUARTAS</t>
  </si>
  <si>
    <t>VALENTINA LOPEZ RODRIGUEZ</t>
  </si>
  <si>
    <t>3137781733 - 3137885506</t>
  </si>
  <si>
    <t xml:space="preserve">CALLE PALERMO  </t>
  </si>
  <si>
    <t>OSMEL RAMON ORTEGA</t>
  </si>
  <si>
    <t>3147029166 - 3161434284</t>
  </si>
  <si>
    <t>BARRGAN CASA FRENTE SALEN BOLQUETAS</t>
  </si>
  <si>
    <t>MARILY YOEGLIS LOPEZ SUAREZ</t>
  </si>
  <si>
    <t>BAR 159</t>
  </si>
  <si>
    <t>CASA 2 PLANTA PASANDO EL PUENTE</t>
  </si>
  <si>
    <t>LUIS FERNANDO GIRALDO GONZALEZ</t>
  </si>
  <si>
    <t>LUNADAS CASA 9</t>
  </si>
  <si>
    <t>AMARRA 337</t>
  </si>
  <si>
    <t>MAN 1 CASA 3</t>
  </si>
  <si>
    <t>JENNI MARCELA CELEMIN COBALDA</t>
  </si>
  <si>
    <t>BARRIO VILLLA M. MZ A # 10 P1</t>
  </si>
  <si>
    <t>3108517457 - 3144557970</t>
  </si>
  <si>
    <t>COLEGIO BARRAGAN ESTUDIANTES</t>
  </si>
  <si>
    <t>COLEGIO BARRAGAN PROFESORES</t>
  </si>
  <si>
    <t>3132212297-3145297240</t>
  </si>
  <si>
    <t>Geno273</t>
  </si>
  <si>
    <t>Cra 12 # 25-32</t>
  </si>
  <si>
    <t>2DO PISO CENTRO</t>
  </si>
  <si>
    <t>lopezosorioj880@gmail.com</t>
  </si>
  <si>
    <t>EFRAIN FUENTES</t>
  </si>
  <si>
    <t>3244294306-3116800015</t>
  </si>
  <si>
    <t>Geno504</t>
  </si>
  <si>
    <t>Cra 9#25-34</t>
  </si>
  <si>
    <t>efrain6565@yahoo.com</t>
  </si>
  <si>
    <t>JULIAN PARDO RODRIGUEZ</t>
  </si>
  <si>
    <t>3017383629 - 3002983139</t>
  </si>
  <si>
    <t>BAR 120</t>
  </si>
  <si>
    <t>CASA GRIS ENSEGUIDA DE LA SUBESTACION DE POLICIA</t>
  </si>
  <si>
    <t>jupar-910@hotmail.com</t>
  </si>
  <si>
    <t>NELSON HUMBERTO PINEDA ZAPATA</t>
  </si>
  <si>
    <t>3206660683-3106737640</t>
  </si>
  <si>
    <t>Geno570</t>
  </si>
  <si>
    <t>Cra10 # 28-16</t>
  </si>
  <si>
    <t>DIEGO ALFONSO RODRIGUEZ ESCOBAR</t>
  </si>
  <si>
    <t>IP 10.10.11.11</t>
  </si>
  <si>
    <t>Diegorod0305@gmail.com</t>
  </si>
  <si>
    <t>LUZ MARY CANO LOPEZ</t>
  </si>
  <si>
    <t>3118820380-3207895109</t>
  </si>
  <si>
    <t>AMARRA 943</t>
  </si>
  <si>
    <t>Cra 12 #12-68</t>
  </si>
  <si>
    <t>luzmericanolopez@gmail.com</t>
  </si>
  <si>
    <t>GILBERTH ANDREY BOLAÑOS RAMIREZ</t>
  </si>
  <si>
    <t>3112485660 - 3104996447</t>
  </si>
  <si>
    <t>AMARRA 935</t>
  </si>
  <si>
    <t>Cra 12#21#86</t>
  </si>
  <si>
    <t>CENTRO AL LADO DE LA REGISTRADURIA</t>
  </si>
  <si>
    <t xml:space="preserve">elgreen033@gmail.com </t>
  </si>
  <si>
    <t>NELSON DE JESUS MORILLO OCAMPO</t>
  </si>
  <si>
    <t>3158126884 - 3155915719</t>
  </si>
  <si>
    <t>CASA BONAIRE</t>
  </si>
  <si>
    <t>LUIS EDUARDO MORENO VILLAMIL</t>
  </si>
  <si>
    <t>VEREDA LOS BALSOS FINCA MONTECRISTO</t>
  </si>
  <si>
    <t>CRISTIAN CAMILO GOMEZ OSORIO</t>
  </si>
  <si>
    <t>3188788213 - 3107242870</t>
  </si>
  <si>
    <t>BUENA 74</t>
  </si>
  <si>
    <t>MARLENY ESTRADA DE CASTAÑO</t>
  </si>
  <si>
    <t>3122920719 - 3214348385</t>
  </si>
  <si>
    <t>VEREDA IRLANDA</t>
  </si>
  <si>
    <t>FINCA LA SIRENA</t>
  </si>
  <si>
    <t>DORA LILIA RINCON GIRALDO</t>
  </si>
  <si>
    <t>3145332204-3232508863</t>
  </si>
  <si>
    <t>AMARRA 835</t>
  </si>
  <si>
    <t>Cra 10#26-40</t>
  </si>
  <si>
    <t>YEFERSON ANDRES MARIN QUIRAMA</t>
  </si>
  <si>
    <t xml:space="preserve">3223738077 - 3170608071 </t>
  </si>
  <si>
    <t>FINCA LA HIBERIA</t>
  </si>
  <si>
    <t>VEREDA BAJO SAN MARCOS</t>
  </si>
  <si>
    <t xml:space="preserve">DARMINSON ANDRES MONTOYA </t>
  </si>
  <si>
    <t>3108376107-3217933690</t>
  </si>
  <si>
    <t xml:space="preserve">Carrera 11 #34-190 </t>
  </si>
  <si>
    <t>NO ESTA ESTA EN GENOVA</t>
  </si>
  <si>
    <t xml:space="preserve">TUVO UN ACCIDENTE </t>
  </si>
  <si>
    <t xml:space="preserve">DIJO QUE PAGABA Y NADA </t>
  </si>
  <si>
    <t>EQUIPO RECOGIDO EL 04-12-25</t>
  </si>
  <si>
    <t>FABIO ALBERTO RAMIREZ ZAPATA</t>
  </si>
  <si>
    <t xml:space="preserve">NO CORTAR 10 DE DICIEMBRE </t>
  </si>
  <si>
    <t>400 MEGAS</t>
  </si>
  <si>
    <t>CASA EN EL ARBOL OSCAR ESCOBAR RAMIREZ</t>
  </si>
  <si>
    <t>GENO 540</t>
  </si>
  <si>
    <t>ECO PARQUE ILSUION</t>
  </si>
  <si>
    <t>casaenelarbolh@gmail.com</t>
  </si>
  <si>
    <t>FERNEY DE JESUS GUAPACHA TANGARIFE</t>
  </si>
  <si>
    <t>FINCA RIO LEJOS</t>
  </si>
  <si>
    <t>RECOGIO EQUIPOS</t>
  </si>
  <si>
    <t>RECOGER EQUIPOS</t>
  </si>
  <si>
    <t>VISITAR</t>
  </si>
  <si>
    <t>PAGA MAÑANA SABADO</t>
  </si>
  <si>
    <t>BAR 099</t>
  </si>
  <si>
    <t>PAGA EL SABADO</t>
  </si>
  <si>
    <t>PAGA ESTE FIN DE SEMANA</t>
  </si>
  <si>
    <t xml:space="preserve">HOY PAGA 17 </t>
  </si>
  <si>
    <t>CARLOS ORLANDO ARTUNDUAGA</t>
  </si>
  <si>
    <t>BUENA 1</t>
  </si>
  <si>
    <t>CALLE 6A 04</t>
  </si>
  <si>
    <t>LUZ YENI OVIEDO SALAZAR</t>
  </si>
  <si>
    <t>3026354057 - 3147558716</t>
  </si>
  <si>
    <t>ETAPA 1 CASA 40</t>
  </si>
  <si>
    <t>julianabaquero98@gmail.com</t>
  </si>
  <si>
    <t>JAIRO ALBERTO SIERRA OSORIO</t>
  </si>
  <si>
    <t>3232936531 - 3128473836</t>
  </si>
  <si>
    <t>AMARRA 584</t>
  </si>
  <si>
    <t>CALLE 26 9 24</t>
  </si>
  <si>
    <t>jasossierra95@hotmail.com</t>
  </si>
  <si>
    <t>LLANDELIA RODRIGUEZ TOBAR</t>
  </si>
  <si>
    <t>3234365270 - 3124003808</t>
  </si>
  <si>
    <t>AMARRA 930</t>
  </si>
  <si>
    <t>BLOQUE 3 APTO 503</t>
  </si>
  <si>
    <t>breyner.morillo@esap.edu.co</t>
  </si>
  <si>
    <t>YULEICY ANDREA LONDOÑO GELEANO</t>
  </si>
  <si>
    <t>3202708932 - 3233182696</t>
  </si>
  <si>
    <t xml:space="preserve">MAZ B CASA 14 </t>
  </si>
  <si>
    <t>NUEVA ESPERANZA SEGUNDO PISO</t>
  </si>
  <si>
    <t>wimiyuyilondolorojas@gmailo.com</t>
  </si>
  <si>
    <t>DORIS ALZATE MARULANDA</t>
  </si>
  <si>
    <t>3135788963 - 3217139618</t>
  </si>
  <si>
    <t>MAZN 3 CASA 13</t>
  </si>
  <si>
    <t>doritm.041014@gmail.com</t>
  </si>
  <si>
    <t>AMARRA 177</t>
  </si>
  <si>
    <t>CRA 12  28 18</t>
  </si>
  <si>
    <t>3128222743 - 3238601425</t>
  </si>
  <si>
    <t>AMARRA 924</t>
  </si>
  <si>
    <t>CRA 12 27 25</t>
  </si>
  <si>
    <t>tangarifedaniela@gmail.com</t>
  </si>
  <si>
    <t>3106737640 - 3206660683</t>
  </si>
  <si>
    <t>GENO 103</t>
  </si>
  <si>
    <t>CRA 12 29 22</t>
  </si>
  <si>
    <t>ANGIE NATALIA CAMACHO TELLEZ</t>
  </si>
  <si>
    <t>AMARRA 578</t>
  </si>
  <si>
    <t>CRA 12 25 30</t>
  </si>
  <si>
    <t>SEGUNDO PISO CENTRO</t>
  </si>
  <si>
    <t>camcahoangienatalia@gmail.com</t>
  </si>
  <si>
    <t>MARIA LIBIA ORTEGA RIVERA</t>
  </si>
  <si>
    <t>3148781345 - 3207806063</t>
  </si>
  <si>
    <t xml:space="preserve">AMARRA 23  </t>
  </si>
  <si>
    <t>MAZ 1 CASA 11</t>
  </si>
  <si>
    <t>3135295467 - 3117874578</t>
  </si>
  <si>
    <t xml:space="preserve">CRA 12 CALLE 18 </t>
  </si>
  <si>
    <t>ANGIE MARCELA JIMENEZ ARIAS</t>
  </si>
  <si>
    <t>3177349206 - 3137852863</t>
  </si>
  <si>
    <t>CRA 13 26 60</t>
  </si>
  <si>
    <t xml:space="preserve">RECOGER EQUIPOS </t>
  </si>
  <si>
    <t>ISABEL SOLANO HERNANDEZ</t>
  </si>
  <si>
    <t>3183014316 - 3113556353</t>
  </si>
  <si>
    <t>AMARRA 041</t>
  </si>
  <si>
    <t>BAR REMINICENCIAS</t>
  </si>
  <si>
    <t>GENO 2</t>
  </si>
  <si>
    <t>CRA 10 22 02</t>
  </si>
  <si>
    <t>WILMAR JULIAN CUBILLOS TAMAYO</t>
  </si>
  <si>
    <t>FINCA VILLA ZAYRA</t>
  </si>
  <si>
    <t>ANGELA MARIA CORTEZ</t>
  </si>
  <si>
    <t xml:space="preserve">FINCA M ONTECRITO LOS BALSOS </t>
  </si>
  <si>
    <t>SANDRA MILENA ARANGO MORALES</t>
  </si>
  <si>
    <t>3225604541 - 3217225401</t>
  </si>
  <si>
    <t>AMARRA 134</t>
  </si>
  <si>
    <t>CRA 12  12 34</t>
  </si>
  <si>
    <t>NANCY AMALIA LOPEZ GONZALEZ</t>
  </si>
  <si>
    <t>3148657631 - 3234272153</t>
  </si>
  <si>
    <t>CLL 23 12 51</t>
  </si>
  <si>
    <t>MARIANA ARANGO CASTRO</t>
  </si>
  <si>
    <t>GENO 571</t>
  </si>
  <si>
    <t>AMARRA 583</t>
  </si>
  <si>
    <t>CRA 9 26 32</t>
  </si>
  <si>
    <t>CALLE 22 11 24</t>
  </si>
  <si>
    <t>DANIEL ESTEBAN ARAMBULO</t>
  </si>
  <si>
    <t>3123354417 - 3146565696</t>
  </si>
  <si>
    <t>CALLE 27 12 28</t>
  </si>
  <si>
    <t>JULIAN DAVID SALGADO SUAREZ</t>
  </si>
  <si>
    <t>HACIENDA SAN JUANITO</t>
  </si>
  <si>
    <t>VEREDA EL BROCHE</t>
  </si>
  <si>
    <t>JHOJAN ESTIVEN RESTREPO HENAO</t>
  </si>
  <si>
    <t>3122607621 - 3215271159</t>
  </si>
  <si>
    <t>AMARRA 395</t>
  </si>
  <si>
    <t xml:space="preserve">BELLO RINCON QUINDIANO </t>
  </si>
  <si>
    <t>BLOQUE 1 APART 305</t>
  </si>
  <si>
    <t>GLORA EUCARISTIA ARICAPA</t>
  </si>
  <si>
    <t>3146750669 - 3122217711</t>
  </si>
  <si>
    <t>GENO 369</t>
  </si>
  <si>
    <t>CALLE 20 12 70</t>
  </si>
  <si>
    <t>LUZ EVELIA CASTILLO HENAO</t>
  </si>
  <si>
    <t>3232170314 - 3117633835</t>
  </si>
  <si>
    <t>AMARRA 745</t>
  </si>
  <si>
    <t>MAZ 4 CASA 1</t>
  </si>
  <si>
    <t xml:space="preserve">LIZMER SOLORZANO </t>
  </si>
  <si>
    <t>3104648299 - 3188034655</t>
  </si>
  <si>
    <t>AMARRA 150</t>
  </si>
  <si>
    <t xml:space="preserve">CASA 5 </t>
  </si>
  <si>
    <t>JOSE ALEXANDER CASTAÑO MONSALVE</t>
  </si>
  <si>
    <t>CRA 10 30 CALLE 29 29</t>
  </si>
  <si>
    <t>20 DE JULIO BAR CAFETEROS</t>
  </si>
  <si>
    <t>LUIS ALBERTO GOMEZ AGUILAR</t>
  </si>
  <si>
    <t>AMARRA 157</t>
  </si>
  <si>
    <t>CALLE 25 11 25</t>
  </si>
  <si>
    <t>BAR GANADERO</t>
  </si>
  <si>
    <t>AMARRA 886</t>
  </si>
  <si>
    <t>BARRIO NUEVA COLOMBIA</t>
  </si>
  <si>
    <t>YEIMI DAHANA ARIAS RINCON</t>
  </si>
  <si>
    <t>AMARRA 154</t>
  </si>
  <si>
    <t>BLOQUE 4 APRT 205</t>
  </si>
  <si>
    <t>CRA 10 25 09</t>
  </si>
  <si>
    <t>JHON JAIBER ORJUELA CASAS</t>
  </si>
  <si>
    <t xml:space="preserve">DIEGO </t>
  </si>
  <si>
    <t xml:space="preserve">ZORAIDA VILLA </t>
  </si>
  <si>
    <t>LUIS FERNANDO RENDON AYA</t>
  </si>
  <si>
    <t>8 28</t>
  </si>
  <si>
    <t>ANGEL HUMBERTO GARAY ROA</t>
  </si>
  <si>
    <t>3135109515 - 3146769627</t>
  </si>
  <si>
    <t>MAZ B CASA 5</t>
  </si>
  <si>
    <t>ALONZO RAMIREZ QUINTERO</t>
  </si>
  <si>
    <t>3133553680 - 3112311276</t>
  </si>
  <si>
    <t>BUENA 33</t>
  </si>
  <si>
    <t>6A 14</t>
  </si>
  <si>
    <t>MARIA DEL SOCORRO VELEZ HENAO</t>
  </si>
  <si>
    <t>BUENA 80</t>
  </si>
  <si>
    <t>ALTO BONITO 2 38</t>
  </si>
  <si>
    <t>BLANCA EMMA MENDEZ DE VANEGAS</t>
  </si>
  <si>
    <t>3223851212 - 3232240831</t>
  </si>
  <si>
    <t>GENO 572</t>
  </si>
  <si>
    <t>OMAIRA TAMAYO VALENCIA</t>
  </si>
  <si>
    <t>CASA 4 21</t>
  </si>
  <si>
    <t>LUIS ANTONIO BARBOSA GRISALES</t>
  </si>
  <si>
    <t>3134112490 - 3108442083</t>
  </si>
  <si>
    <t>FONDA BRISA DEL RIO</t>
  </si>
  <si>
    <t>CASA ENSEGUIDA DEL PUEBLO</t>
  </si>
  <si>
    <t>AMARRA 648</t>
  </si>
  <si>
    <t>BRYAN STEVENS CUBILLOS HERNANDEZ</t>
  </si>
  <si>
    <t>CALLE 2 2 10</t>
  </si>
  <si>
    <t>GILBERTO RIVEROS DELGADO</t>
  </si>
  <si>
    <t>3042602146 - 3103853472</t>
  </si>
  <si>
    <t>CALLE 3 2 24</t>
  </si>
  <si>
    <t xml:space="preserve">AMANDA NARANJO FRANCO </t>
  </si>
  <si>
    <t>FINCA VILLA CRISTINA</t>
  </si>
  <si>
    <t>PAGA CUANDO PUEDA</t>
  </si>
  <si>
    <t>EDILMA ALVARADO LONDOÑO</t>
  </si>
  <si>
    <t>BARRIO VENCEDORES</t>
  </si>
  <si>
    <t>POR LAS CINTAS CASA ESQUINA</t>
  </si>
  <si>
    <t>JAIME GARCIA ARIZTIZABAL</t>
  </si>
  <si>
    <t>3188814480 - 3106828134</t>
  </si>
  <si>
    <t>11.0.0.6</t>
  </si>
  <si>
    <t>VEREDA LA COQUETA</t>
  </si>
  <si>
    <t>HEIDY ALEJANDRA MEDINA PINZON</t>
  </si>
  <si>
    <t>3117174958 - 3135575609</t>
  </si>
  <si>
    <t>GENO 497</t>
  </si>
  <si>
    <t>BARRIO SAN VICENTE</t>
  </si>
  <si>
    <t>EFECTIVO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</si>
</sst>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240A]General"/>
    <numFmt numFmtId="165" formatCode="_(&quot;$&quot;\ * #,##0_);_(&quot;$&quot;\ * \(#,##0\);_(&quot;$&quot;\ * &quot;-&quot;??_);_(@_)"/>
    <numFmt numFmtId="166" formatCode="_-&quot;$&quot;\ * #,##0_-;\-&quot;$&quot;\ * #,##0_-;_-&quot;$&quot;\ * &quot;-&quot;??_-;_-@"/>
    <numFmt numFmtId="167" formatCode="[$-240A]#,##0"/>
    <numFmt numFmtId="168" formatCode="[$-240A]mmm\-yy"/>
  </numFmts>
  <fonts count="47" x14ac:knownFonts="1">
    <font>
      <sz val="11"/>
      <color theme="1"/>
      <name val="Calibri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000FF"/>
      <name val="Calibri"/>
      <family val="2"/>
    </font>
    <font>
      <sz val="11"/>
      <color theme="10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385623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b/>
      <sz val="11"/>
      <color rgb="FF44546A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theme="1"/>
      <name val="Arial"/>
      <family val="2"/>
    </font>
    <font>
      <u/>
      <sz val="11"/>
      <color rgb="FF0563C1"/>
      <name val="Arial"/>
      <family val="2"/>
    </font>
    <font>
      <u/>
      <sz val="11"/>
      <color rgb="FF0563C1"/>
      <name val="Arial"/>
      <family val="2"/>
    </font>
    <font>
      <u/>
      <sz val="11"/>
      <color rgb="FF0563C1"/>
      <name val="Arial"/>
      <family val="2"/>
    </font>
    <font>
      <b/>
      <sz val="11"/>
      <color theme="0"/>
      <name val="Arial"/>
      <family val="2"/>
    </font>
    <font>
      <u/>
      <sz val="11"/>
      <color rgb="FF0563C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2E75B5"/>
        <bgColor rgb="FF2E75B5"/>
      </patternFill>
    </fill>
    <fill>
      <patternFill patternType="solid">
        <fgColor rgb="FFFFD965"/>
        <bgColor rgb="FFFFD965"/>
      </patternFill>
    </fill>
    <fill>
      <patternFill patternType="solid">
        <fgColor rgb="FFCC3300"/>
        <bgColor rgb="FFCC3300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00FFFF"/>
        <bgColor rgb="FF00FFFF"/>
      </patternFill>
    </fill>
    <fill>
      <patternFill patternType="solid">
        <fgColor rgb="FFE7E6E6"/>
        <bgColor rgb="FFE7E6E6"/>
      </patternFill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548135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theme="5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FF0000"/>
        <bgColor rgb="FFFF9900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rgb="FFBDD6E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theme="0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6" fillId="0" borderId="0" applyNumberFormat="0" applyFill="0" applyBorder="0" applyAlignment="0" applyProtection="0"/>
  </cellStyleXfs>
  <cellXfs count="374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164" fontId="2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left"/>
    </xf>
    <xf numFmtId="165" fontId="4" fillId="0" borderId="1" xfId="0" applyNumberFormat="1" applyFont="1" applyBorder="1"/>
    <xf numFmtId="164" fontId="3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1" fillId="3" borderId="1" xfId="0" applyFont="1" applyFill="1" applyBorder="1"/>
    <xf numFmtId="14" fontId="4" fillId="0" borderId="1" xfId="0" applyNumberFormat="1" applyFont="1" applyBorder="1"/>
    <xf numFmtId="0" fontId="4" fillId="0" borderId="1" xfId="0" applyFont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/>
    </xf>
    <xf numFmtId="166" fontId="5" fillId="4" borderId="1" xfId="0" applyNumberFormat="1" applyFont="1" applyFill="1" applyBorder="1" applyAlignment="1">
      <alignment horizontal="left"/>
    </xf>
    <xf numFmtId="0" fontId="4" fillId="0" borderId="1" xfId="0" applyFont="1" applyBorder="1" applyAlignment="1"/>
    <xf numFmtId="165" fontId="4" fillId="0" borderId="1" xfId="0" applyNumberFormat="1" applyFont="1" applyBorder="1" applyAlignment="1"/>
    <xf numFmtId="14" fontId="4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4" fillId="5" borderId="1" xfId="0" applyFont="1" applyFill="1" applyBorder="1"/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14" fontId="4" fillId="4" borderId="1" xfId="0" applyNumberFormat="1" applyFont="1" applyFill="1" applyBorder="1"/>
    <xf numFmtId="165" fontId="4" fillId="4" borderId="1" xfId="0" applyNumberFormat="1" applyFont="1" applyFill="1" applyBorder="1"/>
    <xf numFmtId="0" fontId="4" fillId="4" borderId="1" xfId="0" applyFont="1" applyFill="1" applyBorder="1" applyAlignment="1"/>
    <xf numFmtId="165" fontId="4" fillId="4" borderId="1" xfId="0" applyNumberFormat="1" applyFont="1" applyFill="1" applyBorder="1" applyAlignment="1"/>
    <xf numFmtId="14" fontId="4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8" fillId="0" borderId="1" xfId="0" applyFont="1" applyBorder="1"/>
    <xf numFmtId="0" fontId="4" fillId="6" borderId="1" xfId="0" applyFont="1" applyFill="1" applyBorder="1"/>
    <xf numFmtId="0" fontId="4" fillId="4" borderId="1" xfId="0" applyFont="1" applyFill="1" applyBorder="1" applyAlignment="1">
      <alignment horizontal="right"/>
    </xf>
    <xf numFmtId="0" fontId="9" fillId="0" borderId="1" xfId="0" applyFont="1" applyBorder="1"/>
    <xf numFmtId="164" fontId="5" fillId="4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right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/>
    </xf>
    <xf numFmtId="0" fontId="10" fillId="7" borderId="0" xfId="0" applyFont="1" applyFill="1"/>
    <xf numFmtId="165" fontId="4" fillId="7" borderId="1" xfId="0" applyNumberFormat="1" applyFont="1" applyFill="1" applyBorder="1"/>
    <xf numFmtId="166" fontId="5" fillId="7" borderId="1" xfId="0" applyNumberFormat="1" applyFont="1" applyFill="1" applyBorder="1" applyAlignment="1">
      <alignment horizontal="left"/>
    </xf>
    <xf numFmtId="14" fontId="4" fillId="7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11" fillId="7" borderId="1" xfId="0" applyNumberFormat="1" applyFont="1" applyFill="1" applyBorder="1" applyAlignment="1">
      <alignment horizontal="left"/>
    </xf>
    <xf numFmtId="164" fontId="12" fillId="4" borderId="1" xfId="0" applyNumberFormat="1" applyFont="1" applyFill="1" applyBorder="1" applyAlignment="1">
      <alignment horizontal="left"/>
    </xf>
    <xf numFmtId="0" fontId="4" fillId="8" borderId="1" xfId="0" applyFont="1" applyFill="1" applyBorder="1"/>
    <xf numFmtId="14" fontId="4" fillId="0" borderId="1" xfId="0" applyNumberFormat="1" applyFont="1" applyBorder="1" applyAlignment="1">
      <alignment horizontal="right"/>
    </xf>
    <xf numFmtId="166" fontId="5" fillId="7" borderId="1" xfId="0" applyNumberFormat="1" applyFont="1" applyFill="1" applyBorder="1" applyAlignment="1">
      <alignment horizontal="left"/>
    </xf>
    <xf numFmtId="0" fontId="4" fillId="7" borderId="1" xfId="0" applyFont="1" applyFill="1" applyBorder="1" applyAlignment="1"/>
    <xf numFmtId="165" fontId="4" fillId="7" borderId="1" xfId="0" applyNumberFormat="1" applyFont="1" applyFill="1" applyBorder="1" applyAlignment="1"/>
    <xf numFmtId="164" fontId="13" fillId="4" borderId="1" xfId="0" applyNumberFormat="1" applyFont="1" applyFill="1" applyBorder="1" applyAlignment="1">
      <alignment horizontal="left"/>
    </xf>
    <xf numFmtId="165" fontId="4" fillId="5" borderId="1" xfId="0" applyNumberFormat="1" applyFont="1" applyFill="1" applyBorder="1"/>
    <xf numFmtId="0" fontId="4" fillId="5" borderId="1" xfId="0" applyFont="1" applyFill="1" applyBorder="1" applyAlignment="1"/>
    <xf numFmtId="165" fontId="4" fillId="5" borderId="1" xfId="0" applyNumberFormat="1" applyFont="1" applyFill="1" applyBorder="1" applyAlignment="1"/>
    <xf numFmtId="166" fontId="5" fillId="4" borderId="1" xfId="0" applyNumberFormat="1" applyFont="1" applyFill="1" applyBorder="1" applyAlignment="1">
      <alignment horizontal="left"/>
    </xf>
    <xf numFmtId="0" fontId="4" fillId="7" borderId="1" xfId="0" applyFont="1" applyFill="1" applyBorder="1" applyAlignment="1">
      <alignment horizontal="right"/>
    </xf>
    <xf numFmtId="14" fontId="4" fillId="9" borderId="1" xfId="0" applyNumberFormat="1" applyFont="1" applyFill="1" applyBorder="1"/>
    <xf numFmtId="0" fontId="14" fillId="0" borderId="1" xfId="0" applyFont="1" applyBorder="1"/>
    <xf numFmtId="165" fontId="5" fillId="4" borderId="1" xfId="0" applyNumberFormat="1" applyFont="1" applyFill="1" applyBorder="1" applyAlignment="1">
      <alignment horizontal="left"/>
    </xf>
    <xf numFmtId="165" fontId="5" fillId="7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left"/>
    </xf>
    <xf numFmtId="164" fontId="5" fillId="4" borderId="1" xfId="0" applyNumberFormat="1" applyFont="1" applyFill="1" applyBorder="1" applyAlignment="1">
      <alignment horizontal="left"/>
    </xf>
    <xf numFmtId="165" fontId="5" fillId="4" borderId="1" xfId="0" applyNumberFormat="1" applyFont="1" applyFill="1" applyBorder="1" applyAlignment="1">
      <alignment horizontal="left"/>
    </xf>
    <xf numFmtId="14" fontId="5" fillId="4" borderId="1" xfId="0" applyNumberFormat="1" applyFont="1" applyFill="1" applyBorder="1" applyAlignment="1">
      <alignment horizontal="left"/>
    </xf>
    <xf numFmtId="0" fontId="1" fillId="10" borderId="1" xfId="0" applyFont="1" applyFill="1" applyBorder="1"/>
    <xf numFmtId="167" fontId="5" fillId="4" borderId="1" xfId="0" applyNumberFormat="1" applyFont="1" applyFill="1" applyBorder="1" applyAlignment="1">
      <alignment horizontal="left"/>
    </xf>
    <xf numFmtId="164" fontId="5" fillId="5" borderId="1" xfId="0" applyNumberFormat="1" applyFont="1" applyFill="1" applyBorder="1" applyAlignment="1">
      <alignment horizontal="left"/>
    </xf>
    <xf numFmtId="0" fontId="1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164" fontId="5" fillId="6" borderId="1" xfId="0" applyNumberFormat="1" applyFont="1" applyFill="1" applyBorder="1" applyAlignment="1">
      <alignment horizontal="left"/>
    </xf>
    <xf numFmtId="164" fontId="5" fillId="4" borderId="1" xfId="0" applyNumberFormat="1" applyFont="1" applyFill="1" applyBorder="1" applyAlignment="1">
      <alignment horizontal="right"/>
    </xf>
    <xf numFmtId="167" fontId="5" fillId="4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left" vertical="top"/>
    </xf>
    <xf numFmtId="165" fontId="4" fillId="4" borderId="1" xfId="0" applyNumberFormat="1" applyFont="1" applyFill="1" applyBorder="1" applyAlignment="1">
      <alignment horizontal="left"/>
    </xf>
    <xf numFmtId="0" fontId="16" fillId="4" borderId="1" xfId="0" applyFont="1" applyFill="1" applyBorder="1"/>
    <xf numFmtId="0" fontId="17" fillId="4" borderId="1" xfId="0" applyFont="1" applyFill="1" applyBorder="1"/>
    <xf numFmtId="164" fontId="5" fillId="4" borderId="1" xfId="0" applyNumberFormat="1" applyFont="1" applyFill="1" applyBorder="1" applyAlignment="1">
      <alignment vertical="center" wrapText="1"/>
    </xf>
    <xf numFmtId="165" fontId="5" fillId="4" borderId="1" xfId="0" applyNumberFormat="1" applyFont="1" applyFill="1" applyBorder="1" applyAlignment="1"/>
    <xf numFmtId="164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left"/>
    </xf>
    <xf numFmtId="165" fontId="4" fillId="4" borderId="1" xfId="0" applyNumberFormat="1" applyFont="1" applyFill="1" applyBorder="1" applyAlignment="1">
      <alignment horizontal="left"/>
    </xf>
    <xf numFmtId="164" fontId="18" fillId="4" borderId="1" xfId="0" applyNumberFormat="1" applyFont="1" applyFill="1" applyBorder="1" applyAlignment="1">
      <alignment horizontal="left"/>
    </xf>
    <xf numFmtId="164" fontId="5" fillId="11" borderId="1" xfId="0" applyNumberFormat="1" applyFont="1" applyFill="1" applyBorder="1" applyAlignment="1">
      <alignment horizontal="left" vertical="top"/>
    </xf>
    <xf numFmtId="164" fontId="5" fillId="7" borderId="1" xfId="0" applyNumberFormat="1" applyFont="1" applyFill="1" applyBorder="1" applyAlignment="1">
      <alignment horizontal="left"/>
    </xf>
    <xf numFmtId="14" fontId="5" fillId="7" borderId="1" xfId="0" applyNumberFormat="1" applyFont="1" applyFill="1" applyBorder="1" applyAlignment="1">
      <alignment horizontal="left"/>
    </xf>
    <xf numFmtId="164" fontId="19" fillId="4" borderId="1" xfId="0" applyNumberFormat="1" applyFont="1" applyFill="1" applyBorder="1"/>
    <xf numFmtId="0" fontId="5" fillId="4" borderId="1" xfId="0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/>
    </xf>
    <xf numFmtId="166" fontId="4" fillId="4" borderId="1" xfId="0" applyNumberFormat="1" applyFont="1" applyFill="1" applyBorder="1" applyAlignment="1">
      <alignment horizontal="left"/>
    </xf>
    <xf numFmtId="0" fontId="4" fillId="4" borderId="2" xfId="0" applyFont="1" applyFill="1" applyBorder="1"/>
    <xf numFmtId="0" fontId="4" fillId="4" borderId="3" xfId="0" applyFont="1" applyFill="1" applyBorder="1"/>
    <xf numFmtId="164" fontId="5" fillId="4" borderId="3" xfId="0" applyNumberFormat="1" applyFont="1" applyFill="1" applyBorder="1" applyAlignment="1">
      <alignment horizontal="left"/>
    </xf>
    <xf numFmtId="164" fontId="5" fillId="7" borderId="1" xfId="0" applyNumberFormat="1" applyFont="1" applyFill="1" applyBorder="1" applyAlignment="1">
      <alignment horizontal="left" vertical="top"/>
    </xf>
    <xf numFmtId="164" fontId="5" fillId="7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left"/>
    </xf>
    <xf numFmtId="165" fontId="5" fillId="7" borderId="1" xfId="0" applyNumberFormat="1" applyFont="1" applyFill="1" applyBorder="1" applyAlignment="1">
      <alignment horizontal="left"/>
    </xf>
    <xf numFmtId="166" fontId="4" fillId="4" borderId="1" xfId="0" applyNumberFormat="1" applyFont="1" applyFill="1" applyBorder="1"/>
    <xf numFmtId="164" fontId="5" fillId="11" borderId="1" xfId="0" applyNumberFormat="1" applyFont="1" applyFill="1" applyBorder="1" applyAlignment="1">
      <alignment horizontal="left"/>
    </xf>
    <xf numFmtId="0" fontId="20" fillId="3" borderId="1" xfId="0" applyFont="1" applyFill="1" applyBorder="1"/>
    <xf numFmtId="0" fontId="4" fillId="12" borderId="1" xfId="0" applyFont="1" applyFill="1" applyBorder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2" fillId="2" borderId="1" xfId="0" applyNumberFormat="1" applyFont="1" applyFill="1" applyBorder="1" applyAlignment="1">
      <alignment horizontal="center"/>
    </xf>
    <xf numFmtId="14" fontId="1" fillId="0" borderId="1" xfId="0" applyNumberFormat="1" applyFont="1" applyBorder="1"/>
    <xf numFmtId="168" fontId="5" fillId="4" borderId="1" xfId="0" applyNumberFormat="1" applyFont="1" applyFill="1" applyBorder="1" applyAlignment="1">
      <alignment horizontal="left"/>
    </xf>
    <xf numFmtId="164" fontId="5" fillId="4" borderId="1" xfId="0" applyNumberFormat="1" applyFont="1" applyFill="1" applyBorder="1"/>
    <xf numFmtId="164" fontId="22" fillId="4" borderId="1" xfId="0" applyNumberFormat="1" applyFont="1" applyFill="1" applyBorder="1" applyAlignment="1">
      <alignment horizontal="left"/>
    </xf>
    <xf numFmtId="0" fontId="4" fillId="0" borderId="0" xfId="0" applyFont="1" applyAlignment="1"/>
    <xf numFmtId="164" fontId="4" fillId="4" borderId="1" xfId="0" applyNumberFormat="1" applyFont="1" applyFill="1" applyBorder="1"/>
    <xf numFmtId="165" fontId="5" fillId="4" borderId="1" xfId="0" applyNumberFormat="1" applyFont="1" applyFill="1" applyBorder="1"/>
    <xf numFmtId="166" fontId="5" fillId="4" borderId="1" xfId="0" applyNumberFormat="1" applyFont="1" applyFill="1" applyBorder="1"/>
    <xf numFmtId="166" fontId="2" fillId="2" borderId="1" xfId="0" applyNumberFormat="1" applyFont="1" applyFill="1" applyBorder="1" applyAlignment="1">
      <alignment horizontal="left"/>
    </xf>
    <xf numFmtId="166" fontId="2" fillId="2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left"/>
    </xf>
    <xf numFmtId="166" fontId="4" fillId="0" borderId="1" xfId="0" applyNumberFormat="1" applyFont="1" applyBorder="1"/>
    <xf numFmtId="166" fontId="4" fillId="0" borderId="1" xfId="0" applyNumberFormat="1" applyFont="1" applyBorder="1" applyAlignment="1"/>
    <xf numFmtId="0" fontId="4" fillId="0" borderId="1" xfId="0" applyFont="1" applyBorder="1" applyAlignment="1">
      <alignment horizontal="left"/>
    </xf>
    <xf numFmtId="0" fontId="3" fillId="0" borderId="1" xfId="0" applyFont="1" applyBorder="1"/>
    <xf numFmtId="166" fontId="23" fillId="4" borderId="1" xfId="0" applyNumberFormat="1" applyFont="1" applyFill="1" applyBorder="1" applyAlignment="1">
      <alignment horizontal="left"/>
    </xf>
    <xf numFmtId="0" fontId="4" fillId="11" borderId="1" xfId="0" applyFont="1" applyFill="1" applyBorder="1"/>
    <xf numFmtId="166" fontId="24" fillId="4" borderId="1" xfId="0" applyNumberFormat="1" applyFont="1" applyFill="1" applyBorder="1" applyAlignment="1">
      <alignment horizontal="left"/>
    </xf>
    <xf numFmtId="14" fontId="4" fillId="5" borderId="1" xfId="0" applyNumberFormat="1" applyFont="1" applyFill="1" applyBorder="1"/>
    <xf numFmtId="14" fontId="4" fillId="13" borderId="1" xfId="0" applyNumberFormat="1" applyFont="1" applyFill="1" applyBorder="1"/>
    <xf numFmtId="14" fontId="4" fillId="12" borderId="1" xfId="0" applyNumberFormat="1" applyFont="1" applyFill="1" applyBorder="1"/>
    <xf numFmtId="0" fontId="4" fillId="12" borderId="1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horizontal="left"/>
    </xf>
    <xf numFmtId="164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166" fontId="5" fillId="12" borderId="1" xfId="0" applyNumberFormat="1" applyFont="1" applyFill="1" applyBorder="1" applyAlignment="1">
      <alignment horizontal="left"/>
    </xf>
    <xf numFmtId="14" fontId="5" fillId="12" borderId="1" xfId="0" applyNumberFormat="1" applyFont="1" applyFill="1" applyBorder="1" applyAlignment="1">
      <alignment horizontal="left"/>
    </xf>
    <xf numFmtId="164" fontId="25" fillId="12" borderId="1" xfId="0" applyNumberFormat="1" applyFont="1" applyFill="1" applyBorder="1" applyAlignment="1">
      <alignment horizontal="left"/>
    </xf>
    <xf numFmtId="164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164" fontId="4" fillId="12" borderId="1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/>
    </xf>
    <xf numFmtId="164" fontId="26" fillId="4" borderId="1" xfId="0" applyNumberFormat="1" applyFont="1" applyFill="1" applyBorder="1"/>
    <xf numFmtId="164" fontId="5" fillId="5" borderId="1" xfId="0" applyNumberFormat="1" applyFont="1" applyFill="1" applyBorder="1"/>
    <xf numFmtId="164" fontId="5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64" fontId="5" fillId="14" borderId="1" xfId="0" applyNumberFormat="1" applyFont="1" applyFill="1" applyBorder="1" applyAlignment="1">
      <alignment horizontal="left"/>
    </xf>
    <xf numFmtId="165" fontId="5" fillId="14" borderId="1" xfId="0" applyNumberFormat="1" applyFont="1" applyFill="1" applyBorder="1" applyAlignment="1">
      <alignment horizontal="left"/>
    </xf>
    <xf numFmtId="165" fontId="5" fillId="14" borderId="1" xfId="0" applyNumberFormat="1" applyFont="1" applyFill="1" applyBorder="1" applyAlignment="1">
      <alignment horizontal="left"/>
    </xf>
    <xf numFmtId="14" fontId="5" fillId="14" borderId="1" xfId="0" applyNumberFormat="1" applyFont="1" applyFill="1" applyBorder="1" applyAlignment="1">
      <alignment horizontal="left"/>
    </xf>
    <xf numFmtId="0" fontId="4" fillId="14" borderId="1" xfId="0" applyFont="1" applyFill="1" applyBorder="1"/>
    <xf numFmtId="164" fontId="28" fillId="14" borderId="1" xfId="0" applyNumberFormat="1" applyFont="1" applyFill="1" applyBorder="1" applyAlignment="1">
      <alignment horizontal="left"/>
    </xf>
    <xf numFmtId="164" fontId="29" fillId="4" borderId="1" xfId="0" applyNumberFormat="1" applyFont="1" applyFill="1" applyBorder="1"/>
    <xf numFmtId="164" fontId="5" fillId="7" borderId="1" xfId="0" applyNumberFormat="1" applyFont="1" applyFill="1" applyBorder="1" applyAlignment="1">
      <alignment horizontal="left" vertical="center"/>
    </xf>
    <xf numFmtId="0" fontId="4" fillId="12" borderId="4" xfId="0" applyFont="1" applyFill="1" applyBorder="1"/>
    <xf numFmtId="164" fontId="5" fillId="12" borderId="4" xfId="0" applyNumberFormat="1" applyFont="1" applyFill="1" applyBorder="1" applyAlignment="1">
      <alignment horizontal="left"/>
    </xf>
    <xf numFmtId="164" fontId="5" fillId="12" borderId="5" xfId="0" applyNumberFormat="1" applyFont="1" applyFill="1" applyBorder="1" applyAlignment="1">
      <alignment horizontal="left"/>
    </xf>
    <xf numFmtId="165" fontId="23" fillId="4" borderId="1" xfId="0" applyNumberFormat="1" applyFont="1" applyFill="1" applyBorder="1" applyAlignment="1">
      <alignment horizontal="left"/>
    </xf>
    <xf numFmtId="165" fontId="24" fillId="4" borderId="1" xfId="0" applyNumberFormat="1" applyFont="1" applyFill="1" applyBorder="1" applyAlignment="1">
      <alignment horizontal="left"/>
    </xf>
    <xf numFmtId="0" fontId="1" fillId="2" borderId="1" xfId="0" applyFont="1" applyFill="1" applyBorder="1"/>
    <xf numFmtId="0" fontId="30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top" wrapText="1" readingOrder="1"/>
    </xf>
    <xf numFmtId="0" fontId="5" fillId="7" borderId="1" xfId="0" applyFont="1" applyFill="1" applyBorder="1" applyAlignment="1">
      <alignment horizontal="left"/>
    </xf>
    <xf numFmtId="0" fontId="31" fillId="4" borderId="1" xfId="0" applyFont="1" applyFill="1" applyBorder="1" applyAlignment="1">
      <alignment horizontal="left" vertical="top" wrapText="1" readingOrder="1"/>
    </xf>
    <xf numFmtId="0" fontId="17" fillId="4" borderId="1" xfId="0" applyFont="1" applyFill="1" applyBorder="1" applyAlignment="1"/>
    <xf numFmtId="164" fontId="5" fillId="15" borderId="1" xfId="0" applyNumberFormat="1" applyFont="1" applyFill="1" applyBorder="1" applyAlignment="1">
      <alignment horizontal="left"/>
    </xf>
    <xf numFmtId="164" fontId="5" fillId="15" borderId="1" xfId="0" applyNumberFormat="1" applyFont="1" applyFill="1" applyBorder="1" applyAlignment="1">
      <alignment horizontal="left" vertical="top"/>
    </xf>
    <xf numFmtId="166" fontId="4" fillId="7" borderId="1" xfId="0" applyNumberFormat="1" applyFont="1" applyFill="1" applyBorder="1"/>
    <xf numFmtId="0" fontId="4" fillId="15" borderId="1" xfId="0" applyFont="1" applyFill="1" applyBorder="1"/>
    <xf numFmtId="0" fontId="4" fillId="15" borderId="1" xfId="0" applyFont="1" applyFill="1" applyBorder="1" applyAlignment="1">
      <alignment horizontal="left" vertical="top"/>
    </xf>
    <xf numFmtId="0" fontId="4" fillId="15" borderId="1" xfId="0" applyFont="1" applyFill="1" applyBorder="1" applyAlignment="1">
      <alignment horizontal="left"/>
    </xf>
    <xf numFmtId="167" fontId="5" fillId="7" borderId="1" xfId="0" applyNumberFormat="1" applyFont="1" applyFill="1" applyBorder="1" applyAlignment="1">
      <alignment horizontal="left"/>
    </xf>
    <xf numFmtId="0" fontId="17" fillId="7" borderId="1" xfId="0" applyFont="1" applyFill="1" applyBorder="1"/>
    <xf numFmtId="165" fontId="4" fillId="7" borderId="2" xfId="0" applyNumberFormat="1" applyFont="1" applyFill="1" applyBorder="1"/>
    <xf numFmtId="0" fontId="4" fillId="7" borderId="2" xfId="0" applyFont="1" applyFill="1" applyBorder="1"/>
    <xf numFmtId="0" fontId="5" fillId="7" borderId="1" xfId="0" applyFont="1" applyFill="1" applyBorder="1" applyAlignment="1">
      <alignment horizontal="left" vertical="top"/>
    </xf>
    <xf numFmtId="166" fontId="1" fillId="7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165" fontId="5" fillId="6" borderId="1" xfId="0" applyNumberFormat="1" applyFont="1" applyFill="1" applyBorder="1" applyAlignment="1">
      <alignment horizontal="left"/>
    </xf>
    <xf numFmtId="166" fontId="5" fillId="6" borderId="1" xfId="0" applyNumberFormat="1" applyFont="1" applyFill="1" applyBorder="1" applyAlignment="1">
      <alignment horizontal="left"/>
    </xf>
    <xf numFmtId="14" fontId="5" fillId="6" borderId="1" xfId="0" applyNumberFormat="1" applyFont="1" applyFill="1" applyBorder="1" applyAlignment="1">
      <alignment horizontal="left"/>
    </xf>
    <xf numFmtId="164" fontId="32" fillId="7" borderId="1" xfId="0" applyNumberFormat="1" applyFont="1" applyFill="1" applyBorder="1" applyAlignment="1">
      <alignment horizontal="left"/>
    </xf>
    <xf numFmtId="165" fontId="32" fillId="7" borderId="1" xfId="0" applyNumberFormat="1" applyFont="1" applyFill="1" applyBorder="1" applyAlignment="1">
      <alignment horizontal="left"/>
    </xf>
    <xf numFmtId="166" fontId="32" fillId="7" borderId="1" xfId="0" applyNumberFormat="1" applyFont="1" applyFill="1" applyBorder="1" applyAlignment="1">
      <alignment horizontal="left"/>
    </xf>
    <xf numFmtId="14" fontId="32" fillId="7" borderId="1" xfId="0" applyNumberFormat="1" applyFont="1" applyFill="1" applyBorder="1" applyAlignment="1">
      <alignment horizontal="left"/>
    </xf>
    <xf numFmtId="0" fontId="33" fillId="7" borderId="1" xfId="0" applyFont="1" applyFill="1" applyBorder="1"/>
    <xf numFmtId="164" fontId="32" fillId="4" borderId="1" xfId="0" applyNumberFormat="1" applyFont="1" applyFill="1" applyBorder="1" applyAlignment="1">
      <alignment horizontal="left"/>
    </xf>
    <xf numFmtId="0" fontId="32" fillId="7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left"/>
    </xf>
    <xf numFmtId="0" fontId="33" fillId="7" borderId="1" xfId="0" applyFont="1" applyFill="1" applyBorder="1" applyAlignment="1">
      <alignment horizontal="left"/>
    </xf>
    <xf numFmtId="165" fontId="33" fillId="7" borderId="1" xfId="0" applyNumberFormat="1" applyFont="1" applyFill="1" applyBorder="1"/>
    <xf numFmtId="14" fontId="33" fillId="7" borderId="1" xfId="0" applyNumberFormat="1" applyFont="1" applyFill="1" applyBorder="1"/>
    <xf numFmtId="164" fontId="32" fillId="7" borderId="5" xfId="0" applyNumberFormat="1" applyFont="1" applyFill="1" applyBorder="1" applyAlignment="1">
      <alignment horizontal="left"/>
    </xf>
    <xf numFmtId="166" fontId="32" fillId="7" borderId="6" xfId="0" applyNumberFormat="1" applyFont="1" applyFill="1" applyBorder="1" applyAlignment="1">
      <alignment horizontal="left"/>
    </xf>
    <xf numFmtId="164" fontId="32" fillId="7" borderId="6" xfId="0" applyNumberFormat="1" applyFont="1" applyFill="1" applyBorder="1" applyAlignment="1">
      <alignment horizontal="left"/>
    </xf>
    <xf numFmtId="0" fontId="33" fillId="7" borderId="6" xfId="0" applyFont="1" applyFill="1" applyBorder="1"/>
    <xf numFmtId="166" fontId="32" fillId="7" borderId="7" xfId="0" applyNumberFormat="1" applyFont="1" applyFill="1" applyBorder="1" applyAlignment="1">
      <alignment horizontal="left"/>
    </xf>
    <xf numFmtId="164" fontId="32" fillId="16" borderId="1" xfId="0" applyNumberFormat="1" applyFont="1" applyFill="1" applyBorder="1" applyAlignment="1">
      <alignment horizontal="left"/>
    </xf>
    <xf numFmtId="165" fontId="32" fillId="16" borderId="1" xfId="0" applyNumberFormat="1" applyFont="1" applyFill="1" applyBorder="1" applyAlignment="1">
      <alignment horizontal="left"/>
    </xf>
    <xf numFmtId="166" fontId="32" fillId="16" borderId="1" xfId="0" applyNumberFormat="1" applyFont="1" applyFill="1" applyBorder="1" applyAlignment="1">
      <alignment horizontal="left"/>
    </xf>
    <xf numFmtId="14" fontId="32" fillId="16" borderId="1" xfId="0" applyNumberFormat="1" applyFont="1" applyFill="1" applyBorder="1" applyAlignment="1">
      <alignment horizontal="left"/>
    </xf>
    <xf numFmtId="0" fontId="33" fillId="16" borderId="1" xfId="0" applyFont="1" applyFill="1" applyBorder="1"/>
    <xf numFmtId="0" fontId="33" fillId="4" borderId="1" xfId="0" applyFont="1" applyFill="1" applyBorder="1"/>
    <xf numFmtId="14" fontId="33" fillId="7" borderId="1" xfId="0" applyNumberFormat="1" applyFont="1" applyFill="1" applyBorder="1" applyAlignment="1">
      <alignment horizontal="left"/>
    </xf>
    <xf numFmtId="0" fontId="33" fillId="0" borderId="1" xfId="0" applyFont="1" applyBorder="1"/>
    <xf numFmtId="166" fontId="32" fillId="4" borderId="7" xfId="0" applyNumberFormat="1" applyFont="1" applyFill="1" applyBorder="1" applyAlignment="1">
      <alignment horizontal="left"/>
    </xf>
    <xf numFmtId="164" fontId="32" fillId="7" borderId="8" xfId="0" applyNumberFormat="1" applyFont="1" applyFill="1" applyBorder="1" applyAlignment="1">
      <alignment horizontal="left"/>
    </xf>
    <xf numFmtId="164" fontId="32" fillId="4" borderId="8" xfId="0" applyNumberFormat="1" applyFont="1" applyFill="1" applyBorder="1" applyAlignment="1">
      <alignment horizontal="left"/>
    </xf>
    <xf numFmtId="165" fontId="32" fillId="7" borderId="8" xfId="0" applyNumberFormat="1" applyFont="1" applyFill="1" applyBorder="1" applyAlignment="1">
      <alignment horizontal="left"/>
    </xf>
    <xf numFmtId="166" fontId="32" fillId="7" borderId="8" xfId="0" applyNumberFormat="1" applyFont="1" applyFill="1" applyBorder="1" applyAlignment="1">
      <alignment horizontal="left"/>
    </xf>
    <xf numFmtId="164" fontId="32" fillId="7" borderId="7" xfId="0" applyNumberFormat="1" applyFont="1" applyFill="1" applyBorder="1" applyAlignment="1">
      <alignment horizontal="left"/>
    </xf>
    <xf numFmtId="14" fontId="32" fillId="7" borderId="8" xfId="0" applyNumberFormat="1" applyFont="1" applyFill="1" applyBorder="1" applyAlignment="1">
      <alignment horizontal="left"/>
    </xf>
    <xf numFmtId="0" fontId="33" fillId="7" borderId="8" xfId="0" applyFont="1" applyFill="1" applyBorder="1"/>
    <xf numFmtId="0" fontId="33" fillId="7" borderId="7" xfId="0" applyFont="1" applyFill="1" applyBorder="1"/>
    <xf numFmtId="164" fontId="32" fillId="7" borderId="1" xfId="0" applyNumberFormat="1" applyFont="1" applyFill="1" applyBorder="1" applyAlignment="1">
      <alignment horizontal="left" vertical="center"/>
    </xf>
    <xf numFmtId="0" fontId="33" fillId="7" borderId="3" xfId="0" applyFont="1" applyFill="1" applyBorder="1"/>
    <xf numFmtId="0" fontId="33" fillId="7" borderId="5" xfId="0" applyFont="1" applyFill="1" applyBorder="1"/>
    <xf numFmtId="166" fontId="32" fillId="4" borderId="1" xfId="0" applyNumberFormat="1" applyFont="1" applyFill="1" applyBorder="1" applyAlignment="1">
      <alignment horizontal="left"/>
    </xf>
    <xf numFmtId="164" fontId="32" fillId="17" borderId="1" xfId="0" applyNumberFormat="1" applyFont="1" applyFill="1" applyBorder="1" applyAlignment="1">
      <alignment horizontal="left"/>
    </xf>
    <xf numFmtId="164" fontId="32" fillId="17" borderId="1" xfId="0" applyNumberFormat="1" applyFont="1" applyFill="1" applyBorder="1"/>
    <xf numFmtId="165" fontId="32" fillId="17" borderId="1" xfId="0" applyNumberFormat="1" applyFont="1" applyFill="1" applyBorder="1"/>
    <xf numFmtId="166" fontId="32" fillId="17" borderId="1" xfId="0" applyNumberFormat="1" applyFont="1" applyFill="1" applyBorder="1"/>
    <xf numFmtId="165" fontId="32" fillId="17" borderId="1" xfId="0" applyNumberFormat="1" applyFont="1" applyFill="1" applyBorder="1" applyAlignment="1">
      <alignment horizontal="left"/>
    </xf>
    <xf numFmtId="166" fontId="32" fillId="17" borderId="1" xfId="0" applyNumberFormat="1" applyFont="1" applyFill="1" applyBorder="1" applyAlignment="1">
      <alignment horizontal="left"/>
    </xf>
    <xf numFmtId="14" fontId="32" fillId="17" borderId="1" xfId="0" applyNumberFormat="1" applyFont="1" applyFill="1" applyBorder="1" applyAlignment="1">
      <alignment horizontal="left"/>
    </xf>
    <xf numFmtId="0" fontId="33" fillId="17" borderId="1" xfId="0" applyFont="1" applyFill="1" applyBorder="1"/>
    <xf numFmtId="164" fontId="34" fillId="17" borderId="1" xfId="0" applyNumberFormat="1" applyFont="1" applyFill="1" applyBorder="1" applyAlignment="1">
      <alignment horizontal="left"/>
    </xf>
    <xf numFmtId="0" fontId="4" fillId="17" borderId="2" xfId="0" applyFont="1" applyFill="1" applyBorder="1"/>
    <xf numFmtId="0" fontId="35" fillId="7" borderId="1" xfId="0" applyFont="1" applyFill="1" applyBorder="1"/>
    <xf numFmtId="0" fontId="36" fillId="7" borderId="1" xfId="0" applyFont="1" applyFill="1" applyBorder="1"/>
    <xf numFmtId="0" fontId="37" fillId="7" borderId="1" xfId="0" applyFont="1" applyFill="1" applyBorder="1"/>
    <xf numFmtId="164" fontId="38" fillId="7" borderId="1" xfId="0" applyNumberFormat="1" applyFont="1" applyFill="1" applyBorder="1" applyAlignment="1">
      <alignment horizontal="left"/>
    </xf>
    <xf numFmtId="164" fontId="33" fillId="7" borderId="1" xfId="0" applyNumberFormat="1" applyFont="1" applyFill="1" applyBorder="1" applyAlignment="1">
      <alignment horizontal="left"/>
    </xf>
    <xf numFmtId="165" fontId="33" fillId="7" borderId="1" xfId="0" applyNumberFormat="1" applyFont="1" applyFill="1" applyBorder="1" applyAlignment="1">
      <alignment horizontal="left"/>
    </xf>
    <xf numFmtId="164" fontId="32" fillId="9" borderId="1" xfId="0" applyNumberFormat="1" applyFont="1" applyFill="1" applyBorder="1" applyAlignment="1">
      <alignment horizontal="left"/>
    </xf>
    <xf numFmtId="165" fontId="32" fillId="7" borderId="6" xfId="0" applyNumberFormat="1" applyFont="1" applyFill="1" applyBorder="1" applyAlignment="1">
      <alignment horizontal="left"/>
    </xf>
    <xf numFmtId="14" fontId="32" fillId="7" borderId="6" xfId="0" applyNumberFormat="1" applyFont="1" applyFill="1" applyBorder="1" applyAlignment="1">
      <alignment horizontal="left"/>
    </xf>
    <xf numFmtId="0" fontId="33" fillId="7" borderId="1" xfId="0" applyFont="1" applyFill="1" applyBorder="1" applyAlignment="1">
      <alignment horizontal="left" vertical="top" wrapText="1" readingOrder="1"/>
    </xf>
    <xf numFmtId="0" fontId="33" fillId="7" borderId="2" xfId="0" applyFont="1" applyFill="1" applyBorder="1"/>
    <xf numFmtId="165" fontId="33" fillId="7" borderId="2" xfId="0" applyNumberFormat="1" applyFont="1" applyFill="1" applyBorder="1"/>
    <xf numFmtId="14" fontId="33" fillId="7" borderId="2" xfId="0" applyNumberFormat="1" applyFont="1" applyFill="1" applyBorder="1" applyAlignment="1">
      <alignment horizontal="left"/>
    </xf>
    <xf numFmtId="0" fontId="39" fillId="7" borderId="2" xfId="0" applyFont="1" applyFill="1" applyBorder="1"/>
    <xf numFmtId="164" fontId="32" fillId="5" borderId="1" xfId="0" applyNumberFormat="1" applyFont="1" applyFill="1" applyBorder="1" applyAlignment="1">
      <alignment horizontal="left"/>
    </xf>
    <xf numFmtId="165" fontId="32" fillId="5" borderId="1" xfId="0" applyNumberFormat="1" applyFont="1" applyFill="1" applyBorder="1" applyAlignment="1">
      <alignment horizontal="left"/>
    </xf>
    <xf numFmtId="0" fontId="33" fillId="5" borderId="1" xfId="0" applyFont="1" applyFill="1" applyBorder="1"/>
    <xf numFmtId="166" fontId="32" fillId="5" borderId="1" xfId="0" applyNumberFormat="1" applyFont="1" applyFill="1" applyBorder="1" applyAlignment="1">
      <alignment horizontal="left"/>
    </xf>
    <xf numFmtId="14" fontId="32" fillId="5" borderId="1" xfId="0" applyNumberFormat="1" applyFont="1" applyFill="1" applyBorder="1" applyAlignment="1">
      <alignment horizontal="left"/>
    </xf>
    <xf numFmtId="0" fontId="4" fillId="5" borderId="2" xfId="0" applyFont="1" applyFill="1" applyBorder="1"/>
    <xf numFmtId="0" fontId="33" fillId="7" borderId="1" xfId="0" applyFont="1" applyFill="1" applyBorder="1" applyAlignment="1">
      <alignment horizontal="right"/>
    </xf>
    <xf numFmtId="166" fontId="33" fillId="7" borderId="1" xfId="0" applyNumberFormat="1" applyFont="1" applyFill="1" applyBorder="1"/>
    <xf numFmtId="164" fontId="32" fillId="7" borderId="1" xfId="0" applyNumberFormat="1" applyFont="1" applyFill="1" applyBorder="1" applyAlignment="1">
      <alignment horizontal="left" vertical="top"/>
    </xf>
    <xf numFmtId="164" fontId="40" fillId="2" borderId="1" xfId="0" applyNumberFormat="1" applyFont="1" applyFill="1" applyBorder="1" applyAlignment="1">
      <alignment horizontal="left"/>
    </xf>
    <xf numFmtId="164" fontId="40" fillId="2" borderId="1" xfId="0" applyNumberFormat="1" applyFont="1" applyFill="1" applyBorder="1" applyAlignment="1">
      <alignment horizontal="left" vertical="top"/>
    </xf>
    <xf numFmtId="165" fontId="40" fillId="2" borderId="1" xfId="0" applyNumberFormat="1" applyFont="1" applyFill="1" applyBorder="1" applyAlignment="1">
      <alignment horizontal="left"/>
    </xf>
    <xf numFmtId="164" fontId="40" fillId="2" borderId="1" xfId="0" applyNumberFormat="1" applyFont="1" applyFill="1" applyBorder="1" applyAlignment="1">
      <alignment horizontal="center"/>
    </xf>
    <xf numFmtId="14" fontId="40" fillId="2" borderId="1" xfId="0" applyNumberFormat="1" applyFont="1" applyFill="1" applyBorder="1" applyAlignment="1">
      <alignment horizontal="left"/>
    </xf>
    <xf numFmtId="0" fontId="40" fillId="2" borderId="1" xfId="0" applyFont="1" applyFill="1" applyBorder="1"/>
    <xf numFmtId="0" fontId="33" fillId="7" borderId="1" xfId="0" applyFont="1" applyFill="1" applyBorder="1" applyAlignment="1">
      <alignment horizontal="left" vertical="top"/>
    </xf>
    <xf numFmtId="0" fontId="33" fillId="4" borderId="1" xfId="0" applyFont="1" applyFill="1" applyBorder="1" applyAlignment="1">
      <alignment horizontal="left"/>
    </xf>
    <xf numFmtId="14" fontId="33" fillId="0" borderId="1" xfId="0" applyNumberFormat="1" applyFont="1" applyBorder="1"/>
    <xf numFmtId="0" fontId="33" fillId="0" borderId="1" xfId="0" applyFont="1" applyBorder="1" applyAlignment="1">
      <alignment horizontal="left" vertical="top"/>
    </xf>
    <xf numFmtId="0" fontId="33" fillId="0" borderId="1" xfId="0" applyFont="1" applyBorder="1" applyAlignment="1">
      <alignment horizontal="left"/>
    </xf>
    <xf numFmtId="165" fontId="33" fillId="0" borderId="1" xfId="0" applyNumberFormat="1" applyFont="1" applyBorder="1"/>
    <xf numFmtId="14" fontId="33" fillId="0" borderId="1" xfId="0" applyNumberFormat="1" applyFont="1" applyBorder="1" applyAlignment="1">
      <alignment horizontal="left"/>
    </xf>
    <xf numFmtId="0" fontId="41" fillId="0" borderId="1" xfId="0" applyFont="1" applyBorder="1"/>
    <xf numFmtId="14" fontId="33" fillId="4" borderId="1" xfId="0" applyNumberFormat="1" applyFont="1" applyFill="1" applyBorder="1"/>
    <xf numFmtId="165" fontId="32" fillId="4" borderId="1" xfId="0" applyNumberFormat="1" applyFont="1" applyFill="1" applyBorder="1" applyAlignment="1">
      <alignment horizontal="left"/>
    </xf>
    <xf numFmtId="14" fontId="32" fillId="4" borderId="1" xfId="0" applyNumberFormat="1" applyFont="1" applyFill="1" applyBorder="1" applyAlignment="1">
      <alignment horizontal="left"/>
    </xf>
    <xf numFmtId="14" fontId="33" fillId="17" borderId="1" xfId="0" applyNumberFormat="1" applyFont="1" applyFill="1" applyBorder="1"/>
    <xf numFmtId="164" fontId="32" fillId="4" borderId="1" xfId="0" applyNumberFormat="1" applyFont="1" applyFill="1" applyBorder="1" applyAlignment="1">
      <alignment horizontal="left" vertical="center"/>
    </xf>
    <xf numFmtId="167" fontId="32" fillId="7" borderId="1" xfId="0" applyNumberFormat="1" applyFont="1" applyFill="1" applyBorder="1" applyAlignment="1">
      <alignment horizontal="left"/>
    </xf>
    <xf numFmtId="166" fontId="42" fillId="7" borderId="1" xfId="0" applyNumberFormat="1" applyFont="1" applyFill="1" applyBorder="1" applyAlignment="1">
      <alignment horizontal="left"/>
    </xf>
    <xf numFmtId="0" fontId="43" fillId="7" borderId="1" xfId="0" applyFont="1" applyFill="1" applyBorder="1"/>
    <xf numFmtId="0" fontId="32" fillId="9" borderId="1" xfId="0" applyFont="1" applyFill="1" applyBorder="1" applyAlignment="1">
      <alignment horizontal="left"/>
    </xf>
    <xf numFmtId="165" fontId="33" fillId="5" borderId="1" xfId="0" applyNumberFormat="1" applyFont="1" applyFill="1" applyBorder="1"/>
    <xf numFmtId="0" fontId="32" fillId="4" borderId="1" xfId="0" applyFont="1" applyFill="1" applyBorder="1" applyAlignment="1">
      <alignment horizontal="left" vertical="top"/>
    </xf>
    <xf numFmtId="165" fontId="33" fillId="4" borderId="1" xfId="0" applyNumberFormat="1" applyFont="1" applyFill="1" applyBorder="1"/>
    <xf numFmtId="14" fontId="33" fillId="4" borderId="1" xfId="0" applyNumberFormat="1" applyFont="1" applyFill="1" applyBorder="1" applyAlignment="1">
      <alignment horizontal="left"/>
    </xf>
    <xf numFmtId="14" fontId="4" fillId="4" borderId="2" xfId="0" applyNumberFormat="1" applyFont="1" applyFill="1" applyBorder="1"/>
    <xf numFmtId="14" fontId="4" fillId="0" borderId="0" xfId="0" applyNumberFormat="1" applyFont="1"/>
    <xf numFmtId="14" fontId="0" fillId="0" borderId="0" xfId="0" applyNumberFormat="1" applyFont="1" applyAlignment="1"/>
    <xf numFmtId="0" fontId="46" fillId="0" borderId="1" xfId="1" applyBorder="1"/>
    <xf numFmtId="14" fontId="4" fillId="0" borderId="0" xfId="0" applyNumberFormat="1" applyFont="1" applyAlignment="1"/>
    <xf numFmtId="0" fontId="4" fillId="18" borderId="1" xfId="0" applyFont="1" applyFill="1" applyBorder="1"/>
    <xf numFmtId="164" fontId="5" fillId="18" borderId="1" xfId="0" applyNumberFormat="1" applyFont="1" applyFill="1" applyBorder="1" applyAlignment="1">
      <alignment horizontal="left"/>
    </xf>
    <xf numFmtId="0" fontId="4" fillId="19" borderId="1" xfId="0" applyFont="1" applyFill="1" applyBorder="1"/>
    <xf numFmtId="0" fontId="0" fillId="19" borderId="0" xfId="0" applyFont="1" applyFill="1" applyAlignment="1"/>
    <xf numFmtId="165" fontId="5" fillId="18" borderId="1" xfId="0" applyNumberFormat="1" applyFont="1" applyFill="1" applyBorder="1" applyAlignment="1">
      <alignment horizontal="left"/>
    </xf>
    <xf numFmtId="166" fontId="5" fillId="18" borderId="1" xfId="0" applyNumberFormat="1" applyFont="1" applyFill="1" applyBorder="1" applyAlignment="1">
      <alignment horizontal="left"/>
    </xf>
    <xf numFmtId="14" fontId="5" fillId="18" borderId="1" xfId="0" applyNumberFormat="1" applyFont="1" applyFill="1" applyBorder="1" applyAlignment="1">
      <alignment horizontal="left"/>
    </xf>
    <xf numFmtId="164" fontId="5" fillId="20" borderId="1" xfId="0" applyNumberFormat="1" applyFont="1" applyFill="1" applyBorder="1" applyAlignment="1">
      <alignment horizontal="left"/>
    </xf>
    <xf numFmtId="0" fontId="4" fillId="19" borderId="1" xfId="0" applyFont="1" applyFill="1" applyBorder="1" applyAlignment="1">
      <alignment horizontal="left" vertical="top"/>
    </xf>
    <xf numFmtId="0" fontId="4" fillId="19" borderId="1" xfId="0" applyFont="1" applyFill="1" applyBorder="1" applyAlignment="1">
      <alignment horizontal="left"/>
    </xf>
    <xf numFmtId="165" fontId="4" fillId="19" borderId="1" xfId="0" applyNumberFormat="1" applyFont="1" applyFill="1" applyBorder="1"/>
    <xf numFmtId="14" fontId="4" fillId="19" borderId="1" xfId="0" applyNumberFormat="1" applyFont="1" applyFill="1" applyBorder="1" applyAlignment="1">
      <alignment horizontal="left"/>
    </xf>
    <xf numFmtId="0" fontId="4" fillId="21" borderId="1" xfId="0" applyFont="1" applyFill="1" applyBorder="1"/>
    <xf numFmtId="0" fontId="4" fillId="21" borderId="1" xfId="0" applyFont="1" applyFill="1" applyBorder="1" applyAlignment="1"/>
    <xf numFmtId="0" fontId="5" fillId="21" borderId="1" xfId="0" applyFont="1" applyFill="1" applyBorder="1" applyAlignment="1">
      <alignment horizontal="left"/>
    </xf>
    <xf numFmtId="0" fontId="4" fillId="21" borderId="1" xfId="0" applyFont="1" applyFill="1" applyBorder="1" applyAlignment="1">
      <alignment horizontal="left"/>
    </xf>
    <xf numFmtId="164" fontId="5" fillId="21" borderId="1" xfId="0" applyNumberFormat="1" applyFont="1" applyFill="1" applyBorder="1" applyAlignment="1">
      <alignment horizontal="left"/>
    </xf>
    <xf numFmtId="166" fontId="5" fillId="21" borderId="1" xfId="0" applyNumberFormat="1" applyFont="1" applyFill="1" applyBorder="1" applyAlignment="1">
      <alignment horizontal="left"/>
    </xf>
    <xf numFmtId="165" fontId="5" fillId="21" borderId="1" xfId="0" applyNumberFormat="1" applyFont="1" applyFill="1" applyBorder="1" applyAlignment="1">
      <alignment horizontal="left"/>
    </xf>
    <xf numFmtId="14" fontId="5" fillId="21" borderId="1" xfId="0" applyNumberFormat="1" applyFont="1" applyFill="1" applyBorder="1" applyAlignment="1">
      <alignment horizontal="left"/>
    </xf>
    <xf numFmtId="0" fontId="4" fillId="21" borderId="1" xfId="0" applyFont="1" applyFill="1" applyBorder="1" applyAlignment="1">
      <alignment horizontal="left" vertical="top" wrapText="1" readingOrder="1"/>
    </xf>
    <xf numFmtId="0" fontId="0" fillId="22" borderId="0" xfId="0" applyFont="1" applyFill="1" applyAlignment="1"/>
    <xf numFmtId="164" fontId="2" fillId="23" borderId="1" xfId="0" applyNumberFormat="1" applyFont="1" applyFill="1" applyBorder="1" applyAlignment="1">
      <alignment horizontal="left"/>
    </xf>
    <xf numFmtId="0" fontId="4" fillId="22" borderId="1" xfId="0" applyFont="1" applyFill="1" applyBorder="1"/>
    <xf numFmtId="0" fontId="4" fillId="24" borderId="1" xfId="0" applyFont="1" applyFill="1" applyBorder="1"/>
    <xf numFmtId="164" fontId="5" fillId="24" borderId="1" xfId="0" applyNumberFormat="1" applyFont="1" applyFill="1" applyBorder="1" applyAlignment="1">
      <alignment horizontal="left"/>
    </xf>
    <xf numFmtId="0" fontId="5" fillId="24" borderId="1" xfId="0" applyFont="1" applyFill="1" applyBorder="1" applyAlignment="1">
      <alignment horizontal="left"/>
    </xf>
    <xf numFmtId="164" fontId="4" fillId="24" borderId="1" xfId="0" applyNumberFormat="1" applyFont="1" applyFill="1" applyBorder="1" applyAlignment="1">
      <alignment horizontal="left"/>
    </xf>
    <xf numFmtId="0" fontId="4" fillId="24" borderId="1" xfId="0" applyFont="1" applyFill="1" applyBorder="1" applyAlignment="1">
      <alignment horizontal="left"/>
    </xf>
    <xf numFmtId="164" fontId="5" fillId="25" borderId="1" xfId="0" applyNumberFormat="1" applyFont="1" applyFill="1" applyBorder="1" applyAlignment="1">
      <alignment horizontal="left"/>
    </xf>
    <xf numFmtId="0" fontId="4" fillId="22" borderId="0" xfId="0" applyFont="1" applyFill="1"/>
    <xf numFmtId="165" fontId="4" fillId="26" borderId="1" xfId="0" applyNumberFormat="1" applyFont="1" applyFill="1" applyBorder="1"/>
    <xf numFmtId="0" fontId="4" fillId="26" borderId="1" xfId="0" applyFont="1" applyFill="1" applyBorder="1" applyAlignment="1"/>
    <xf numFmtId="165" fontId="4" fillId="26" borderId="1" xfId="0" applyNumberFormat="1" applyFont="1" applyFill="1" applyBorder="1" applyAlignment="1"/>
    <xf numFmtId="14" fontId="4" fillId="26" borderId="1" xfId="0" applyNumberFormat="1" applyFont="1" applyFill="1" applyBorder="1" applyAlignment="1">
      <alignment horizontal="left"/>
    </xf>
    <xf numFmtId="0" fontId="4" fillId="26" borderId="1" xfId="0" applyFont="1" applyFill="1" applyBorder="1"/>
    <xf numFmtId="0" fontId="21" fillId="26" borderId="1" xfId="0" applyFont="1" applyFill="1" applyBorder="1"/>
    <xf numFmtId="0" fontId="4" fillId="24" borderId="1" xfId="0" applyFont="1" applyFill="1" applyBorder="1" applyAlignment="1">
      <alignment horizontal="left" vertical="top"/>
    </xf>
    <xf numFmtId="165" fontId="4" fillId="21" borderId="1" xfId="0" applyNumberFormat="1" applyFont="1" applyFill="1" applyBorder="1" applyAlignment="1"/>
    <xf numFmtId="165" fontId="5" fillId="4" borderId="3" xfId="0" applyNumberFormat="1" applyFont="1" applyFill="1" applyBorder="1" applyAlignment="1">
      <alignment horizontal="left"/>
    </xf>
    <xf numFmtId="0" fontId="4" fillId="4" borderId="3" xfId="0" applyFont="1" applyFill="1" applyBorder="1" applyAlignment="1"/>
    <xf numFmtId="0" fontId="44" fillId="18" borderId="1" xfId="0" applyFont="1" applyFill="1" applyBorder="1"/>
    <xf numFmtId="164" fontId="44" fillId="18" borderId="1" xfId="0" applyNumberFormat="1" applyFont="1" applyFill="1" applyBorder="1" applyAlignment="1">
      <alignment horizontal="left"/>
    </xf>
    <xf numFmtId="0" fontId="4" fillId="27" borderId="1" xfId="0" applyFont="1" applyFill="1" applyBorder="1"/>
    <xf numFmtId="0" fontId="4" fillId="28" borderId="1" xfId="0" applyFont="1" applyFill="1" applyBorder="1"/>
    <xf numFmtId="0" fontId="4" fillId="29" borderId="1" xfId="0" applyFont="1" applyFill="1" applyBorder="1"/>
    <xf numFmtId="0" fontId="4" fillId="18" borderId="1" xfId="0" applyFont="1" applyFill="1" applyBorder="1" applyAlignment="1">
      <alignment horizontal="left" vertical="top"/>
    </xf>
    <xf numFmtId="0" fontId="0" fillId="0" borderId="0" xfId="0" applyFont="1" applyAlignment="1">
      <alignment horizontal="left"/>
    </xf>
    <xf numFmtId="0" fontId="4" fillId="18" borderId="1" xfId="0" applyFont="1" applyFill="1" applyBorder="1" applyAlignment="1">
      <alignment horizontal="left"/>
    </xf>
    <xf numFmtId="0" fontId="4" fillId="30" borderId="1" xfId="0" applyFont="1" applyFill="1" applyBorder="1"/>
    <xf numFmtId="0" fontId="4" fillId="19" borderId="1" xfId="0" applyFont="1" applyFill="1" applyBorder="1" applyAlignment="1"/>
    <xf numFmtId="165" fontId="4" fillId="19" borderId="1" xfId="0" applyNumberFormat="1" applyFont="1" applyFill="1" applyBorder="1" applyAlignment="1"/>
    <xf numFmtId="0" fontId="4" fillId="31" borderId="1" xfId="0" applyFont="1" applyFill="1" applyBorder="1"/>
    <xf numFmtId="164" fontId="5" fillId="31" borderId="1" xfId="0" applyNumberFormat="1" applyFont="1" applyFill="1" applyBorder="1" applyAlignment="1">
      <alignment horizontal="left"/>
    </xf>
    <xf numFmtId="0" fontId="17" fillId="31" borderId="1" xfId="0" applyFont="1" applyFill="1" applyBorder="1" applyAlignment="1">
      <alignment horizontal="center"/>
    </xf>
    <xf numFmtId="164" fontId="5" fillId="26" borderId="1" xfId="0" applyNumberFormat="1" applyFont="1" applyFill="1" applyBorder="1" applyAlignment="1">
      <alignment horizontal="left"/>
    </xf>
    <xf numFmtId="165" fontId="5" fillId="26" borderId="1" xfId="0" applyNumberFormat="1" applyFont="1" applyFill="1" applyBorder="1" applyAlignment="1">
      <alignment horizontal="left"/>
    </xf>
    <xf numFmtId="14" fontId="5" fillId="26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/>
    <xf numFmtId="164" fontId="5" fillId="4" borderId="1" xfId="0" applyNumberFormat="1" applyFont="1" applyFill="1" applyBorder="1" applyAlignment="1">
      <alignment vertical="center"/>
    </xf>
    <xf numFmtId="164" fontId="5" fillId="4" borderId="1" xfId="0" applyNumberFormat="1" applyFont="1" applyFill="1" applyBorder="1" applyAlignment="1"/>
    <xf numFmtId="164" fontId="5" fillId="0" borderId="1" xfId="0" applyNumberFormat="1" applyFont="1" applyBorder="1" applyAlignment="1"/>
    <xf numFmtId="164" fontId="5" fillId="14" borderId="1" xfId="0" applyNumberFormat="1" applyFont="1" applyFill="1" applyBorder="1" applyAlignment="1">
      <alignment vertical="center"/>
    </xf>
    <xf numFmtId="164" fontId="5" fillId="12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32" borderId="1" xfId="0" applyFont="1" applyFill="1" applyBorder="1"/>
    <xf numFmtId="164" fontId="5" fillId="32" borderId="1" xfId="0" applyNumberFormat="1" applyFont="1" applyFill="1" applyBorder="1" applyAlignment="1">
      <alignment horizontal="left"/>
    </xf>
    <xf numFmtId="0" fontId="4" fillId="33" borderId="1" xfId="0" applyFont="1" applyFill="1" applyBorder="1"/>
    <xf numFmtId="0" fontId="4" fillId="33" borderId="1" xfId="0" applyFont="1" applyFill="1" applyBorder="1" applyAlignment="1">
      <alignment horizontal="left" vertical="top"/>
    </xf>
    <xf numFmtId="0" fontId="4" fillId="33" borderId="1" xfId="0" applyFont="1" applyFill="1" applyBorder="1" applyAlignment="1">
      <alignment horizontal="left"/>
    </xf>
    <xf numFmtId="164" fontId="5" fillId="33" borderId="1" xfId="0" applyNumberFormat="1" applyFont="1" applyFill="1" applyBorder="1" applyAlignment="1">
      <alignment horizontal="left"/>
    </xf>
    <xf numFmtId="0" fontId="44" fillId="32" borderId="1" xfId="0" applyFont="1" applyFill="1" applyBorder="1"/>
    <xf numFmtId="0" fontId="44" fillId="31" borderId="1" xfId="0" applyFont="1" applyFill="1" applyBorder="1"/>
    <xf numFmtId="0" fontId="44" fillId="32" borderId="1" xfId="0" applyFont="1" applyFill="1" applyBorder="1" applyAlignment="1">
      <alignment horizontal="left"/>
    </xf>
    <xf numFmtId="14" fontId="4" fillId="34" borderId="1" xfId="0" applyNumberFormat="1" applyFont="1" applyFill="1" applyBorder="1"/>
    <xf numFmtId="0" fontId="4" fillId="34" borderId="1" xfId="0" applyFont="1" applyFill="1" applyBorder="1"/>
    <xf numFmtId="0" fontId="4" fillId="0" borderId="3" xfId="0" applyFont="1" applyFill="1" applyBorder="1" applyAlignment="1">
      <alignment horizontal="left"/>
    </xf>
    <xf numFmtId="164" fontId="5" fillId="35" borderId="1" xfId="0" applyNumberFormat="1" applyFont="1" applyFill="1" applyBorder="1" applyAlignment="1">
      <alignment horizontal="left"/>
    </xf>
    <xf numFmtId="0" fontId="4" fillId="36" borderId="1" xfId="0" applyFont="1" applyFill="1" applyBorder="1"/>
    <xf numFmtId="0" fontId="5" fillId="35" borderId="1" xfId="0" applyFont="1" applyFill="1" applyBorder="1" applyAlignment="1">
      <alignment horizontal="left"/>
    </xf>
    <xf numFmtId="0" fontId="17" fillId="18" borderId="1" xfId="0" applyFont="1" applyFill="1" applyBorder="1" applyAlignment="1">
      <alignment horizontal="center"/>
    </xf>
    <xf numFmtId="0" fontId="17" fillId="8" borderId="9" xfId="0" applyFont="1" applyFill="1" applyBorder="1" applyAlignment="1">
      <alignment horizontal="center"/>
    </xf>
    <xf numFmtId="0" fontId="44" fillId="0" borderId="10" xfId="0" applyFont="1" applyBorder="1"/>
    <xf numFmtId="0" fontId="44" fillId="0" borderId="11" xfId="0" applyFont="1" applyBorder="1"/>
  </cellXfs>
  <cellStyles count="2">
    <cellStyle name="Hipervínculo" xfId="1" builtinId="8"/>
    <cellStyle name="Normal" xfId="0" builtinId="0"/>
  </cellStyles>
  <dxfs count="618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riane40kt@gmail.com" TargetMode="External"/><Relationship Id="rId299" Type="http://schemas.openxmlformats.org/officeDocument/2006/relationships/hyperlink" Target="mailto:interfronterasfacturas@gmail.com" TargetMode="External"/><Relationship Id="rId21" Type="http://schemas.openxmlformats.org/officeDocument/2006/relationships/hyperlink" Target="mailto:quinteroeceheverrisebastian@gmail.com" TargetMode="External"/><Relationship Id="rId63" Type="http://schemas.openxmlformats.org/officeDocument/2006/relationships/hyperlink" Target="mailto:ladinocardonakaren6@gmail.com" TargetMode="External"/><Relationship Id="rId159" Type="http://schemas.openxmlformats.org/officeDocument/2006/relationships/hyperlink" Target="mailto:my_luluch1@outlook.com" TargetMode="External"/><Relationship Id="rId324" Type="http://schemas.openxmlformats.org/officeDocument/2006/relationships/hyperlink" Target="mailto:favioortiz4014@gmail.com" TargetMode="External"/><Relationship Id="rId366" Type="http://schemas.openxmlformats.org/officeDocument/2006/relationships/hyperlink" Target="mailto:angie.templux@gmail.com" TargetMode="External"/><Relationship Id="rId170" Type="http://schemas.openxmlformats.org/officeDocument/2006/relationships/hyperlink" Target="mailto:ivansaka@hotmail.com" TargetMode="External"/><Relationship Id="rId226" Type="http://schemas.openxmlformats.org/officeDocument/2006/relationships/hyperlink" Target="mailto:yeimy.polania25@gmail.com" TargetMode="External"/><Relationship Id="rId433" Type="http://schemas.openxmlformats.org/officeDocument/2006/relationships/hyperlink" Target="mailto:jhoannavelezn@gmail.com" TargetMode="External"/><Relationship Id="rId268" Type="http://schemas.openxmlformats.org/officeDocument/2006/relationships/hyperlink" Target="mailto:interfronterasfacturas@gmail.com" TargetMode="External"/><Relationship Id="rId32" Type="http://schemas.openxmlformats.org/officeDocument/2006/relationships/hyperlink" Target="mailto:hjairod75@gmail.com" TargetMode="External"/><Relationship Id="rId74" Type="http://schemas.openxmlformats.org/officeDocument/2006/relationships/hyperlink" Target="mailto:aguerreroparra77@gmail.com" TargetMode="External"/><Relationship Id="rId128" Type="http://schemas.openxmlformats.org/officeDocument/2006/relationships/hyperlink" Target="mailto:valentinatjuand@gmail.com" TargetMode="External"/><Relationship Id="rId335" Type="http://schemas.openxmlformats.org/officeDocument/2006/relationships/hyperlink" Target="mailto:correaalvarezgloriaisabel@gmail.com" TargetMode="External"/><Relationship Id="rId377" Type="http://schemas.openxmlformats.org/officeDocument/2006/relationships/hyperlink" Target="mailto:riascosangie052@gmail.com" TargetMode="External"/><Relationship Id="rId5" Type="http://schemas.openxmlformats.org/officeDocument/2006/relationships/hyperlink" Target="mailto:ginapaolaramirezrojas@gmail.com" TargetMode="External"/><Relationship Id="rId181" Type="http://schemas.openxmlformats.org/officeDocument/2006/relationships/hyperlink" Target="mailto:khristinakastillo@gmail.com" TargetMode="External"/><Relationship Id="rId237" Type="http://schemas.openxmlformats.org/officeDocument/2006/relationships/hyperlink" Target="mailto:marindiego048@gmail.com" TargetMode="External"/><Relationship Id="rId402" Type="http://schemas.openxmlformats.org/officeDocument/2006/relationships/hyperlink" Target="mailto:gloriaperez6535@gmail.com" TargetMode="External"/><Relationship Id="rId279" Type="http://schemas.openxmlformats.org/officeDocument/2006/relationships/hyperlink" Target="mailto:yulianagalindo980@gmail.com" TargetMode="External"/><Relationship Id="rId444" Type="http://schemas.openxmlformats.org/officeDocument/2006/relationships/hyperlink" Target="mailto:efrain6565@yahoo.com" TargetMode="External"/><Relationship Id="rId43" Type="http://schemas.openxmlformats.org/officeDocument/2006/relationships/hyperlink" Target="mailto:yenilancheros581@gmail.com" TargetMode="External"/><Relationship Id="rId139" Type="http://schemas.openxmlformats.org/officeDocument/2006/relationships/hyperlink" Target="mailto:xiomaracatalinaalca@outlook.es" TargetMode="External"/><Relationship Id="rId290" Type="http://schemas.openxmlformats.org/officeDocument/2006/relationships/hyperlink" Target="mailto:ariasyessica63@gmail.com" TargetMode="External"/><Relationship Id="rId304" Type="http://schemas.openxmlformats.org/officeDocument/2006/relationships/hyperlink" Target="mailto:bermygrisalese@gmail.com" TargetMode="External"/><Relationship Id="rId346" Type="http://schemas.openxmlformats.org/officeDocument/2006/relationships/hyperlink" Target="mailto:nladinolinares313@gmail.com" TargetMode="External"/><Relationship Id="rId388" Type="http://schemas.openxmlformats.org/officeDocument/2006/relationships/hyperlink" Target="mailto:rafaricard@gmail.com" TargetMode="External"/><Relationship Id="rId85" Type="http://schemas.openxmlformats.org/officeDocument/2006/relationships/hyperlink" Target="mailto:alexandertt1123@gmail.com" TargetMode="External"/><Relationship Id="rId150" Type="http://schemas.openxmlformats.org/officeDocument/2006/relationships/hyperlink" Target="mailto:guslisa1964@gmail.com" TargetMode="External"/><Relationship Id="rId192" Type="http://schemas.openxmlformats.org/officeDocument/2006/relationships/hyperlink" Target="mailto:monicavelasquez9494@gmail.com" TargetMode="External"/><Relationship Id="rId206" Type="http://schemas.openxmlformats.org/officeDocument/2006/relationships/hyperlink" Target="mailto:sebastianramosavila33@gmail.com" TargetMode="External"/><Relationship Id="rId413" Type="http://schemas.openxmlformats.org/officeDocument/2006/relationships/hyperlink" Target="mailto:chalaescobarmariateresa@gmail.com" TargetMode="External"/><Relationship Id="rId248" Type="http://schemas.openxmlformats.org/officeDocument/2006/relationships/hyperlink" Target="mailto:paulaos92@hotmail.com" TargetMode="External"/><Relationship Id="rId455" Type="http://schemas.openxmlformats.org/officeDocument/2006/relationships/printerSettings" Target="../printerSettings/printerSettings1.bin"/><Relationship Id="rId12" Type="http://schemas.openxmlformats.org/officeDocument/2006/relationships/hyperlink" Target="mailto:ruben5018@hotmail.com" TargetMode="External"/><Relationship Id="rId108" Type="http://schemas.openxmlformats.org/officeDocument/2006/relationships/hyperlink" Target="mailto:cristiandavidsanchez0@gmail.com" TargetMode="External"/><Relationship Id="rId315" Type="http://schemas.openxmlformats.org/officeDocument/2006/relationships/hyperlink" Target="mailto:edilbertooviedo123@gmail.com" TargetMode="External"/><Relationship Id="rId357" Type="http://schemas.openxmlformats.org/officeDocument/2006/relationships/hyperlink" Target="mailto:eliseobejaranojumenez1996@gmail.com" TargetMode="External"/><Relationship Id="rId54" Type="http://schemas.openxmlformats.org/officeDocument/2006/relationships/hyperlink" Target="mailto:manuelavillada1999@gmail.com" TargetMode="External"/><Relationship Id="rId96" Type="http://schemas.openxmlformats.org/officeDocument/2006/relationships/hyperlink" Target="mailto:nencergonzalezvargas25@gmail.com" TargetMode="External"/><Relationship Id="rId161" Type="http://schemas.openxmlformats.org/officeDocument/2006/relationships/hyperlink" Target="mailto:ktalina121590@gmail.com" TargetMode="External"/><Relationship Id="rId217" Type="http://schemas.openxmlformats.org/officeDocument/2006/relationships/hyperlink" Target="mailto:romanmileider@gmail.com" TargetMode="External"/><Relationship Id="rId399" Type="http://schemas.openxmlformats.org/officeDocument/2006/relationships/hyperlink" Target="mailto:yhond79@gmail.com" TargetMode="External"/><Relationship Id="rId6" Type="http://schemas.openxmlformats.org/officeDocument/2006/relationships/hyperlink" Target="mailto:villagloria2015@gmail.com" TargetMode="External"/><Relationship Id="rId238" Type="http://schemas.openxmlformats.org/officeDocument/2006/relationships/hyperlink" Target="mailto:luciacano7@hotmail.com" TargetMode="External"/><Relationship Id="rId259" Type="http://schemas.openxmlformats.org/officeDocument/2006/relationships/hyperlink" Target="mailto:mariaeugeniamarin653@gmail.com" TargetMode="External"/><Relationship Id="rId424" Type="http://schemas.openxmlformats.org/officeDocument/2006/relationships/hyperlink" Target="mailto:valentinasuarez1970@hotmail.com" TargetMode="External"/><Relationship Id="rId445" Type="http://schemas.openxmlformats.org/officeDocument/2006/relationships/hyperlink" Target="mailto:elgreen033@gmail.com" TargetMode="External"/><Relationship Id="rId23" Type="http://schemas.openxmlformats.org/officeDocument/2006/relationships/hyperlink" Target="mailto:joselibardomedinajimenez@gmail.com" TargetMode="External"/><Relationship Id="rId119" Type="http://schemas.openxmlformats.org/officeDocument/2006/relationships/hyperlink" Target="mailto:aidaquinter@gmail.com" TargetMode="External"/><Relationship Id="rId270" Type="http://schemas.openxmlformats.org/officeDocument/2006/relationships/hyperlink" Target="mailto:jacke.mol@hmail.com" TargetMode="External"/><Relationship Id="rId291" Type="http://schemas.openxmlformats.org/officeDocument/2006/relationships/hyperlink" Target="mailto:taborda1097@gmail.com" TargetMode="External"/><Relationship Id="rId305" Type="http://schemas.openxmlformats.org/officeDocument/2006/relationships/hyperlink" Target="mailto:andersonvillatallez@gmail.com" TargetMode="External"/><Relationship Id="rId326" Type="http://schemas.openxmlformats.org/officeDocument/2006/relationships/hyperlink" Target="mailto:moralestorrezrosamaria@gmail.com" TargetMode="External"/><Relationship Id="rId347" Type="http://schemas.openxmlformats.org/officeDocument/2006/relationships/hyperlink" Target="mailto:manuelaasrias07@gmail.com" TargetMode="External"/><Relationship Id="rId44" Type="http://schemas.openxmlformats.org/officeDocument/2006/relationships/hyperlink" Target="mailto:ceciliamoralesmartha392@gmail.com" TargetMode="External"/><Relationship Id="rId65" Type="http://schemas.openxmlformats.org/officeDocument/2006/relationships/hyperlink" Target="mailto:francycardona24@gmail.com" TargetMode="External"/><Relationship Id="rId86" Type="http://schemas.openxmlformats.org/officeDocument/2006/relationships/hyperlink" Target="mailto:mariagemelassamez@gmail.com" TargetMode="External"/><Relationship Id="rId130" Type="http://schemas.openxmlformats.org/officeDocument/2006/relationships/hyperlink" Target="mailto:gomezsancheskarolyuliana98@gmail.com" TargetMode="External"/><Relationship Id="rId151" Type="http://schemas.openxmlformats.org/officeDocument/2006/relationships/hyperlink" Target="mailto:nataliaarias047@gmail.com" TargetMode="External"/><Relationship Id="rId368" Type="http://schemas.openxmlformats.org/officeDocument/2006/relationships/hyperlink" Target="mailto:joalecmouptc@gmail.com" TargetMode="External"/><Relationship Id="rId389" Type="http://schemas.openxmlformats.org/officeDocument/2006/relationships/hyperlink" Target="mailto:marielsbaquero@gmail.com" TargetMode="External"/><Relationship Id="rId172" Type="http://schemas.openxmlformats.org/officeDocument/2006/relationships/hyperlink" Target="mailto:david13perez@hotmail.com" TargetMode="External"/><Relationship Id="rId193" Type="http://schemas.openxmlformats.org/officeDocument/2006/relationships/hyperlink" Target="mailto:lauracardenas9594@gmail.com" TargetMode="External"/><Relationship Id="rId207" Type="http://schemas.openxmlformats.org/officeDocument/2006/relationships/hyperlink" Target="mailto:interfronterasfacturas@gmail.com" TargetMode="External"/><Relationship Id="rId228" Type="http://schemas.openxmlformats.org/officeDocument/2006/relationships/hyperlink" Target="mailto:Danchezb87@gmail.com" TargetMode="External"/><Relationship Id="rId249" Type="http://schemas.openxmlformats.org/officeDocument/2006/relationships/hyperlink" Target="mailto:anna060885@hotmail.com" TargetMode="External"/><Relationship Id="rId414" Type="http://schemas.openxmlformats.org/officeDocument/2006/relationships/hyperlink" Target="mailto:jhotican7@hotmail.com" TargetMode="External"/><Relationship Id="rId435" Type="http://schemas.openxmlformats.org/officeDocument/2006/relationships/hyperlink" Target="mailto:valencianinijohanna7@gmail.com" TargetMode="External"/><Relationship Id="rId13" Type="http://schemas.openxmlformats.org/officeDocument/2006/relationships/hyperlink" Target="mailto:maicolsanchez12001@gmail.com" TargetMode="External"/><Relationship Id="rId109" Type="http://schemas.openxmlformats.org/officeDocument/2006/relationships/hyperlink" Target="mailto:juliana_dilan@hotmail.com" TargetMode="External"/><Relationship Id="rId260" Type="http://schemas.openxmlformats.org/officeDocument/2006/relationships/hyperlink" Target="mailto:olguitaroa23@gmail.com" TargetMode="External"/><Relationship Id="rId281" Type="http://schemas.openxmlformats.org/officeDocument/2006/relationships/hyperlink" Target="mailto:ana.milena.franco.giraldo@gmail.com" TargetMode="External"/><Relationship Id="rId316" Type="http://schemas.openxmlformats.org/officeDocument/2006/relationships/hyperlink" Target="mailto:ospinamejiav@gmail.com" TargetMode="External"/><Relationship Id="rId337" Type="http://schemas.openxmlformats.org/officeDocument/2006/relationships/hyperlink" Target="mailto:angie87garcia7@gmail.com" TargetMode="External"/><Relationship Id="rId34" Type="http://schemas.openxmlformats.org/officeDocument/2006/relationships/hyperlink" Target="mailto:franklin19061988@gmail.com" TargetMode="External"/><Relationship Id="rId55" Type="http://schemas.openxmlformats.org/officeDocument/2006/relationships/hyperlink" Target="mailto:jennylopez2506@gmail.com" TargetMode="External"/><Relationship Id="rId76" Type="http://schemas.openxmlformats.org/officeDocument/2006/relationships/hyperlink" Target="mailto:alexmonotaller@gmail.com" TargetMode="External"/><Relationship Id="rId97" Type="http://schemas.openxmlformats.org/officeDocument/2006/relationships/hyperlink" Target="mailto:elibetgmartinez393@gmail.com" TargetMode="External"/><Relationship Id="rId120" Type="http://schemas.openxmlformats.org/officeDocument/2006/relationships/hyperlink" Target="mailto:laurabohorquez.juridica@gmail.com" TargetMode="External"/><Relationship Id="rId141" Type="http://schemas.openxmlformats.org/officeDocument/2006/relationships/hyperlink" Target="mailto:diogorodriguez667@gmail.com" TargetMode="External"/><Relationship Id="rId358" Type="http://schemas.openxmlformats.org/officeDocument/2006/relationships/hyperlink" Target="mailto:omargiraldogarcia8952@gmail.com" TargetMode="External"/><Relationship Id="rId379" Type="http://schemas.openxmlformats.org/officeDocument/2006/relationships/hyperlink" Target="mailto:melvaosorioespeinoza32@gmail.com" TargetMode="External"/><Relationship Id="rId7" Type="http://schemas.openxmlformats.org/officeDocument/2006/relationships/hyperlink" Target="mailto:islenasotochaparro37@gmail.com" TargetMode="External"/><Relationship Id="rId162" Type="http://schemas.openxmlformats.org/officeDocument/2006/relationships/hyperlink" Target="mailto:fabioortiz4014@gmail.com" TargetMode="External"/><Relationship Id="rId183" Type="http://schemas.openxmlformats.org/officeDocument/2006/relationships/hyperlink" Target="mailto:bogo8527@gmail.com" TargetMode="External"/><Relationship Id="rId218" Type="http://schemas.openxmlformats.org/officeDocument/2006/relationships/hyperlink" Target="mailto:eligios66@hotmail.com" TargetMode="External"/><Relationship Id="rId239" Type="http://schemas.openxmlformats.org/officeDocument/2006/relationships/hyperlink" Target="mailto:eli.eliaguilera@gmail.com" TargetMode="External"/><Relationship Id="rId390" Type="http://schemas.openxmlformats.org/officeDocument/2006/relationships/hyperlink" Target="mailto:gallegoosoriomariaelena@gmail.com" TargetMode="External"/><Relationship Id="rId404" Type="http://schemas.openxmlformats.org/officeDocument/2006/relationships/hyperlink" Target="mailto:interfronterasfacturas@gmail.com" TargetMode="External"/><Relationship Id="rId425" Type="http://schemas.openxmlformats.org/officeDocument/2006/relationships/hyperlink" Target="mailto:moroperez0314@gmail.com" TargetMode="External"/><Relationship Id="rId446" Type="http://schemas.openxmlformats.org/officeDocument/2006/relationships/hyperlink" Target="mailto:casaenelarbolh@gmail.com" TargetMode="External"/><Relationship Id="rId250" Type="http://schemas.openxmlformats.org/officeDocument/2006/relationships/hyperlink" Target="mailto:sadatdavidgrisales@gmail.com" TargetMode="External"/><Relationship Id="rId271" Type="http://schemas.openxmlformats.org/officeDocument/2006/relationships/hyperlink" Target="mailto:dani8642468@gmail.com" TargetMode="External"/><Relationship Id="rId292" Type="http://schemas.openxmlformats.org/officeDocument/2006/relationships/hyperlink" Target="mailto:marinnandomarin2023@gmail.com" TargetMode="External"/><Relationship Id="rId306" Type="http://schemas.openxmlformats.org/officeDocument/2006/relationships/hyperlink" Target="mailto:jhonfredy4313@gmail.com" TargetMode="External"/><Relationship Id="rId24" Type="http://schemas.openxmlformats.org/officeDocument/2006/relationships/hyperlink" Target="mailto:hectorfabioloaiza18@gmail.com" TargetMode="External"/><Relationship Id="rId45" Type="http://schemas.openxmlformats.org/officeDocument/2006/relationships/hyperlink" Target="mailto:jhoneduarsaldarriaga@gmail.com" TargetMode="External"/><Relationship Id="rId66" Type="http://schemas.openxmlformats.org/officeDocument/2006/relationships/hyperlink" Target="mailto:mariacamilacruzjimenez@gmail.com" TargetMode="External"/><Relationship Id="rId87" Type="http://schemas.openxmlformats.org/officeDocument/2006/relationships/hyperlink" Target="mailto:rubiss.calderon@gmail.com" TargetMode="External"/><Relationship Id="rId110" Type="http://schemas.openxmlformats.org/officeDocument/2006/relationships/hyperlink" Target="mailto:anaf17218@gmail.com" TargetMode="External"/><Relationship Id="rId131" Type="http://schemas.openxmlformats.org/officeDocument/2006/relationships/hyperlink" Target="mailto:ismeldacastro0@gmail.com" TargetMode="External"/><Relationship Id="rId327" Type="http://schemas.openxmlformats.org/officeDocument/2006/relationships/hyperlink" Target="mailto:jenniferalexandracardonaalfonzo@gmail.com" TargetMode="External"/><Relationship Id="rId348" Type="http://schemas.openxmlformats.org/officeDocument/2006/relationships/hyperlink" Target="mailto:sanchezroxi959@gmail.com" TargetMode="External"/><Relationship Id="rId369" Type="http://schemas.openxmlformats.org/officeDocument/2006/relationships/hyperlink" Target="mailto:karogs83@gmail.com" TargetMode="External"/><Relationship Id="rId152" Type="http://schemas.openxmlformats.org/officeDocument/2006/relationships/hyperlink" Target="mailto:kevinandress09@hotmail.com" TargetMode="External"/><Relationship Id="rId173" Type="http://schemas.openxmlformats.org/officeDocument/2006/relationships/hyperlink" Target="mailto:interfronterasfacturas@gmail.com" TargetMode="External"/><Relationship Id="rId194" Type="http://schemas.openxmlformats.org/officeDocument/2006/relationships/hyperlink" Target="mailto:gnv.central@laalianza.co" TargetMode="External"/><Relationship Id="rId208" Type="http://schemas.openxmlformats.org/officeDocument/2006/relationships/hyperlink" Target="mailto:mauriciobustos701@gmail.com" TargetMode="External"/><Relationship Id="rId229" Type="http://schemas.openxmlformats.org/officeDocument/2006/relationships/hyperlink" Target="mailto:viviandrea112@gmail.com" TargetMode="External"/><Relationship Id="rId380" Type="http://schemas.openxmlformats.org/officeDocument/2006/relationships/hyperlink" Target="mailto:leidyjhoanacardona1991@gmail.com" TargetMode="External"/><Relationship Id="rId415" Type="http://schemas.openxmlformats.org/officeDocument/2006/relationships/hyperlink" Target="mailto:perezfonsecajaime93@gmail.com" TargetMode="External"/><Relationship Id="rId436" Type="http://schemas.openxmlformats.org/officeDocument/2006/relationships/hyperlink" Target="mailto:jr3430016@gmail.com" TargetMode="External"/><Relationship Id="rId240" Type="http://schemas.openxmlformats.org/officeDocument/2006/relationships/hyperlink" Target="mailto:yo4470347@gmail.com" TargetMode="External"/><Relationship Id="rId261" Type="http://schemas.openxmlformats.org/officeDocument/2006/relationships/hyperlink" Target="mailto:jose-ger-man@hotmail.com" TargetMode="External"/><Relationship Id="rId14" Type="http://schemas.openxmlformats.org/officeDocument/2006/relationships/hyperlink" Target="mailto:ceciliagra41@gmail.com" TargetMode="External"/><Relationship Id="rId35" Type="http://schemas.openxmlformats.org/officeDocument/2006/relationships/hyperlink" Target="mailto:alizz8989@hotmail.com" TargetMode="External"/><Relationship Id="rId56" Type="http://schemas.openxmlformats.org/officeDocument/2006/relationships/hyperlink" Target="mailto:bomberos.genova@gmail.com" TargetMode="External"/><Relationship Id="rId77" Type="http://schemas.openxmlformats.org/officeDocument/2006/relationships/hyperlink" Target="mailto:aricapanatalia0@gmail.com" TargetMode="External"/><Relationship Id="rId100" Type="http://schemas.openxmlformats.org/officeDocument/2006/relationships/hyperlink" Target="mailto:michellstefanny925@gmail.com" TargetMode="External"/><Relationship Id="rId282" Type="http://schemas.openxmlformats.org/officeDocument/2006/relationships/hyperlink" Target="mailto:restrepo91319@gmail.com" TargetMode="External"/><Relationship Id="rId317" Type="http://schemas.openxmlformats.org/officeDocument/2006/relationships/hyperlink" Target="mailto:juanjmaria06@gmail.com" TargetMode="External"/><Relationship Id="rId338" Type="http://schemas.openxmlformats.org/officeDocument/2006/relationships/hyperlink" Target="mailto:luzmarinacortez@gmail.com" TargetMode="External"/><Relationship Id="rId359" Type="http://schemas.openxmlformats.org/officeDocument/2006/relationships/hyperlink" Target="mailto:yuridiaz3510@gmail.com" TargetMode="External"/><Relationship Id="rId8" Type="http://schemas.openxmlformats.org/officeDocument/2006/relationships/hyperlink" Target="mailto:daryery1@gmail.com" TargetMode="External"/><Relationship Id="rId98" Type="http://schemas.openxmlformats.org/officeDocument/2006/relationships/hyperlink" Target="mailto:dahs1818@gmail.com" TargetMode="External"/><Relationship Id="rId121" Type="http://schemas.openxmlformats.org/officeDocument/2006/relationships/hyperlink" Target="mailto:im7304851@gmail.com" TargetMode="External"/><Relationship Id="rId142" Type="http://schemas.openxmlformats.org/officeDocument/2006/relationships/hyperlink" Target="mailto:ignaciopino13pm@gmail.com" TargetMode="External"/><Relationship Id="rId163" Type="http://schemas.openxmlformats.org/officeDocument/2006/relationships/hyperlink" Target="mailto:YULIETHPENAGOS20@GMAIL.COM" TargetMode="External"/><Relationship Id="rId184" Type="http://schemas.openxmlformats.org/officeDocument/2006/relationships/hyperlink" Target="mailto:gomezibarrapaulaandrea7@gmail.com" TargetMode="External"/><Relationship Id="rId219" Type="http://schemas.openxmlformats.org/officeDocument/2006/relationships/hyperlink" Target="mailto:cealgay1960@gmail.com" TargetMode="External"/><Relationship Id="rId370" Type="http://schemas.openxmlformats.org/officeDocument/2006/relationships/hyperlink" Target="mailto:danielaquinterogaviria@gmail.com" TargetMode="External"/><Relationship Id="rId391" Type="http://schemas.openxmlformats.org/officeDocument/2006/relationships/hyperlink" Target="mailto:david1carrillo5@gmail.com" TargetMode="External"/><Relationship Id="rId405" Type="http://schemas.openxmlformats.org/officeDocument/2006/relationships/hyperlink" Target="mailto:interfronterasfacturas@gmail.com" TargetMode="External"/><Relationship Id="rId426" Type="http://schemas.openxmlformats.org/officeDocument/2006/relationships/hyperlink" Target="mailto:amma202009@gmail.com" TargetMode="External"/><Relationship Id="rId447" Type="http://schemas.openxmlformats.org/officeDocument/2006/relationships/hyperlink" Target="mailto:julianabaquero98@gmail.com" TargetMode="External"/><Relationship Id="rId230" Type="http://schemas.openxmlformats.org/officeDocument/2006/relationships/hyperlink" Target="mailto:mafe53009@gmail.com" TargetMode="External"/><Relationship Id="rId251" Type="http://schemas.openxmlformats.org/officeDocument/2006/relationships/hyperlink" Target="mailto:dora.vakiro.b@gmail.com" TargetMode="External"/><Relationship Id="rId25" Type="http://schemas.openxmlformats.org/officeDocument/2006/relationships/hyperlink" Target="mailto:eduardisarelisvivasvera@gmail.com" TargetMode="External"/><Relationship Id="rId46" Type="http://schemas.openxmlformats.org/officeDocument/2006/relationships/hyperlink" Target="mailto:daya2020nana@gmail.com" TargetMode="External"/><Relationship Id="rId67" Type="http://schemas.openxmlformats.org/officeDocument/2006/relationships/hyperlink" Target="mailto:alexa11uribe@gmail.com" TargetMode="External"/><Relationship Id="rId272" Type="http://schemas.openxmlformats.org/officeDocument/2006/relationships/hyperlink" Target="mailto:luzadrianarlopez@gmail.com" TargetMode="External"/><Relationship Id="rId293" Type="http://schemas.openxmlformats.org/officeDocument/2006/relationships/hyperlink" Target="mailto:libardoosorio50@gmail.com" TargetMode="External"/><Relationship Id="rId307" Type="http://schemas.openxmlformats.org/officeDocument/2006/relationships/hyperlink" Target="mailto:heberflorez4@gmail.com" TargetMode="External"/><Relationship Id="rId328" Type="http://schemas.openxmlformats.org/officeDocument/2006/relationships/hyperlink" Target="mailto:mariayojanarodriguezcastro@gmail.com" TargetMode="External"/><Relationship Id="rId349" Type="http://schemas.openxmlformats.org/officeDocument/2006/relationships/hyperlink" Target="mailto:jhonerazo@gmail.com" TargetMode="External"/><Relationship Id="rId88" Type="http://schemas.openxmlformats.org/officeDocument/2006/relationships/hyperlink" Target="mailto:ariasalonsozarco@gmail.com" TargetMode="External"/><Relationship Id="rId111" Type="http://schemas.openxmlformats.org/officeDocument/2006/relationships/hyperlink" Target="mailto:yalajandra.1924@gmail.com" TargetMode="External"/><Relationship Id="rId132" Type="http://schemas.openxmlformats.org/officeDocument/2006/relationships/hyperlink" Target="mailto:lore315castilloespinosa@gmail.com" TargetMode="External"/><Relationship Id="rId153" Type="http://schemas.openxmlformats.org/officeDocument/2006/relationships/hyperlink" Target="mailto:marirod@cqteeduca.edu.co" TargetMode="External"/><Relationship Id="rId174" Type="http://schemas.openxmlformats.org/officeDocument/2006/relationships/hyperlink" Target="mailto:erika.m.murillo8888@gmail.com" TargetMode="External"/><Relationship Id="rId195" Type="http://schemas.openxmlformats.org/officeDocument/2006/relationships/hyperlink" Target="mailto:trujilloleidy36@gmail.com" TargetMode="External"/><Relationship Id="rId209" Type="http://schemas.openxmlformats.org/officeDocument/2006/relationships/hyperlink" Target="mailto:interfronterasfacturas@gmail.com" TargetMode="External"/><Relationship Id="rId360" Type="http://schemas.openxmlformats.org/officeDocument/2006/relationships/hyperlink" Target="mailto:kamilavallejo901@gmail.com" TargetMode="External"/><Relationship Id="rId381" Type="http://schemas.openxmlformats.org/officeDocument/2006/relationships/hyperlink" Target="mailto:adolfosoberana@hotmail.com" TargetMode="External"/><Relationship Id="rId416" Type="http://schemas.openxmlformats.org/officeDocument/2006/relationships/hyperlink" Target="mailto:dianisv2017@gmail.com" TargetMode="External"/><Relationship Id="rId220" Type="http://schemas.openxmlformats.org/officeDocument/2006/relationships/hyperlink" Target="mailto:interfronterasfacturas@gmail.com" TargetMode="External"/><Relationship Id="rId241" Type="http://schemas.openxmlformats.org/officeDocument/2006/relationships/hyperlink" Target="mailto:vidalbauner19@gmail.com" TargetMode="External"/><Relationship Id="rId437" Type="http://schemas.openxmlformats.org/officeDocument/2006/relationships/hyperlink" Target="mailto:linarvelaez@outlook.es" TargetMode="External"/><Relationship Id="rId15" Type="http://schemas.openxmlformats.org/officeDocument/2006/relationships/hyperlink" Target="mailto:montoyagallego@gmail.com" TargetMode="External"/><Relationship Id="rId36" Type="http://schemas.openxmlformats.org/officeDocument/2006/relationships/hyperlink" Target="mailto:ceronjimena@gmail.com" TargetMode="External"/><Relationship Id="rId57" Type="http://schemas.openxmlformats.org/officeDocument/2006/relationships/hyperlink" Target="mailto:juanesneider171@gmail.com" TargetMode="External"/><Relationship Id="rId262" Type="http://schemas.openxmlformats.org/officeDocument/2006/relationships/hyperlink" Target="mailto:interfronterasfacturas@gmail.com" TargetMode="External"/><Relationship Id="rId283" Type="http://schemas.openxmlformats.org/officeDocument/2006/relationships/hyperlink" Target="mailto:ingridocampo61@gmail.com" TargetMode="External"/><Relationship Id="rId318" Type="http://schemas.openxmlformats.org/officeDocument/2006/relationships/hyperlink" Target="mailto:mariavrz2019@gmail.com" TargetMode="External"/><Relationship Id="rId339" Type="http://schemas.openxmlformats.org/officeDocument/2006/relationships/hyperlink" Target="mailto:nestorjaimebaqueroramos147@gmail.com" TargetMode="External"/><Relationship Id="rId78" Type="http://schemas.openxmlformats.org/officeDocument/2006/relationships/hyperlink" Target="mailto:ceron1523@gmail.com" TargetMode="External"/><Relationship Id="rId99" Type="http://schemas.openxmlformats.org/officeDocument/2006/relationships/hyperlink" Target="mailto:guarinhernandezyurinatalia@gmail.com" TargetMode="External"/><Relationship Id="rId101" Type="http://schemas.openxmlformats.org/officeDocument/2006/relationships/hyperlink" Target="mailto:adharalonsonoholguin@gmail.com" TargetMode="External"/><Relationship Id="rId122" Type="http://schemas.openxmlformats.org/officeDocument/2006/relationships/hyperlink" Target="mailto:mariajosekira225@gmail.com" TargetMode="External"/><Relationship Id="rId143" Type="http://schemas.openxmlformats.org/officeDocument/2006/relationships/hyperlink" Target="mailto:ramirezjuradoluzedith@gmail.com" TargetMode="External"/><Relationship Id="rId164" Type="http://schemas.openxmlformats.org/officeDocument/2006/relationships/hyperlink" Target="mailto:interfronterasfacturas@gmail.com" TargetMode="External"/><Relationship Id="rId185" Type="http://schemas.openxmlformats.org/officeDocument/2006/relationships/hyperlink" Target="mailto:anmapicam.17@gmail.com" TargetMode="External"/><Relationship Id="rId350" Type="http://schemas.openxmlformats.org/officeDocument/2006/relationships/hyperlink" Target="mailto:ana.1099684114@gmail.com" TargetMode="External"/><Relationship Id="rId371" Type="http://schemas.openxmlformats.org/officeDocument/2006/relationships/hyperlink" Target="mailto:leidy312salo@gmail.com" TargetMode="External"/><Relationship Id="rId406" Type="http://schemas.openxmlformats.org/officeDocument/2006/relationships/hyperlink" Target="mailto:luisnorberto@hotmail.com" TargetMode="External"/><Relationship Id="rId9" Type="http://schemas.openxmlformats.org/officeDocument/2006/relationships/hyperlink" Target="mailto:manuelgarciam@gmail.com" TargetMode="External"/><Relationship Id="rId210" Type="http://schemas.openxmlformats.org/officeDocument/2006/relationships/hyperlink" Target="mailto:soniacostadesing@gmail.com" TargetMode="External"/><Relationship Id="rId392" Type="http://schemas.openxmlformats.org/officeDocument/2006/relationships/hyperlink" Target="mailto:gonsalezsandra678@gmail.com" TargetMode="External"/><Relationship Id="rId427" Type="http://schemas.openxmlformats.org/officeDocument/2006/relationships/hyperlink" Target="mailto:josemekato723@gmail.com" TargetMode="External"/><Relationship Id="rId448" Type="http://schemas.openxmlformats.org/officeDocument/2006/relationships/hyperlink" Target="mailto:jasossierra95@hotmail.com" TargetMode="External"/><Relationship Id="rId26" Type="http://schemas.openxmlformats.org/officeDocument/2006/relationships/hyperlink" Target="mailto:jorwijimenezartunduaga@gmail.com" TargetMode="External"/><Relationship Id="rId231" Type="http://schemas.openxmlformats.org/officeDocument/2006/relationships/hyperlink" Target="mailto:interfronterasfacturas@gmail.com" TargetMode="External"/><Relationship Id="rId252" Type="http://schemas.openxmlformats.org/officeDocument/2006/relationships/hyperlink" Target="mailto:josemoralescorrea97@gmail.com" TargetMode="External"/><Relationship Id="rId273" Type="http://schemas.openxmlformats.org/officeDocument/2006/relationships/hyperlink" Target="mailto:pablito2575@hotmail.com" TargetMode="External"/><Relationship Id="rId294" Type="http://schemas.openxmlformats.org/officeDocument/2006/relationships/hyperlink" Target="mailto:francojuancarlos2024.1978@gmail.com" TargetMode="External"/><Relationship Id="rId308" Type="http://schemas.openxmlformats.org/officeDocument/2006/relationships/hyperlink" Target="mailto:agudelov@gmail.com" TargetMode="External"/><Relationship Id="rId329" Type="http://schemas.openxmlformats.org/officeDocument/2006/relationships/hyperlink" Target="mailto:joha30259@gmail.com" TargetMode="External"/><Relationship Id="rId47" Type="http://schemas.openxmlformats.org/officeDocument/2006/relationships/hyperlink" Target="mailto:fabianruizmora14@gmail.com" TargetMode="External"/><Relationship Id="rId68" Type="http://schemas.openxmlformats.org/officeDocument/2006/relationships/hyperlink" Target="mailto:jazmingallocastellanos@gmail.com" TargetMode="External"/><Relationship Id="rId89" Type="http://schemas.openxmlformats.org/officeDocument/2006/relationships/hyperlink" Target="mailto:jfgallegolopez91@gmail.com" TargetMode="External"/><Relationship Id="rId112" Type="http://schemas.openxmlformats.org/officeDocument/2006/relationships/hyperlink" Target="mailto:abdulpasdo@hotmail.com" TargetMode="External"/><Relationship Id="rId133" Type="http://schemas.openxmlformats.org/officeDocument/2006/relationships/hyperlink" Target="mailto:socorromolina.078@gmail.com" TargetMode="External"/><Relationship Id="rId154" Type="http://schemas.openxmlformats.org/officeDocument/2006/relationships/hyperlink" Target="mailto:yicelyevelin@gmail.com" TargetMode="External"/><Relationship Id="rId175" Type="http://schemas.openxmlformats.org/officeDocument/2006/relationships/hyperlink" Target="mailto:interfronterasfacturas@gmail.com" TargetMode="External"/><Relationship Id="rId340" Type="http://schemas.openxmlformats.org/officeDocument/2006/relationships/hyperlink" Target="mailto:interfronterasfacturas@gmail.com" TargetMode="External"/><Relationship Id="rId361" Type="http://schemas.openxmlformats.org/officeDocument/2006/relationships/hyperlink" Target="mailto:niniyohanacs@gmail.com" TargetMode="External"/><Relationship Id="rId196" Type="http://schemas.openxmlformats.org/officeDocument/2006/relationships/hyperlink" Target="mailto:sandramilenagaviria56@gmail.com" TargetMode="External"/><Relationship Id="rId200" Type="http://schemas.openxmlformats.org/officeDocument/2006/relationships/hyperlink" Target="mailto:victorcoy.98@gmail.com" TargetMode="External"/><Relationship Id="rId382" Type="http://schemas.openxmlformats.org/officeDocument/2006/relationships/hyperlink" Target="mailto:leniscortez879@gmail.com" TargetMode="External"/><Relationship Id="rId417" Type="http://schemas.openxmlformats.org/officeDocument/2006/relationships/hyperlink" Target="mailto:sandrahortua@yahoo.com" TargetMode="External"/><Relationship Id="rId438" Type="http://schemas.openxmlformats.org/officeDocument/2006/relationships/hyperlink" Target="mailto:santivil04goat@gmail.com" TargetMode="External"/><Relationship Id="rId16" Type="http://schemas.openxmlformats.org/officeDocument/2006/relationships/hyperlink" Target="mailto:mayorgamercedes649@gmail.com" TargetMode="External"/><Relationship Id="rId221" Type="http://schemas.openxmlformats.org/officeDocument/2006/relationships/hyperlink" Target="mailto:beboblan1899@hotmail.com" TargetMode="External"/><Relationship Id="rId242" Type="http://schemas.openxmlformats.org/officeDocument/2006/relationships/hyperlink" Target="mailto:frallyvasquez@gmail.com" TargetMode="External"/><Relationship Id="rId263" Type="http://schemas.openxmlformats.org/officeDocument/2006/relationships/hyperlink" Target="mailto:juradomaye517@gmail.com" TargetMode="External"/><Relationship Id="rId284" Type="http://schemas.openxmlformats.org/officeDocument/2006/relationships/hyperlink" Target="mailto:brahianperlaza96@gmail.com" TargetMode="External"/><Relationship Id="rId319" Type="http://schemas.openxmlformats.org/officeDocument/2006/relationships/hyperlink" Target="mailto:pato1969880.@hotmail.com" TargetMode="External"/><Relationship Id="rId37" Type="http://schemas.openxmlformats.org/officeDocument/2006/relationships/hyperlink" Target="mailto:luzgarciaurrea@gmail.com" TargetMode="External"/><Relationship Id="rId58" Type="http://schemas.openxmlformats.org/officeDocument/2006/relationships/hyperlink" Target="mailto:yinapaolac2016@gmail.com" TargetMode="External"/><Relationship Id="rId79" Type="http://schemas.openxmlformats.org/officeDocument/2006/relationships/hyperlink" Target="mailto:luisvillavelez@gmail.com" TargetMode="External"/><Relationship Id="rId102" Type="http://schemas.openxmlformats.org/officeDocument/2006/relationships/hyperlink" Target="mailto:jairoalbertoceron2283@gmail.com" TargetMode="External"/><Relationship Id="rId123" Type="http://schemas.openxmlformats.org/officeDocument/2006/relationships/hyperlink" Target="mailto:alberthcoboz2019@gmail.com" TargetMode="External"/><Relationship Id="rId144" Type="http://schemas.openxmlformats.org/officeDocument/2006/relationships/hyperlink" Target="mailto:nohoragarciagomez@gmail.com" TargetMode="External"/><Relationship Id="rId330" Type="http://schemas.openxmlformats.org/officeDocument/2006/relationships/hyperlink" Target="mailto:yuday03262018@gmail.com" TargetMode="External"/><Relationship Id="rId90" Type="http://schemas.openxmlformats.org/officeDocument/2006/relationships/hyperlink" Target="mailto:kerlyvivianacanas@gmail.com" TargetMode="External"/><Relationship Id="rId165" Type="http://schemas.openxmlformats.org/officeDocument/2006/relationships/hyperlink" Target="mailto:zapatadaniela235@gmail.com" TargetMode="External"/><Relationship Id="rId186" Type="http://schemas.openxmlformats.org/officeDocument/2006/relationships/hyperlink" Target="mailto:eliseobejaranojumenez1996@gmail.com" TargetMode="External"/><Relationship Id="rId351" Type="http://schemas.openxmlformats.org/officeDocument/2006/relationships/hyperlink" Target="mailto:jorgeeliecerbetancurth326@gmail.com" TargetMode="External"/><Relationship Id="rId372" Type="http://schemas.openxmlformats.org/officeDocument/2006/relationships/hyperlink" Target="mailto:hector30cando@gamail.com" TargetMode="External"/><Relationship Id="rId393" Type="http://schemas.openxmlformats.org/officeDocument/2006/relationships/hyperlink" Target="mailto:andreobaqueroarias@hotmail.com" TargetMode="External"/><Relationship Id="rId407" Type="http://schemas.openxmlformats.org/officeDocument/2006/relationships/hyperlink" Target="mailto:natidloaiza@gmail.com" TargetMode="External"/><Relationship Id="rId428" Type="http://schemas.openxmlformats.org/officeDocument/2006/relationships/hyperlink" Target="mailto:jorge.santamaria@hotmail.es" TargetMode="External"/><Relationship Id="rId449" Type="http://schemas.openxmlformats.org/officeDocument/2006/relationships/hyperlink" Target="mailto:breyner.morillo@esap.edu.co" TargetMode="External"/><Relationship Id="rId211" Type="http://schemas.openxmlformats.org/officeDocument/2006/relationships/hyperlink" Target="mailto:erotica37@gmail.com" TargetMode="External"/><Relationship Id="rId232" Type="http://schemas.openxmlformats.org/officeDocument/2006/relationships/hyperlink" Target="mailto:luz.edith1205@gmail.com" TargetMode="External"/><Relationship Id="rId253" Type="http://schemas.openxmlformats.org/officeDocument/2006/relationships/hyperlink" Target="mailto:trejosgeraldin3@gmail.com" TargetMode="External"/><Relationship Id="rId274" Type="http://schemas.openxmlformats.org/officeDocument/2006/relationships/hyperlink" Target="mailto:sammytorrezbarreto@gmail.com" TargetMode="External"/><Relationship Id="rId295" Type="http://schemas.openxmlformats.org/officeDocument/2006/relationships/hyperlink" Target="mailto:nellyredtrujillo77@gmail.com" TargetMode="External"/><Relationship Id="rId309" Type="http://schemas.openxmlformats.org/officeDocument/2006/relationships/hyperlink" Target="mailto:beatriz2018ospina@gmail.com" TargetMode="External"/><Relationship Id="rId27" Type="http://schemas.openxmlformats.org/officeDocument/2006/relationships/hyperlink" Target="mailto:anyelarivera176@gmail.com" TargetMode="External"/><Relationship Id="rId48" Type="http://schemas.openxmlformats.org/officeDocument/2006/relationships/hyperlink" Target="mailto:derlicastellanos5@gmail.com" TargetMode="External"/><Relationship Id="rId69" Type="http://schemas.openxmlformats.org/officeDocument/2006/relationships/hyperlink" Target="mailto:interfronterasfacturas@gmail.com" TargetMode="External"/><Relationship Id="rId113" Type="http://schemas.openxmlformats.org/officeDocument/2006/relationships/hyperlink" Target="mailto:aidaquinter@gmail.com" TargetMode="External"/><Relationship Id="rId134" Type="http://schemas.openxmlformats.org/officeDocument/2006/relationships/hyperlink" Target="mailto:marilo13112006@gmail.com" TargetMode="External"/><Relationship Id="rId320" Type="http://schemas.openxmlformats.org/officeDocument/2006/relationships/hyperlink" Target="mailto:margaritaabril513@gmail.com" TargetMode="External"/><Relationship Id="rId80" Type="http://schemas.openxmlformats.org/officeDocument/2006/relationships/hyperlink" Target="mailto:jhonardavidr2010@gmail.com" TargetMode="External"/><Relationship Id="rId155" Type="http://schemas.openxmlformats.org/officeDocument/2006/relationships/hyperlink" Target="mailto:anmaca734@gmail.com" TargetMode="External"/><Relationship Id="rId176" Type="http://schemas.openxmlformats.org/officeDocument/2006/relationships/hyperlink" Target="mailto:fernandoqks55d@hotmail.com" TargetMode="External"/><Relationship Id="rId197" Type="http://schemas.openxmlformats.org/officeDocument/2006/relationships/hyperlink" Target="mailto:nelita123@outlook.it" TargetMode="External"/><Relationship Id="rId341" Type="http://schemas.openxmlformats.org/officeDocument/2006/relationships/hyperlink" Target="mailto:valenciamao@gmail.com" TargetMode="External"/><Relationship Id="rId362" Type="http://schemas.openxmlformats.org/officeDocument/2006/relationships/hyperlink" Target="mailto:johnalejocampos@gmail.com" TargetMode="External"/><Relationship Id="rId383" Type="http://schemas.openxmlformats.org/officeDocument/2006/relationships/hyperlink" Target="mailto:estebanmilena083@gmail.com" TargetMode="External"/><Relationship Id="rId418" Type="http://schemas.openxmlformats.org/officeDocument/2006/relationships/hyperlink" Target="mailto:kncardona2@gmail.com" TargetMode="External"/><Relationship Id="rId439" Type="http://schemas.openxmlformats.org/officeDocument/2006/relationships/hyperlink" Target="mailto:josysyy@gmail.com" TargetMode="External"/><Relationship Id="rId201" Type="http://schemas.openxmlformats.org/officeDocument/2006/relationships/hyperlink" Target="mailto:yeini.ph.30@hotmail.com" TargetMode="External"/><Relationship Id="rId222" Type="http://schemas.openxmlformats.org/officeDocument/2006/relationships/hyperlink" Target="mailto:mariangelbella8@gmail.com" TargetMode="External"/><Relationship Id="rId243" Type="http://schemas.openxmlformats.org/officeDocument/2006/relationships/hyperlink" Target="mailto:andresfeliperojasalvarez3440@gmail.com" TargetMode="External"/><Relationship Id="rId264" Type="http://schemas.openxmlformats.org/officeDocument/2006/relationships/hyperlink" Target="mailto:johans.sepulvedag@uqvirtual.edu.co" TargetMode="External"/><Relationship Id="rId285" Type="http://schemas.openxmlformats.org/officeDocument/2006/relationships/hyperlink" Target="mailto:karinaroman178@gmail.com" TargetMode="External"/><Relationship Id="rId450" Type="http://schemas.openxmlformats.org/officeDocument/2006/relationships/hyperlink" Target="mailto:wimiyuyilondolorojas@gmailo.com" TargetMode="External"/><Relationship Id="rId17" Type="http://schemas.openxmlformats.org/officeDocument/2006/relationships/hyperlink" Target="mailto:libardo_rivera@hotmail.com" TargetMode="External"/><Relationship Id="rId38" Type="http://schemas.openxmlformats.org/officeDocument/2006/relationships/hyperlink" Target="mailto:asociacionproductoresagro@hotmail.com" TargetMode="External"/><Relationship Id="rId59" Type="http://schemas.openxmlformats.org/officeDocument/2006/relationships/hyperlink" Target="mailto:dulceepo187@gmail.com" TargetMode="External"/><Relationship Id="rId103" Type="http://schemas.openxmlformats.org/officeDocument/2006/relationships/hyperlink" Target="mailto:nancyceronortega23@gmail.com" TargetMode="External"/><Relationship Id="rId124" Type="http://schemas.openxmlformats.org/officeDocument/2006/relationships/hyperlink" Target="mailto:dianamarcelaalvarezdurango@gmail.com" TargetMode="External"/><Relationship Id="rId310" Type="http://schemas.openxmlformats.org/officeDocument/2006/relationships/hyperlink" Target="mailto:rjessicaalejandra691@gmail.com" TargetMode="External"/><Relationship Id="rId70" Type="http://schemas.openxmlformats.org/officeDocument/2006/relationships/hyperlink" Target="mailto:lauhenao9612@gmail.com" TargetMode="External"/><Relationship Id="rId91" Type="http://schemas.openxmlformats.org/officeDocument/2006/relationships/hyperlink" Target="mailto:tatmontoya1999@gmail.com" TargetMode="External"/><Relationship Id="rId145" Type="http://schemas.openxmlformats.org/officeDocument/2006/relationships/hyperlink" Target="mailto:oscarruruana0@gmail.com" TargetMode="External"/><Relationship Id="rId166" Type="http://schemas.openxmlformats.org/officeDocument/2006/relationships/hyperlink" Target="mailto:interfronterasfacturas@gmail.com" TargetMode="External"/><Relationship Id="rId187" Type="http://schemas.openxmlformats.org/officeDocument/2006/relationships/hyperlink" Target="mailto:ramirezcondeleobeid@gmail.com" TargetMode="External"/><Relationship Id="rId331" Type="http://schemas.openxmlformats.org/officeDocument/2006/relationships/hyperlink" Target="mailto:sandramgh318@gmail.com" TargetMode="External"/><Relationship Id="rId352" Type="http://schemas.openxmlformats.org/officeDocument/2006/relationships/hyperlink" Target="mailto:lg7093835@gmail.com" TargetMode="External"/><Relationship Id="rId373" Type="http://schemas.openxmlformats.org/officeDocument/2006/relationships/hyperlink" Target="mailto:jorgedanielpinzonsalazar@gmail.com" TargetMode="External"/><Relationship Id="rId394" Type="http://schemas.openxmlformats.org/officeDocument/2006/relationships/hyperlink" Target="mailto:maicolsanchez12001@gmail.com" TargetMode="External"/><Relationship Id="rId408" Type="http://schemas.openxmlformats.org/officeDocument/2006/relationships/hyperlink" Target="mailto:sergiogrisaleses@gmail.com" TargetMode="External"/><Relationship Id="rId429" Type="http://schemas.openxmlformats.org/officeDocument/2006/relationships/hyperlink" Target="mailto:camilobaloncesto.13@gmail.com" TargetMode="External"/><Relationship Id="rId1" Type="http://schemas.openxmlformats.org/officeDocument/2006/relationships/hyperlink" Target="mailto:lauravidales165@gmail.com" TargetMode="External"/><Relationship Id="rId212" Type="http://schemas.openxmlformats.org/officeDocument/2006/relationships/hyperlink" Target="mailto:jmba2835@gmail.com" TargetMode="External"/><Relationship Id="rId233" Type="http://schemas.openxmlformats.org/officeDocument/2006/relationships/hyperlink" Target="mailto:gonzalezmariajose8967@gmail.com" TargetMode="External"/><Relationship Id="rId254" Type="http://schemas.openxmlformats.org/officeDocument/2006/relationships/hyperlink" Target="mailto:samuelithogutierrez@gmail.com" TargetMode="External"/><Relationship Id="rId440" Type="http://schemas.openxmlformats.org/officeDocument/2006/relationships/hyperlink" Target="mailto:mayd08415@gmail.com" TargetMode="External"/><Relationship Id="rId28" Type="http://schemas.openxmlformats.org/officeDocument/2006/relationships/hyperlink" Target="mailto:polaniamartinez0125@gmail.com" TargetMode="External"/><Relationship Id="rId49" Type="http://schemas.openxmlformats.org/officeDocument/2006/relationships/hyperlink" Target="mailto:faisuiorozco@icloud.com" TargetMode="External"/><Relationship Id="rId114" Type="http://schemas.openxmlformats.org/officeDocument/2006/relationships/hyperlink" Target="mailto:florezperezn.11@hotmail.com" TargetMode="External"/><Relationship Id="rId275" Type="http://schemas.openxmlformats.org/officeDocument/2006/relationships/hyperlink" Target="mailto:rubiojuansebastian03@gmail.com" TargetMode="External"/><Relationship Id="rId296" Type="http://schemas.openxmlformats.org/officeDocument/2006/relationships/hyperlink" Target="mailto:luci-2335@hotmail.com" TargetMode="External"/><Relationship Id="rId300" Type="http://schemas.openxmlformats.org/officeDocument/2006/relationships/hyperlink" Target="mailto:lg7909686@gmail.com" TargetMode="External"/><Relationship Id="rId60" Type="http://schemas.openxmlformats.org/officeDocument/2006/relationships/hyperlink" Target="mailto:oscargarciaduque1958@gmail.com" TargetMode="External"/><Relationship Id="rId81" Type="http://schemas.openxmlformats.org/officeDocument/2006/relationships/hyperlink" Target="mailto:letradorodriguezj6@gmail.com" TargetMode="External"/><Relationship Id="rId135" Type="http://schemas.openxmlformats.org/officeDocument/2006/relationships/hyperlink" Target="mailto:luzadrianaguevara83@gmail.com" TargetMode="External"/><Relationship Id="rId156" Type="http://schemas.openxmlformats.org/officeDocument/2006/relationships/hyperlink" Target="mailto:arboledapaola@gmail.com" TargetMode="External"/><Relationship Id="rId177" Type="http://schemas.openxmlformats.org/officeDocument/2006/relationships/hyperlink" Target="mailto:interfronterasfacturas@gmail.com" TargetMode="External"/><Relationship Id="rId198" Type="http://schemas.openxmlformats.org/officeDocument/2006/relationships/hyperlink" Target="mailto:juliiimartinezl@gmail.com" TargetMode="External"/><Relationship Id="rId321" Type="http://schemas.openxmlformats.org/officeDocument/2006/relationships/hyperlink" Target="mailto:nellylilianah@gmail.com" TargetMode="External"/><Relationship Id="rId342" Type="http://schemas.openxmlformats.org/officeDocument/2006/relationships/hyperlink" Target="mailto:mariatf@gmail.com" TargetMode="External"/><Relationship Id="rId363" Type="http://schemas.openxmlformats.org/officeDocument/2006/relationships/hyperlink" Target="mailto:martinezvanegaserika@gmail.com" TargetMode="External"/><Relationship Id="rId384" Type="http://schemas.openxmlformats.org/officeDocument/2006/relationships/hyperlink" Target="mailto:gonzojav74@gmail.com" TargetMode="External"/><Relationship Id="rId419" Type="http://schemas.openxmlformats.org/officeDocument/2006/relationships/hyperlink" Target="mailto:interfronterasfacturas@gmail.com" TargetMode="External"/><Relationship Id="rId202" Type="http://schemas.openxmlformats.org/officeDocument/2006/relationships/hyperlink" Target="mailto:interfronterasfacturas@gmail.com" TargetMode="External"/><Relationship Id="rId223" Type="http://schemas.openxmlformats.org/officeDocument/2006/relationships/hyperlink" Target="mailto:cmilebr19@gmail.com" TargetMode="External"/><Relationship Id="rId244" Type="http://schemas.openxmlformats.org/officeDocument/2006/relationships/hyperlink" Target="mailto:angelicanartinezam2019@gmail.com" TargetMode="External"/><Relationship Id="rId430" Type="http://schemas.openxmlformats.org/officeDocument/2006/relationships/hyperlink" Target="mailto:doramilenabuitrago@gmail.com" TargetMode="External"/><Relationship Id="rId18" Type="http://schemas.openxmlformats.org/officeDocument/2006/relationships/hyperlink" Target="mailto:alejandrasofia716@gmail.com" TargetMode="External"/><Relationship Id="rId39" Type="http://schemas.openxmlformats.org/officeDocument/2006/relationships/hyperlink" Target="mailto:jesusilfredo@gmail.com" TargetMode="External"/><Relationship Id="rId265" Type="http://schemas.openxmlformats.org/officeDocument/2006/relationships/hyperlink" Target="mailto:nasamo09@hotmail.com" TargetMode="External"/><Relationship Id="rId286" Type="http://schemas.openxmlformats.org/officeDocument/2006/relationships/hyperlink" Target="mailto:ayate480@gmail.com" TargetMode="External"/><Relationship Id="rId451" Type="http://schemas.openxmlformats.org/officeDocument/2006/relationships/hyperlink" Target="mailto:doritm.041014@gmail.com" TargetMode="External"/><Relationship Id="rId50" Type="http://schemas.openxmlformats.org/officeDocument/2006/relationships/hyperlink" Target="mailto:lauramarcelaramoslopez@gmail.com" TargetMode="External"/><Relationship Id="rId104" Type="http://schemas.openxmlformats.org/officeDocument/2006/relationships/hyperlink" Target="mailto:jakelineleon18@gmail.com" TargetMode="External"/><Relationship Id="rId125" Type="http://schemas.openxmlformats.org/officeDocument/2006/relationships/hyperlink" Target="mailto:karen04plazas@gmail.com" TargetMode="External"/><Relationship Id="rId146" Type="http://schemas.openxmlformats.org/officeDocument/2006/relationships/hyperlink" Target="mailto:rosamirillo28@gmail.com" TargetMode="External"/><Relationship Id="rId167" Type="http://schemas.openxmlformats.org/officeDocument/2006/relationships/hyperlink" Target="mailto:checo123092@hotmail.com" TargetMode="External"/><Relationship Id="rId188" Type="http://schemas.openxmlformats.org/officeDocument/2006/relationships/hyperlink" Target="mailto:luzamparo888@gmail.com" TargetMode="External"/><Relationship Id="rId311" Type="http://schemas.openxmlformats.org/officeDocument/2006/relationships/hyperlink" Target="mailto:sadatdavidgrisales@gmail.com" TargetMode="External"/><Relationship Id="rId332" Type="http://schemas.openxmlformats.org/officeDocument/2006/relationships/hyperlink" Target="mailto:teresitahernandez1361@gmail.com" TargetMode="External"/><Relationship Id="rId353" Type="http://schemas.openxmlformats.org/officeDocument/2006/relationships/hyperlink" Target="mailto:yasod2009@hotmail.com" TargetMode="External"/><Relationship Id="rId374" Type="http://schemas.openxmlformats.org/officeDocument/2006/relationships/hyperlink" Target="mailto:malcarestrepo@gmail.com" TargetMode="External"/><Relationship Id="rId395" Type="http://schemas.openxmlformats.org/officeDocument/2006/relationships/hyperlink" Target="mailto:orteganubia75@gmail.com" TargetMode="External"/><Relationship Id="rId409" Type="http://schemas.openxmlformats.org/officeDocument/2006/relationships/hyperlink" Target="mailto:julianaarias610@gmail.com" TargetMode="External"/><Relationship Id="rId71" Type="http://schemas.openxmlformats.org/officeDocument/2006/relationships/hyperlink" Target="mailto:jorgemcroa228@gmail.com" TargetMode="External"/><Relationship Id="rId92" Type="http://schemas.openxmlformats.org/officeDocument/2006/relationships/hyperlink" Target="mailto:islenamartinezrodriguez0@gmail.com" TargetMode="External"/><Relationship Id="rId213" Type="http://schemas.openxmlformats.org/officeDocument/2006/relationships/hyperlink" Target="mailto:interfronterasfacturas@gmail.com" TargetMode="External"/><Relationship Id="rId234" Type="http://schemas.openxmlformats.org/officeDocument/2006/relationships/hyperlink" Target="mailto:samantacastro595@gmail.com" TargetMode="External"/><Relationship Id="rId420" Type="http://schemas.openxmlformats.org/officeDocument/2006/relationships/hyperlink" Target="mailto:qui.administrador@jardinesdelrenacer.com" TargetMode="External"/><Relationship Id="rId2" Type="http://schemas.openxmlformats.org/officeDocument/2006/relationships/hyperlink" Target="mailto:hamiltonms822@gmail.com" TargetMode="External"/><Relationship Id="rId29" Type="http://schemas.openxmlformats.org/officeDocument/2006/relationships/hyperlink" Target="mailto:anthonysuarezrivas77@gmail.com" TargetMode="External"/><Relationship Id="rId255" Type="http://schemas.openxmlformats.org/officeDocument/2006/relationships/hyperlink" Target="mailto:arcangelberdugo@gmail.com" TargetMode="External"/><Relationship Id="rId276" Type="http://schemas.openxmlformats.org/officeDocument/2006/relationships/hyperlink" Target="mailto:ceron1523@gmail.com" TargetMode="External"/><Relationship Id="rId297" Type="http://schemas.openxmlformats.org/officeDocument/2006/relationships/hyperlink" Target="mailto:angelrodrigueztangarife@gmail.com" TargetMode="External"/><Relationship Id="rId441" Type="http://schemas.openxmlformats.org/officeDocument/2006/relationships/hyperlink" Target="mailto:cootragen@yahoo.es" TargetMode="External"/><Relationship Id="rId40" Type="http://schemas.openxmlformats.org/officeDocument/2006/relationships/hyperlink" Target="mailto:londonolina72@gmail.com" TargetMode="External"/><Relationship Id="rId115" Type="http://schemas.openxmlformats.org/officeDocument/2006/relationships/hyperlink" Target="mailto:fandres8989@gmail.com" TargetMode="External"/><Relationship Id="rId136" Type="http://schemas.openxmlformats.org/officeDocument/2006/relationships/hyperlink" Target="mailto:sanmisamo@gmail.com" TargetMode="External"/><Relationship Id="rId157" Type="http://schemas.openxmlformats.org/officeDocument/2006/relationships/hyperlink" Target="mailto:loregonza2201@gmail.com" TargetMode="External"/><Relationship Id="rId178" Type="http://schemas.openxmlformats.org/officeDocument/2006/relationships/hyperlink" Target="mailto:darlyhenao123@gmail.com" TargetMode="External"/><Relationship Id="rId301" Type="http://schemas.openxmlformats.org/officeDocument/2006/relationships/hyperlink" Target="mailto:jessi_k-0623@hotmail.com" TargetMode="External"/><Relationship Id="rId322" Type="http://schemas.openxmlformats.org/officeDocument/2006/relationships/hyperlink" Target="mailto:cubillosmaria30@gmail.com" TargetMode="External"/><Relationship Id="rId343" Type="http://schemas.openxmlformats.org/officeDocument/2006/relationships/hyperlink" Target="mailto:avellanedanatalia72@gmail.com" TargetMode="External"/><Relationship Id="rId364" Type="http://schemas.openxmlformats.org/officeDocument/2006/relationships/hyperlink" Target="mailto:nancy-janeth35@hotmail.com" TargetMode="External"/><Relationship Id="rId61" Type="http://schemas.openxmlformats.org/officeDocument/2006/relationships/hyperlink" Target="mailto:sarahmupri@gmail.com" TargetMode="External"/><Relationship Id="rId82" Type="http://schemas.openxmlformats.org/officeDocument/2006/relationships/hyperlink" Target="mailto:xiomirendon11@gmail.com" TargetMode="External"/><Relationship Id="rId199" Type="http://schemas.openxmlformats.org/officeDocument/2006/relationships/hyperlink" Target="mailto:alvaresvalen16@gmail.com" TargetMode="External"/><Relationship Id="rId203" Type="http://schemas.openxmlformats.org/officeDocument/2006/relationships/hyperlink" Target="mailto:marinasalar2345@gmail.com" TargetMode="External"/><Relationship Id="rId385" Type="http://schemas.openxmlformats.org/officeDocument/2006/relationships/hyperlink" Target="mailto:erikaalejandrarodriguez342@gmail.com" TargetMode="External"/><Relationship Id="rId19" Type="http://schemas.openxmlformats.org/officeDocument/2006/relationships/hyperlink" Target="mailto:herreraluzdary681@gmail.com" TargetMode="External"/><Relationship Id="rId224" Type="http://schemas.openxmlformats.org/officeDocument/2006/relationships/hyperlink" Target="mailto:garciaog4282223@gmail.com" TargetMode="External"/><Relationship Id="rId245" Type="http://schemas.openxmlformats.org/officeDocument/2006/relationships/hyperlink" Target="mailto:kliseth_17@hotmail.com" TargetMode="External"/><Relationship Id="rId266" Type="http://schemas.openxmlformats.org/officeDocument/2006/relationships/hyperlink" Target="mailto:kncardona2@gmail.com" TargetMode="External"/><Relationship Id="rId287" Type="http://schemas.openxmlformats.org/officeDocument/2006/relationships/hyperlink" Target="mailto:sofiagaray1983@gmail.com" TargetMode="External"/><Relationship Id="rId410" Type="http://schemas.openxmlformats.org/officeDocument/2006/relationships/hyperlink" Target="mailto:juancamilok@gmail.com" TargetMode="External"/><Relationship Id="rId431" Type="http://schemas.openxmlformats.org/officeDocument/2006/relationships/hyperlink" Target="mailto:heydimedinap3@gmail.com" TargetMode="External"/><Relationship Id="rId452" Type="http://schemas.openxmlformats.org/officeDocument/2006/relationships/hyperlink" Target="mailto:yuridiaz3510@gmail.com" TargetMode="External"/><Relationship Id="rId30" Type="http://schemas.openxmlformats.org/officeDocument/2006/relationships/hyperlink" Target="mailto:cristianrendon379@gmail.com" TargetMode="External"/><Relationship Id="rId105" Type="http://schemas.openxmlformats.org/officeDocument/2006/relationships/hyperlink" Target="mailto:martalilianamartinezgamboa@gmail.com" TargetMode="External"/><Relationship Id="rId126" Type="http://schemas.openxmlformats.org/officeDocument/2006/relationships/hyperlink" Target="mailto:corralesvalencialuz@gmail.com" TargetMode="External"/><Relationship Id="rId147" Type="http://schemas.openxmlformats.org/officeDocument/2006/relationships/hyperlink" Target="mailto:sandraliliana745@gmail.com" TargetMode="External"/><Relationship Id="rId168" Type="http://schemas.openxmlformats.org/officeDocument/2006/relationships/hyperlink" Target="mailto:i-beth85@hotmail.com" TargetMode="External"/><Relationship Id="rId312" Type="http://schemas.openxmlformats.org/officeDocument/2006/relationships/hyperlink" Target="mailto:deisygarciaparra932@gmail.com" TargetMode="External"/><Relationship Id="rId333" Type="http://schemas.openxmlformats.org/officeDocument/2006/relationships/hyperlink" Target="mailto:aliciaarcas2017@gmail.com" TargetMode="External"/><Relationship Id="rId354" Type="http://schemas.openxmlformats.org/officeDocument/2006/relationships/hyperlink" Target="mailto:yg173690@gmail.com" TargetMode="External"/><Relationship Id="rId51" Type="http://schemas.openxmlformats.org/officeDocument/2006/relationships/hyperlink" Target="mailto:camilohenao972@gmail.com" TargetMode="External"/><Relationship Id="rId72" Type="http://schemas.openxmlformats.org/officeDocument/2006/relationships/hyperlink" Target="mailto:ingridosorio3121@gmail.com" TargetMode="External"/><Relationship Id="rId93" Type="http://schemas.openxmlformats.org/officeDocument/2006/relationships/hyperlink" Target="mailto:riascosangie052@gmail.com" TargetMode="External"/><Relationship Id="rId189" Type="http://schemas.openxmlformats.org/officeDocument/2006/relationships/hyperlink" Target="mailto:mafebiola1967@hotmail.com" TargetMode="External"/><Relationship Id="rId375" Type="http://schemas.openxmlformats.org/officeDocument/2006/relationships/hyperlink" Target="mailto:lucianaflorezhincapie@gmail.com" TargetMode="External"/><Relationship Id="rId396" Type="http://schemas.openxmlformats.org/officeDocument/2006/relationships/hyperlink" Target="mailto:johanaarango64@gmail.com" TargetMode="External"/><Relationship Id="rId3" Type="http://schemas.openxmlformats.org/officeDocument/2006/relationships/hyperlink" Target="mailto:ferurrego3@gmail.com" TargetMode="External"/><Relationship Id="rId214" Type="http://schemas.openxmlformats.org/officeDocument/2006/relationships/hyperlink" Target="mailto:erikajulithvelasquez@gmail.com" TargetMode="External"/><Relationship Id="rId235" Type="http://schemas.openxmlformats.org/officeDocument/2006/relationships/hyperlink" Target="mailto:vivianaguilera1300@hotmail.com" TargetMode="External"/><Relationship Id="rId256" Type="http://schemas.openxmlformats.org/officeDocument/2006/relationships/hyperlink" Target="mailto:jhonalexandergiraldobustos@gmail.com" TargetMode="External"/><Relationship Id="rId277" Type="http://schemas.openxmlformats.org/officeDocument/2006/relationships/hyperlink" Target="mailto:interfronterasfacturas@gmail.com" TargetMode="External"/><Relationship Id="rId298" Type="http://schemas.openxmlformats.org/officeDocument/2006/relationships/hyperlink" Target="mailto:lucy-2335@hotmail.com" TargetMode="External"/><Relationship Id="rId400" Type="http://schemas.openxmlformats.org/officeDocument/2006/relationships/hyperlink" Target="mailto:noreimistorres88@gmail.com" TargetMode="External"/><Relationship Id="rId421" Type="http://schemas.openxmlformats.org/officeDocument/2006/relationships/hyperlink" Target="mailto:aphm78@gmail.com" TargetMode="External"/><Relationship Id="rId442" Type="http://schemas.openxmlformats.org/officeDocument/2006/relationships/hyperlink" Target="mailto:cindypbernal@gmail.com" TargetMode="External"/><Relationship Id="rId116" Type="http://schemas.openxmlformats.org/officeDocument/2006/relationships/hyperlink" Target="mailto:mayersal2003@gmail.com" TargetMode="External"/><Relationship Id="rId137" Type="http://schemas.openxmlformats.org/officeDocument/2006/relationships/hyperlink" Target="mailto:maale9304@gmail.com" TargetMode="External"/><Relationship Id="rId158" Type="http://schemas.openxmlformats.org/officeDocument/2006/relationships/hyperlink" Target="mailto:jilianro2120@gmail.com" TargetMode="External"/><Relationship Id="rId302" Type="http://schemas.openxmlformats.org/officeDocument/2006/relationships/hyperlink" Target="mailto:interfronterasfacturas@gmail.com" TargetMode="External"/><Relationship Id="rId323" Type="http://schemas.openxmlformats.org/officeDocument/2006/relationships/hyperlink" Target="mailto:nelsyisabelbenitezabril@gmail.com" TargetMode="External"/><Relationship Id="rId344" Type="http://schemas.openxmlformats.org/officeDocument/2006/relationships/hyperlink" Target="mailto:farfan2006@gmail.com" TargetMode="External"/><Relationship Id="rId20" Type="http://schemas.openxmlformats.org/officeDocument/2006/relationships/hyperlink" Target="mailto:amonsalve922@gmail.com" TargetMode="External"/><Relationship Id="rId41" Type="http://schemas.openxmlformats.org/officeDocument/2006/relationships/hyperlink" Target="mailto:huverivanocampo@gmail.com" TargetMode="External"/><Relationship Id="rId62" Type="http://schemas.openxmlformats.org/officeDocument/2006/relationships/hyperlink" Target="mailto:daza1965alberto@gmail.com" TargetMode="External"/><Relationship Id="rId83" Type="http://schemas.openxmlformats.org/officeDocument/2006/relationships/hyperlink" Target="mailto:juliandres661@gmail.com" TargetMode="External"/><Relationship Id="rId179" Type="http://schemas.openxmlformats.org/officeDocument/2006/relationships/hyperlink" Target="mailto:vivicruzfe296@gmail.com" TargetMode="External"/><Relationship Id="rId365" Type="http://schemas.openxmlformats.org/officeDocument/2006/relationships/hyperlink" Target="mailto:mareum2002@gmail.com" TargetMode="External"/><Relationship Id="rId386" Type="http://schemas.openxmlformats.org/officeDocument/2006/relationships/hyperlink" Target="mailto:gilintonmaringarcia924@gmail.com" TargetMode="External"/><Relationship Id="rId190" Type="http://schemas.openxmlformats.org/officeDocument/2006/relationships/hyperlink" Target="mailto:yennylopez2506@gmail.com" TargetMode="External"/><Relationship Id="rId204" Type="http://schemas.openxmlformats.org/officeDocument/2006/relationships/hyperlink" Target="mailto:parroquiasanjosegenova@gmail.com" TargetMode="External"/><Relationship Id="rId225" Type="http://schemas.openxmlformats.org/officeDocument/2006/relationships/hyperlink" Target="mailto:natalia.giraldo@hotmail.com" TargetMode="External"/><Relationship Id="rId246" Type="http://schemas.openxmlformats.org/officeDocument/2006/relationships/hyperlink" Target="mailto:mariadaney@hotmail.com" TargetMode="External"/><Relationship Id="rId267" Type="http://schemas.openxmlformats.org/officeDocument/2006/relationships/hyperlink" Target="mailto:danielhenao1234567@gmail.com" TargetMode="External"/><Relationship Id="rId288" Type="http://schemas.openxmlformats.org/officeDocument/2006/relationships/hyperlink" Target="mailto:rluz00170@gmail.com" TargetMode="External"/><Relationship Id="rId411" Type="http://schemas.openxmlformats.org/officeDocument/2006/relationships/hyperlink" Target="mailto:gerardovelezsanches@gmail.com" TargetMode="External"/><Relationship Id="rId432" Type="http://schemas.openxmlformats.org/officeDocument/2006/relationships/hyperlink" Target="mailto:liceobejaranojimenez@gmail.com" TargetMode="External"/><Relationship Id="rId453" Type="http://schemas.openxmlformats.org/officeDocument/2006/relationships/hyperlink" Target="mailto:tangarifedaniela@gmail.com" TargetMode="External"/><Relationship Id="rId106" Type="http://schemas.openxmlformats.org/officeDocument/2006/relationships/hyperlink" Target="mailto:coraimaquiroz44@gmail.com" TargetMode="External"/><Relationship Id="rId127" Type="http://schemas.openxmlformats.org/officeDocument/2006/relationships/hyperlink" Target="mailto:piedrahitadaniela323@gmail.com" TargetMode="External"/><Relationship Id="rId313" Type="http://schemas.openxmlformats.org/officeDocument/2006/relationships/hyperlink" Target="mailto:sacama0305@gmail.com" TargetMode="External"/><Relationship Id="rId10" Type="http://schemas.openxmlformats.org/officeDocument/2006/relationships/hyperlink" Target="mailto:suareztrejoscarlos@gmail.com" TargetMode="External"/><Relationship Id="rId31" Type="http://schemas.openxmlformats.org/officeDocument/2006/relationships/hyperlink" Target="mailto:luisdolorzano450@gmail.com" TargetMode="External"/><Relationship Id="rId52" Type="http://schemas.openxmlformats.org/officeDocument/2006/relationships/hyperlink" Target="mailto:dianamonart2020@gmail.com" TargetMode="External"/><Relationship Id="rId73" Type="http://schemas.openxmlformats.org/officeDocument/2006/relationships/hyperlink" Target="mailto:cortesmary559@gmail.com" TargetMode="External"/><Relationship Id="rId94" Type="http://schemas.openxmlformats.org/officeDocument/2006/relationships/hyperlink" Target="mailto:davidbarrerao51294@gmail.com" TargetMode="External"/><Relationship Id="rId148" Type="http://schemas.openxmlformats.org/officeDocument/2006/relationships/hyperlink" Target="mailto:edwinadrianarboledadiaz@gmail.com" TargetMode="External"/><Relationship Id="rId169" Type="http://schemas.openxmlformats.org/officeDocument/2006/relationships/hyperlink" Target="mailto:interfronterasfacturas@gmail.com" TargetMode="External"/><Relationship Id="rId334" Type="http://schemas.openxmlformats.org/officeDocument/2006/relationships/hyperlink" Target="mailto:roseliatovar123@gmail.com" TargetMode="External"/><Relationship Id="rId355" Type="http://schemas.openxmlformats.org/officeDocument/2006/relationships/hyperlink" Target="mailto:calvarezr@uqvirtual.edu.co" TargetMode="External"/><Relationship Id="rId376" Type="http://schemas.openxmlformats.org/officeDocument/2006/relationships/hyperlink" Target="mailto:jarolestiven123@gmail.com" TargetMode="External"/><Relationship Id="rId397" Type="http://schemas.openxmlformats.org/officeDocument/2006/relationships/hyperlink" Target="mailto:johans.sepulvedag@uqvirtual.edu.co" TargetMode="External"/><Relationship Id="rId4" Type="http://schemas.openxmlformats.org/officeDocument/2006/relationships/hyperlink" Target="mailto:marlequintero_20@gmail.com" TargetMode="External"/><Relationship Id="rId180" Type="http://schemas.openxmlformats.org/officeDocument/2006/relationships/hyperlink" Target="mailto:lidatoro15@gmail.com" TargetMode="External"/><Relationship Id="rId215" Type="http://schemas.openxmlformats.org/officeDocument/2006/relationships/hyperlink" Target="mailto:linamedinacastillo@hotmail.com" TargetMode="External"/><Relationship Id="rId236" Type="http://schemas.openxmlformats.org/officeDocument/2006/relationships/hyperlink" Target="mailto:vivianaguilera1300@hotmail.com" TargetMode="External"/><Relationship Id="rId257" Type="http://schemas.openxmlformats.org/officeDocument/2006/relationships/hyperlink" Target="mailto:gloriamurc999@yahoo.com" TargetMode="External"/><Relationship Id="rId278" Type="http://schemas.openxmlformats.org/officeDocument/2006/relationships/hyperlink" Target="mailto:karollsofiagarcia67@gmail.com" TargetMode="External"/><Relationship Id="rId401" Type="http://schemas.openxmlformats.org/officeDocument/2006/relationships/hyperlink" Target="mailto:echeverrysebastian22@gmail.com" TargetMode="External"/><Relationship Id="rId422" Type="http://schemas.openxmlformats.org/officeDocument/2006/relationships/hyperlink" Target="mailto:lucygonzarincon@gmail.com" TargetMode="External"/><Relationship Id="rId443" Type="http://schemas.openxmlformats.org/officeDocument/2006/relationships/hyperlink" Target="mailto:lopezosorioj880@gmail.com" TargetMode="External"/><Relationship Id="rId303" Type="http://schemas.openxmlformats.org/officeDocument/2006/relationships/hyperlink" Target="mailto:yurybueno1103@gmail.com" TargetMode="External"/><Relationship Id="rId42" Type="http://schemas.openxmlformats.org/officeDocument/2006/relationships/hyperlink" Target="mailto:loerenaortegac391@gmail.com" TargetMode="External"/><Relationship Id="rId84" Type="http://schemas.openxmlformats.org/officeDocument/2006/relationships/hyperlink" Target="mailto:deibypulgarin6@gmail.com" TargetMode="External"/><Relationship Id="rId138" Type="http://schemas.openxmlformats.org/officeDocument/2006/relationships/hyperlink" Target="mailto:pedronelcamacho123@gmail.com" TargetMode="External"/><Relationship Id="rId345" Type="http://schemas.openxmlformats.org/officeDocument/2006/relationships/hyperlink" Target="mailto:clavijoagudeloruthmery@gmail.com" TargetMode="External"/><Relationship Id="rId387" Type="http://schemas.openxmlformats.org/officeDocument/2006/relationships/hyperlink" Target="mailto:luisoctavioherrera6@gmail.com" TargetMode="External"/><Relationship Id="rId191" Type="http://schemas.openxmlformats.org/officeDocument/2006/relationships/hyperlink" Target="mailto:dana3106625257@gmail.com" TargetMode="External"/><Relationship Id="rId205" Type="http://schemas.openxmlformats.org/officeDocument/2006/relationships/hyperlink" Target="mailto:lucidecastro718@gmail.com" TargetMode="External"/><Relationship Id="rId247" Type="http://schemas.openxmlformats.org/officeDocument/2006/relationships/hyperlink" Target="mailto:interfronterasfacturas@gmail.com" TargetMode="External"/><Relationship Id="rId412" Type="http://schemas.openxmlformats.org/officeDocument/2006/relationships/hyperlink" Target="mailto:interfronterasfacturas@gmail.com" TargetMode="External"/><Relationship Id="rId107" Type="http://schemas.openxmlformats.org/officeDocument/2006/relationships/hyperlink" Target="mailto:danielgarcia091983@gmail.com" TargetMode="External"/><Relationship Id="rId289" Type="http://schemas.openxmlformats.org/officeDocument/2006/relationships/hyperlink" Target="mailto:dianalisethgomezgonzalez@gmail.com" TargetMode="External"/><Relationship Id="rId454" Type="http://schemas.openxmlformats.org/officeDocument/2006/relationships/hyperlink" Target="mailto:camcahoangienatalia@gmail.com" TargetMode="External"/><Relationship Id="rId11" Type="http://schemas.openxmlformats.org/officeDocument/2006/relationships/hyperlink" Target="mailto:marthaisabelmurillo@hotmail.com" TargetMode="External"/><Relationship Id="rId53" Type="http://schemas.openxmlformats.org/officeDocument/2006/relationships/hyperlink" Target="mailto:olgaluchia742@gmail.com" TargetMode="External"/><Relationship Id="rId149" Type="http://schemas.openxmlformats.org/officeDocument/2006/relationships/hyperlink" Target="mailto:cardonaalexa1997@gmail.com" TargetMode="External"/><Relationship Id="rId314" Type="http://schemas.openxmlformats.org/officeDocument/2006/relationships/hyperlink" Target="mailto:eulaliadelpilare@gmail.com" TargetMode="External"/><Relationship Id="rId356" Type="http://schemas.openxmlformats.org/officeDocument/2006/relationships/hyperlink" Target="mailto:vasquezmariaruby7@gmail.com" TargetMode="External"/><Relationship Id="rId398" Type="http://schemas.openxmlformats.org/officeDocument/2006/relationships/hyperlink" Target="mailto:karegiselletoviedoospina@gmail.com" TargetMode="External"/><Relationship Id="rId95" Type="http://schemas.openxmlformats.org/officeDocument/2006/relationships/hyperlink" Target="mailto:henaoyaidy@gamil.com" TargetMode="External"/><Relationship Id="rId160" Type="http://schemas.openxmlformats.org/officeDocument/2006/relationships/hyperlink" Target="mailto:segovialeidy5678@gmail.com" TargetMode="External"/><Relationship Id="rId216" Type="http://schemas.openxmlformats.org/officeDocument/2006/relationships/hyperlink" Target="mailto:interfronterasfacturas@gmail.com" TargetMode="External"/><Relationship Id="rId423" Type="http://schemas.openxmlformats.org/officeDocument/2006/relationships/hyperlink" Target="mailto:lapaisitalinda09@gmail.com" TargetMode="External"/><Relationship Id="rId258" Type="http://schemas.openxmlformats.org/officeDocument/2006/relationships/hyperlink" Target="mailto:slp.rosero10755724@gmail.com" TargetMode="External"/><Relationship Id="rId22" Type="http://schemas.openxmlformats.org/officeDocument/2006/relationships/hyperlink" Target="mailto:juangonsalez1968@gmail.com" TargetMode="External"/><Relationship Id="rId64" Type="http://schemas.openxmlformats.org/officeDocument/2006/relationships/hyperlink" Target="mailto:gallegolupita27@gmail.com" TargetMode="External"/><Relationship Id="rId118" Type="http://schemas.openxmlformats.org/officeDocument/2006/relationships/hyperlink" Target="mailto:andreaher3120@gmail.com" TargetMode="External"/><Relationship Id="rId325" Type="http://schemas.openxmlformats.org/officeDocument/2006/relationships/hyperlink" Target="mailto:isabelmartha1998@gmail.com" TargetMode="External"/><Relationship Id="rId367" Type="http://schemas.openxmlformats.org/officeDocument/2006/relationships/hyperlink" Target="mailto:analogo18@gmail.com" TargetMode="External"/><Relationship Id="rId171" Type="http://schemas.openxmlformats.org/officeDocument/2006/relationships/hyperlink" Target="mailto:av8958@gmail.com" TargetMode="External"/><Relationship Id="rId227" Type="http://schemas.openxmlformats.org/officeDocument/2006/relationships/hyperlink" Target="mailto:edison.a.rojas.b@gmail.com" TargetMode="External"/><Relationship Id="rId269" Type="http://schemas.openxmlformats.org/officeDocument/2006/relationships/hyperlink" Target="mailto:sanmisamo@gmail.com" TargetMode="External"/><Relationship Id="rId434" Type="http://schemas.openxmlformats.org/officeDocument/2006/relationships/hyperlink" Target="mailto:leninsan96@yahoo.com" TargetMode="External"/><Relationship Id="rId33" Type="http://schemas.openxmlformats.org/officeDocument/2006/relationships/hyperlink" Target="mailto:linamariarestrepo995@gmail.com" TargetMode="External"/><Relationship Id="rId129" Type="http://schemas.openxmlformats.org/officeDocument/2006/relationships/hyperlink" Target="mailto:polochogarzon@gmail.com" TargetMode="External"/><Relationship Id="rId280" Type="http://schemas.openxmlformats.org/officeDocument/2006/relationships/hyperlink" Target="mailto:xiomaracatalinaalca@outlook.es" TargetMode="External"/><Relationship Id="rId336" Type="http://schemas.openxmlformats.org/officeDocument/2006/relationships/hyperlink" Target="mailto:pinedalopezdaniela3@gmail.com" TargetMode="External"/><Relationship Id="rId75" Type="http://schemas.openxmlformats.org/officeDocument/2006/relationships/hyperlink" Target="mailto:pinerosdiego627@gmail.com" TargetMode="External"/><Relationship Id="rId140" Type="http://schemas.openxmlformats.org/officeDocument/2006/relationships/hyperlink" Target="mailto:claudialetrado123040@gmail.com" TargetMode="External"/><Relationship Id="rId182" Type="http://schemas.openxmlformats.org/officeDocument/2006/relationships/hyperlink" Target="mailto:jvelasquezmendez13@gmail.com" TargetMode="External"/><Relationship Id="rId378" Type="http://schemas.openxmlformats.org/officeDocument/2006/relationships/hyperlink" Target="mailto:karmj1@hotmail.com" TargetMode="External"/><Relationship Id="rId403" Type="http://schemas.openxmlformats.org/officeDocument/2006/relationships/hyperlink" Target="mailto:vargasmagaly6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eqr96@hotmail.com" TargetMode="External"/><Relationship Id="rId13" Type="http://schemas.openxmlformats.org/officeDocument/2006/relationships/hyperlink" Target="mailto:christian28martinezg@gmail.com" TargetMode="External"/><Relationship Id="rId18" Type="http://schemas.openxmlformats.org/officeDocument/2006/relationships/hyperlink" Target="mailto:luizethjimenez1988@gmail.com" TargetMode="External"/><Relationship Id="rId26" Type="http://schemas.openxmlformats.org/officeDocument/2006/relationships/hyperlink" Target="mailto:luzhelopa@gmail.com" TargetMode="External"/><Relationship Id="rId39" Type="http://schemas.openxmlformats.org/officeDocument/2006/relationships/hyperlink" Target="mailto:hectorcuellargiraldo0@gmail.com" TargetMode="External"/><Relationship Id="rId3" Type="http://schemas.openxmlformats.org/officeDocument/2006/relationships/hyperlink" Target="mailto:parroquiaelcarmenbuenavista@gmail.com" TargetMode="External"/><Relationship Id="rId21" Type="http://schemas.openxmlformats.org/officeDocument/2006/relationships/hyperlink" Target="mailto:aprietabaratonpaisa@gmail.com" TargetMode="External"/><Relationship Id="rId34" Type="http://schemas.openxmlformats.org/officeDocument/2006/relationships/hyperlink" Target="mailto:superbitesquindio@gmail.com" TargetMode="External"/><Relationship Id="rId42" Type="http://schemas.openxmlformats.org/officeDocument/2006/relationships/hyperlink" Target="mailto:ludari1960@gmail.com" TargetMode="External"/><Relationship Id="rId47" Type="http://schemas.openxmlformats.org/officeDocument/2006/relationships/hyperlink" Target="mailto:andresanchez1029@gmail.com" TargetMode="External"/><Relationship Id="rId7" Type="http://schemas.openxmlformats.org/officeDocument/2006/relationships/hyperlink" Target="mailto:consejo@buenavista-quindio.gov.co" TargetMode="External"/><Relationship Id="rId12" Type="http://schemas.openxmlformats.org/officeDocument/2006/relationships/hyperlink" Target="mailto:rogelioosorio1510@gmail.com" TargetMode="External"/><Relationship Id="rId17" Type="http://schemas.openxmlformats.org/officeDocument/2006/relationships/hyperlink" Target="mailto:amparoarbelaez7@gmail.com" TargetMode="External"/><Relationship Id="rId25" Type="http://schemas.openxmlformats.org/officeDocument/2006/relationships/hyperlink" Target="mailto:interfronterasfacturas@gmail.com" TargetMode="External"/><Relationship Id="rId33" Type="http://schemas.openxmlformats.org/officeDocument/2006/relationships/hyperlink" Target="mailto:fjaneth_83@hotmail.com" TargetMode="External"/><Relationship Id="rId38" Type="http://schemas.openxmlformats.org/officeDocument/2006/relationships/hyperlink" Target="mailto:carmenjulia140987@gmail.com" TargetMode="External"/><Relationship Id="rId46" Type="http://schemas.openxmlformats.org/officeDocument/2006/relationships/hyperlink" Target="mailto:jrioscarrera@gmail.com" TargetMode="External"/><Relationship Id="rId2" Type="http://schemas.openxmlformats.org/officeDocument/2006/relationships/hyperlink" Target="mailto:natalianicolta1108@gmail.com" TargetMode="External"/><Relationship Id="rId16" Type="http://schemas.openxmlformats.org/officeDocument/2006/relationships/hyperlink" Target="mailto:lexajimenezvale@gmail.com" TargetMode="External"/><Relationship Id="rId20" Type="http://schemas.openxmlformats.org/officeDocument/2006/relationships/hyperlink" Target="mailto:aprietabaratonpaisa@gmail.com" TargetMode="External"/><Relationship Id="rId29" Type="http://schemas.openxmlformats.org/officeDocument/2006/relationships/hyperlink" Target="mailto:elianagarses1978@gmail.com" TargetMode="External"/><Relationship Id="rId41" Type="http://schemas.openxmlformats.org/officeDocument/2006/relationships/hyperlink" Target="mailto:clarenagarzon17@gmail.com" TargetMode="External"/><Relationship Id="rId1" Type="http://schemas.openxmlformats.org/officeDocument/2006/relationships/hyperlink" Target="mailto:juliannogue@gmail.com" TargetMode="External"/><Relationship Id="rId6" Type="http://schemas.openxmlformats.org/officeDocument/2006/relationships/hyperlink" Target="mailto:salomeidarramiri@gmail.com" TargetMode="External"/><Relationship Id="rId11" Type="http://schemas.openxmlformats.org/officeDocument/2006/relationships/hyperlink" Target="mailto:interfronterasfacturas@gmail.com" TargetMode="External"/><Relationship Id="rId24" Type="http://schemas.openxmlformats.org/officeDocument/2006/relationships/hyperlink" Target="mailto:paulaosorio191@gmail.com" TargetMode="External"/><Relationship Id="rId32" Type="http://schemas.openxmlformats.org/officeDocument/2006/relationships/hyperlink" Target="mailto:yorledyyvelasquez88@gmail.com" TargetMode="External"/><Relationship Id="rId37" Type="http://schemas.openxmlformats.org/officeDocument/2006/relationships/hyperlink" Target="mailto:juankporras430@gmail.com" TargetMode="External"/><Relationship Id="rId40" Type="http://schemas.openxmlformats.org/officeDocument/2006/relationships/hyperlink" Target="mailto:jair567.antonio@gmail.com" TargetMode="External"/><Relationship Id="rId45" Type="http://schemas.openxmlformats.org/officeDocument/2006/relationships/hyperlink" Target="mailto:anibalcalle498@gmail.com" TargetMode="External"/><Relationship Id="rId5" Type="http://schemas.openxmlformats.org/officeDocument/2006/relationships/hyperlink" Target="mailto:mariarita.buritica@gmail.com" TargetMode="External"/><Relationship Id="rId15" Type="http://schemas.openxmlformats.org/officeDocument/2006/relationships/hyperlink" Target="mailto:carlosh.buenog@uquvirtual.edu.co" TargetMode="External"/><Relationship Id="rId23" Type="http://schemas.openxmlformats.org/officeDocument/2006/relationships/hyperlink" Target="mailto:danielarestrepomoreno72@gmail.com" TargetMode="External"/><Relationship Id="rId28" Type="http://schemas.openxmlformats.org/officeDocument/2006/relationships/hyperlink" Target="mailto:paolaandreaosoriosanchez@gmail.com" TargetMode="External"/><Relationship Id="rId36" Type="http://schemas.openxmlformats.org/officeDocument/2006/relationships/hyperlink" Target="mailto:jhonedward82@hotmail.com" TargetMode="External"/><Relationship Id="rId10" Type="http://schemas.openxmlformats.org/officeDocument/2006/relationships/hyperlink" Target="mailto:gloripersi@hotmail.com" TargetMode="External"/><Relationship Id="rId19" Type="http://schemas.openxmlformats.org/officeDocument/2006/relationships/hyperlink" Target="mailto:maurosjj100@gmail.com" TargetMode="External"/><Relationship Id="rId31" Type="http://schemas.openxmlformats.org/officeDocument/2006/relationships/hyperlink" Target="mailto:johamontoya23@gmail.com" TargetMode="External"/><Relationship Id="rId44" Type="http://schemas.openxmlformats.org/officeDocument/2006/relationships/hyperlink" Target="mailto:aloaiza904@gmail.com" TargetMode="External"/><Relationship Id="rId4" Type="http://schemas.openxmlformats.org/officeDocument/2006/relationships/hyperlink" Target="mailto:interfronterasfacturas@gmail.com" TargetMode="External"/><Relationship Id="rId9" Type="http://schemas.openxmlformats.org/officeDocument/2006/relationships/hyperlink" Target="mailto:gloripersi@hotmail.com" TargetMode="External"/><Relationship Id="rId14" Type="http://schemas.openxmlformats.org/officeDocument/2006/relationships/hyperlink" Target="mailto:c.leme39@hotmail.com" TargetMode="External"/><Relationship Id="rId22" Type="http://schemas.openxmlformats.org/officeDocument/2006/relationships/hyperlink" Target="mailto:interfronterasfacturas@gmail.com" TargetMode="External"/><Relationship Id="rId27" Type="http://schemas.openxmlformats.org/officeDocument/2006/relationships/hyperlink" Target="mailto:gaonasara119@gamil.com" TargetMode="External"/><Relationship Id="rId30" Type="http://schemas.openxmlformats.org/officeDocument/2006/relationships/hyperlink" Target="mailto:moralesjuancamilo98@gmail.com" TargetMode="External"/><Relationship Id="rId35" Type="http://schemas.openxmlformats.org/officeDocument/2006/relationships/hyperlink" Target="mailto:rogelioosorio1510@gmail.com" TargetMode="External"/><Relationship Id="rId43" Type="http://schemas.openxmlformats.org/officeDocument/2006/relationships/hyperlink" Target="mailto:luisfgallon@gmail.com" TargetMode="External"/><Relationship Id="rId48" Type="http://schemas.openxmlformats.org/officeDocument/2006/relationships/hyperlink" Target="mailto:andres.agu47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andrajc1977@gmail.com" TargetMode="External"/><Relationship Id="rId13" Type="http://schemas.openxmlformats.org/officeDocument/2006/relationships/hyperlink" Target="mailto:vallejo@gmail.com" TargetMode="External"/><Relationship Id="rId18" Type="http://schemas.openxmlformats.org/officeDocument/2006/relationships/hyperlink" Target="mailto:ortiznatalia578@gmail.com" TargetMode="External"/><Relationship Id="rId26" Type="http://schemas.openxmlformats.org/officeDocument/2006/relationships/hyperlink" Target="mailto:angelasalinas960@yahoo.com" TargetMode="External"/><Relationship Id="rId39" Type="http://schemas.openxmlformats.org/officeDocument/2006/relationships/hyperlink" Target="mailto:interfronterasfacturas@gmail.com" TargetMode="External"/><Relationship Id="rId3" Type="http://schemas.openxmlformats.org/officeDocument/2006/relationships/hyperlink" Target="mailto:angie.2000.paola.17@gmail.com" TargetMode="External"/><Relationship Id="rId21" Type="http://schemas.openxmlformats.org/officeDocument/2006/relationships/hyperlink" Target="mailto:jairoarizaelretiro@gmail.com" TargetMode="External"/><Relationship Id="rId34" Type="http://schemas.openxmlformats.org/officeDocument/2006/relationships/hyperlink" Target="mailto:alejandromadrone@gmail.com" TargetMode="External"/><Relationship Id="rId42" Type="http://schemas.openxmlformats.org/officeDocument/2006/relationships/hyperlink" Target="mailto:maricelagd_17@gmail.com" TargetMode="External"/><Relationship Id="rId7" Type="http://schemas.openxmlformats.org/officeDocument/2006/relationships/hyperlink" Target="mailto:interfronterasfacturas@gmail.com" TargetMode="External"/><Relationship Id="rId12" Type="http://schemas.openxmlformats.org/officeDocument/2006/relationships/hyperlink" Target="mailto:maot200@gmail.com" TargetMode="External"/><Relationship Id="rId17" Type="http://schemas.openxmlformats.org/officeDocument/2006/relationships/hyperlink" Target="mailto:pool.fenix.fs@gmail.com" TargetMode="External"/><Relationship Id="rId25" Type="http://schemas.openxmlformats.org/officeDocument/2006/relationships/hyperlink" Target="mailto:derago922@gmail.com" TargetMode="External"/><Relationship Id="rId33" Type="http://schemas.openxmlformats.org/officeDocument/2006/relationships/hyperlink" Target="mailto:juliansantosruiz89@gmail.com" TargetMode="External"/><Relationship Id="rId38" Type="http://schemas.openxmlformats.org/officeDocument/2006/relationships/hyperlink" Target="mailto:claudialon14@gmail.com" TargetMode="External"/><Relationship Id="rId2" Type="http://schemas.openxmlformats.org/officeDocument/2006/relationships/hyperlink" Target="mailto:interfronterasfacturas@gmail.com" TargetMode="External"/><Relationship Id="rId16" Type="http://schemas.openxmlformats.org/officeDocument/2006/relationships/hyperlink" Target="mailto:interfronterasfacturas@gmail.com" TargetMode="External"/><Relationship Id="rId20" Type="http://schemas.openxmlformats.org/officeDocument/2006/relationships/hyperlink" Target="mailto:osoriomarcela990@gmail.com" TargetMode="External"/><Relationship Id="rId29" Type="http://schemas.openxmlformats.org/officeDocument/2006/relationships/hyperlink" Target="mailto:immurillo2372@gmail.com" TargetMode="External"/><Relationship Id="rId41" Type="http://schemas.openxmlformats.org/officeDocument/2006/relationships/hyperlink" Target="mailto:yefersongarciaospina@gmail.com" TargetMode="External"/><Relationship Id="rId1" Type="http://schemas.openxmlformats.org/officeDocument/2006/relationships/hyperlink" Target="mailto:alemano_2@live.com" TargetMode="External"/><Relationship Id="rId6" Type="http://schemas.openxmlformats.org/officeDocument/2006/relationships/hyperlink" Target="mailto:glolili2009@gmail.com" TargetMode="External"/><Relationship Id="rId11" Type="http://schemas.openxmlformats.org/officeDocument/2006/relationships/hyperlink" Target="mailto:orlandoantonio.marin1@hotmail.com" TargetMode="External"/><Relationship Id="rId24" Type="http://schemas.openxmlformats.org/officeDocument/2006/relationships/hyperlink" Target="mailto:nidia.pelaezarawi@gmail.com" TargetMode="External"/><Relationship Id="rId32" Type="http://schemas.openxmlformats.org/officeDocument/2006/relationships/hyperlink" Target="mailto:pazzuletajefferson@gmail.com" TargetMode="External"/><Relationship Id="rId37" Type="http://schemas.openxmlformats.org/officeDocument/2006/relationships/hyperlink" Target="mailto:interfronterasfacturas@gmail.com" TargetMode="External"/><Relationship Id="rId40" Type="http://schemas.openxmlformats.org/officeDocument/2006/relationships/hyperlink" Target="mailto:ig5618672@gmail.xom" TargetMode="External"/><Relationship Id="rId45" Type="http://schemas.openxmlformats.org/officeDocument/2006/relationships/printerSettings" Target="../printerSettings/printerSettings2.bin"/><Relationship Id="rId5" Type="http://schemas.openxmlformats.org/officeDocument/2006/relationships/hyperlink" Target="mailto:geraldineyerika@gmail.com" TargetMode="External"/><Relationship Id="rId15" Type="http://schemas.openxmlformats.org/officeDocument/2006/relationships/hyperlink" Target="mailto:lorenagil442@gmail.com" TargetMode="External"/><Relationship Id="rId23" Type="http://schemas.openxmlformats.org/officeDocument/2006/relationships/hyperlink" Target="mailto:garciaosoriojorgealirio@gmail.com" TargetMode="External"/><Relationship Id="rId28" Type="http://schemas.openxmlformats.org/officeDocument/2006/relationships/hyperlink" Target="mailto:interfronterasfacturas@gmail.com" TargetMode="External"/><Relationship Id="rId36" Type="http://schemas.openxmlformats.org/officeDocument/2006/relationships/hyperlink" Target="mailto:luiscarloscardona227@gmail.com" TargetMode="External"/><Relationship Id="rId10" Type="http://schemas.openxmlformats.org/officeDocument/2006/relationships/hyperlink" Target="mailto:mariaedymartinez79@gmail.com" TargetMode="External"/><Relationship Id="rId19" Type="http://schemas.openxmlformats.org/officeDocument/2006/relationships/hyperlink" Target="mailto:interfronterasfacturas@gmail.com" TargetMode="External"/><Relationship Id="rId31" Type="http://schemas.openxmlformats.org/officeDocument/2006/relationships/hyperlink" Target="mailto:lurdessernaf@gmail.com" TargetMode="External"/><Relationship Id="rId44" Type="http://schemas.openxmlformats.org/officeDocument/2006/relationships/hyperlink" Target="mailto:montoyamarledy767@gmail.com" TargetMode="External"/><Relationship Id="rId4" Type="http://schemas.openxmlformats.org/officeDocument/2006/relationships/hyperlink" Target="mailto:arlexgiraldo215@gmail.com" TargetMode="External"/><Relationship Id="rId9" Type="http://schemas.openxmlformats.org/officeDocument/2006/relationships/hyperlink" Target="mailto:luisenriqueoliveratorres@hotmail.com" TargetMode="External"/><Relationship Id="rId14" Type="http://schemas.openxmlformats.org/officeDocument/2006/relationships/hyperlink" Target="mailto:yennymoraceballos@gmail.com" TargetMode="External"/><Relationship Id="rId22" Type="http://schemas.openxmlformats.org/officeDocument/2006/relationships/hyperlink" Target="mailto:canocarloseduardo6@gmail.com" TargetMode="External"/><Relationship Id="rId27" Type="http://schemas.openxmlformats.org/officeDocument/2006/relationships/hyperlink" Target="mailto:luisan789899@gmail.com" TargetMode="External"/><Relationship Id="rId30" Type="http://schemas.openxmlformats.org/officeDocument/2006/relationships/hyperlink" Target="mailto:arcilajeferson4@gmail.com" TargetMode="External"/><Relationship Id="rId35" Type="http://schemas.openxmlformats.org/officeDocument/2006/relationships/hyperlink" Target="mailto:arcilajeferson4@gmail.com" TargetMode="External"/><Relationship Id="rId43" Type="http://schemas.openxmlformats.org/officeDocument/2006/relationships/hyperlink" Target="mailto:avascomira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interfronterasfacturas@gmail.com" TargetMode="External"/><Relationship Id="rId13" Type="http://schemas.openxmlformats.org/officeDocument/2006/relationships/hyperlink" Target="mailto:edilopez1995@gmail.com" TargetMode="External"/><Relationship Id="rId18" Type="http://schemas.openxmlformats.org/officeDocument/2006/relationships/hyperlink" Target="mailto:edwar-1985@hotmail.com" TargetMode="External"/><Relationship Id="rId26" Type="http://schemas.openxmlformats.org/officeDocument/2006/relationships/hyperlink" Target="mailto:interfronterasfacturas@gmail.com" TargetMode="External"/><Relationship Id="rId39" Type="http://schemas.openxmlformats.org/officeDocument/2006/relationships/hyperlink" Target="mailto:rendonjohan8@gmail.com" TargetMode="External"/><Relationship Id="rId3" Type="http://schemas.openxmlformats.org/officeDocument/2006/relationships/hyperlink" Target="mailto:interfronterasfacturas@gmail.com" TargetMode="External"/><Relationship Id="rId21" Type="http://schemas.openxmlformats.org/officeDocument/2006/relationships/hyperlink" Target="mailto:albanidiagomezmartinez@gmail.com" TargetMode="External"/><Relationship Id="rId34" Type="http://schemas.openxmlformats.org/officeDocument/2006/relationships/hyperlink" Target="mailto:pipeag02@gmail.com" TargetMode="External"/><Relationship Id="rId42" Type="http://schemas.openxmlformats.org/officeDocument/2006/relationships/hyperlink" Target="mailto:maryherreraluz5@gmail.com" TargetMode="External"/><Relationship Id="rId7" Type="http://schemas.openxmlformats.org/officeDocument/2006/relationships/hyperlink" Target="mailto:negragi_20@hotmail.com" TargetMode="External"/><Relationship Id="rId12" Type="http://schemas.openxmlformats.org/officeDocument/2006/relationships/hyperlink" Target="mailto:diale2781@hotmail.com" TargetMode="External"/><Relationship Id="rId17" Type="http://schemas.openxmlformats.org/officeDocument/2006/relationships/hyperlink" Target="mailto:edwchamo383@gmail.com" TargetMode="External"/><Relationship Id="rId25" Type="http://schemas.openxmlformats.org/officeDocument/2006/relationships/hyperlink" Target="mailto:yeineralzate_gerontologia@hotmail.com" TargetMode="External"/><Relationship Id="rId33" Type="http://schemas.openxmlformats.org/officeDocument/2006/relationships/hyperlink" Target="mailto:e412423@gmail.com" TargetMode="External"/><Relationship Id="rId38" Type="http://schemas.openxmlformats.org/officeDocument/2006/relationships/hyperlink" Target="mailto:andresarboledatoro1983@gmail.com" TargetMode="External"/><Relationship Id="rId46" Type="http://schemas.openxmlformats.org/officeDocument/2006/relationships/hyperlink" Target="mailto:carlosserna0411@gmail.com" TargetMode="External"/><Relationship Id="rId2" Type="http://schemas.openxmlformats.org/officeDocument/2006/relationships/hyperlink" Target="mailto:yeymmi2014@hotmail.com" TargetMode="External"/><Relationship Id="rId16" Type="http://schemas.openxmlformats.org/officeDocument/2006/relationships/hyperlink" Target="mailto:luisacifuentes505@gmail.com" TargetMode="External"/><Relationship Id="rId20" Type="http://schemas.openxmlformats.org/officeDocument/2006/relationships/hyperlink" Target="mailto:xander.230493@gmail.com" TargetMode="External"/><Relationship Id="rId29" Type="http://schemas.openxmlformats.org/officeDocument/2006/relationships/hyperlink" Target="mailto:luzmerya31@gmail.com" TargetMode="External"/><Relationship Id="rId41" Type="http://schemas.openxmlformats.org/officeDocument/2006/relationships/hyperlink" Target="mailto:yirfild@gmail.com" TargetMode="External"/><Relationship Id="rId1" Type="http://schemas.openxmlformats.org/officeDocument/2006/relationships/hyperlink" Target="mailto:stvencalle71@gmail.com" TargetMode="External"/><Relationship Id="rId6" Type="http://schemas.openxmlformats.org/officeDocument/2006/relationships/hyperlink" Target="mailto:ovelmar19@hotmail.com" TargetMode="External"/><Relationship Id="rId11" Type="http://schemas.openxmlformats.org/officeDocument/2006/relationships/hyperlink" Target="mailto:interfronterasfacturas@gmail.com" TargetMode="External"/><Relationship Id="rId24" Type="http://schemas.openxmlformats.org/officeDocument/2006/relationships/hyperlink" Target="mailto:kindioman28@hotmail.com" TargetMode="External"/><Relationship Id="rId32" Type="http://schemas.openxmlformats.org/officeDocument/2006/relationships/hyperlink" Target="mailto:despo.virtud@gmail.com" TargetMode="External"/><Relationship Id="rId37" Type="http://schemas.openxmlformats.org/officeDocument/2006/relationships/hyperlink" Target="mailto:dianery670@gmail.com" TargetMode="External"/><Relationship Id="rId40" Type="http://schemas.openxmlformats.org/officeDocument/2006/relationships/hyperlink" Target="mailto:tatianaorozco713@gmail.com" TargetMode="External"/><Relationship Id="rId45" Type="http://schemas.openxmlformats.org/officeDocument/2006/relationships/hyperlink" Target="mailto:ortizsandramilenana889@hotmail.com" TargetMode="External"/><Relationship Id="rId5" Type="http://schemas.openxmlformats.org/officeDocument/2006/relationships/hyperlink" Target="mailto:silviogallego58@hotmail.com" TargetMode="External"/><Relationship Id="rId15" Type="http://schemas.openxmlformats.org/officeDocument/2006/relationships/hyperlink" Target="mailto:erikaagudelosamaria@gmail.com" TargetMode="External"/><Relationship Id="rId23" Type="http://schemas.openxmlformats.org/officeDocument/2006/relationships/hyperlink" Target="mailto:olinave@hotmail.com" TargetMode="External"/><Relationship Id="rId28" Type="http://schemas.openxmlformats.org/officeDocument/2006/relationships/hyperlink" Target="mailto:hasspatagoniaco@gmail.com" TargetMode="External"/><Relationship Id="rId36" Type="http://schemas.openxmlformats.org/officeDocument/2006/relationships/hyperlink" Target="mailto:interfronterasfacturas@gmail.com" TargetMode="External"/><Relationship Id="rId10" Type="http://schemas.openxmlformats.org/officeDocument/2006/relationships/hyperlink" Target="mailto:linavillah@gmail.com" TargetMode="External"/><Relationship Id="rId19" Type="http://schemas.openxmlformats.org/officeDocument/2006/relationships/hyperlink" Target="mailto:interfronterasfacturas@gmail.com" TargetMode="External"/><Relationship Id="rId31" Type="http://schemas.openxmlformats.org/officeDocument/2006/relationships/hyperlink" Target="mailto:interfronterasfacturas@gmail.com" TargetMode="External"/><Relationship Id="rId44" Type="http://schemas.openxmlformats.org/officeDocument/2006/relationships/hyperlink" Target="mailto:arcilajhon04@gmail.com" TargetMode="External"/><Relationship Id="rId4" Type="http://schemas.openxmlformats.org/officeDocument/2006/relationships/hyperlink" Target="mailto:smorac4@hotmail.com" TargetMode="External"/><Relationship Id="rId9" Type="http://schemas.openxmlformats.org/officeDocument/2006/relationships/hyperlink" Target="mailto:luzaidahm2020@gmail.com" TargetMode="External"/><Relationship Id="rId14" Type="http://schemas.openxmlformats.org/officeDocument/2006/relationships/hyperlink" Target="mailto:gustavoibarra843@gmail.com" TargetMode="External"/><Relationship Id="rId22" Type="http://schemas.openxmlformats.org/officeDocument/2006/relationships/hyperlink" Target="mailto:luismia102003@gmail.com" TargetMode="External"/><Relationship Id="rId27" Type="http://schemas.openxmlformats.org/officeDocument/2006/relationships/hyperlink" Target="mailto:ximena82077@hotmail.com" TargetMode="External"/><Relationship Id="rId30" Type="http://schemas.openxmlformats.org/officeDocument/2006/relationships/hyperlink" Target="mailto:angelao3564@gmail.com" TargetMode="External"/><Relationship Id="rId35" Type="http://schemas.openxmlformats.org/officeDocument/2006/relationships/hyperlink" Target="mailto:lemar174@hotmail.com" TargetMode="External"/><Relationship Id="rId43" Type="http://schemas.openxmlformats.org/officeDocument/2006/relationships/hyperlink" Target="mailto:rubenbaraceta@gmai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tayacavalentina@gmail.com" TargetMode="External"/><Relationship Id="rId117" Type="http://schemas.openxmlformats.org/officeDocument/2006/relationships/hyperlink" Target="mailto:lilyro69@gmail.com" TargetMode="External"/><Relationship Id="rId21" Type="http://schemas.openxmlformats.org/officeDocument/2006/relationships/hyperlink" Target="mailto:luisamarialopezrengifo521@gmail.com" TargetMode="External"/><Relationship Id="rId42" Type="http://schemas.openxmlformats.org/officeDocument/2006/relationships/hyperlink" Target="mailto:salazarbenitez@gmail.com" TargetMode="External"/><Relationship Id="rId47" Type="http://schemas.openxmlformats.org/officeDocument/2006/relationships/hyperlink" Target="mailto:carmenarbelaez@gmail.com" TargetMode="External"/><Relationship Id="rId63" Type="http://schemas.openxmlformats.org/officeDocument/2006/relationships/hyperlink" Target="mailto:bonelghincapie@gmail.com" TargetMode="External"/><Relationship Id="rId68" Type="http://schemas.openxmlformats.org/officeDocument/2006/relationships/hyperlink" Target="mailto:lina15arias@gmail.com" TargetMode="External"/><Relationship Id="rId84" Type="http://schemas.openxmlformats.org/officeDocument/2006/relationships/hyperlink" Target="mailto:joeerney2019henao@gmail.com" TargetMode="External"/><Relationship Id="rId89" Type="http://schemas.openxmlformats.org/officeDocument/2006/relationships/hyperlink" Target="mailto:malejac07@hotmail.com" TargetMode="External"/><Relationship Id="rId112" Type="http://schemas.openxmlformats.org/officeDocument/2006/relationships/hyperlink" Target="mailto:marcearboleda11391@gmail.com" TargetMode="External"/><Relationship Id="rId16" Type="http://schemas.openxmlformats.org/officeDocument/2006/relationships/hyperlink" Target="mailto:jalgir46@hotmail.com" TargetMode="External"/><Relationship Id="rId107" Type="http://schemas.openxmlformats.org/officeDocument/2006/relationships/hyperlink" Target="mailto:vivi97.ram@gmail.com" TargetMode="External"/><Relationship Id="rId11" Type="http://schemas.openxmlformats.org/officeDocument/2006/relationships/hyperlink" Target="mailto:lilus.tabarez@gmail.com" TargetMode="External"/><Relationship Id="rId24" Type="http://schemas.openxmlformats.org/officeDocument/2006/relationships/hyperlink" Target="mailto:jaigonzar59@hotmail.com" TargetMode="External"/><Relationship Id="rId32" Type="http://schemas.openxmlformats.org/officeDocument/2006/relationships/hyperlink" Target="mailto:krb13lui@hotmail.com" TargetMode="External"/><Relationship Id="rId37" Type="http://schemas.openxmlformats.org/officeDocument/2006/relationships/hyperlink" Target="mailto:ralven50@hotmail.com" TargetMode="External"/><Relationship Id="rId40" Type="http://schemas.openxmlformats.org/officeDocument/2006/relationships/hyperlink" Target="mailto:ing.magdadelpilar@hotmail.com" TargetMode="External"/><Relationship Id="rId45" Type="http://schemas.openxmlformats.org/officeDocument/2006/relationships/hyperlink" Target="mailto:pavlow66@hotmail.com" TargetMode="External"/><Relationship Id="rId53" Type="http://schemas.openxmlformats.org/officeDocument/2006/relationships/hyperlink" Target="mailto:amparohosorios@gmail.com" TargetMode="External"/><Relationship Id="rId58" Type="http://schemas.openxmlformats.org/officeDocument/2006/relationships/hyperlink" Target="mailto:aumaca53@hotmail.com" TargetMode="External"/><Relationship Id="rId66" Type="http://schemas.openxmlformats.org/officeDocument/2006/relationships/hyperlink" Target="mailto:moralesyuliethandrea@gmail.com" TargetMode="External"/><Relationship Id="rId74" Type="http://schemas.openxmlformats.org/officeDocument/2006/relationships/hyperlink" Target="mailto:ribeva@gmail.com" TargetMode="External"/><Relationship Id="rId79" Type="http://schemas.openxmlformats.org/officeDocument/2006/relationships/hyperlink" Target="mailto:giovannyespinosa1978@gmail.com" TargetMode="External"/><Relationship Id="rId87" Type="http://schemas.openxmlformats.org/officeDocument/2006/relationships/hyperlink" Target="mailto:nataliadelaida@gmail.cpm" TargetMode="External"/><Relationship Id="rId102" Type="http://schemas.openxmlformats.org/officeDocument/2006/relationships/hyperlink" Target="mailto:solarteedillberto26@gmail.com" TargetMode="External"/><Relationship Id="rId110" Type="http://schemas.openxmlformats.org/officeDocument/2006/relationships/hyperlink" Target="mailto:patinopatrsia@gmail.com" TargetMode="External"/><Relationship Id="rId115" Type="http://schemas.openxmlformats.org/officeDocument/2006/relationships/hyperlink" Target="mailto:escorpiontaurojj@gmail.com" TargetMode="External"/><Relationship Id="rId5" Type="http://schemas.openxmlformats.org/officeDocument/2006/relationships/hyperlink" Target="mailto:nalihu@hotmail.com" TargetMode="External"/><Relationship Id="rId61" Type="http://schemas.openxmlformats.org/officeDocument/2006/relationships/hyperlink" Target="mailto:carolinahurtado1605@gmail.com" TargetMode="External"/><Relationship Id="rId82" Type="http://schemas.openxmlformats.org/officeDocument/2006/relationships/hyperlink" Target="mailto:fransisco1975vega@gmail.com" TargetMode="External"/><Relationship Id="rId90" Type="http://schemas.openxmlformats.org/officeDocument/2006/relationships/hyperlink" Target="mailto:cebloren@hotmail.com" TargetMode="External"/><Relationship Id="rId95" Type="http://schemas.openxmlformats.org/officeDocument/2006/relationships/hyperlink" Target="mailto:imorenonarvaez@gmail.com" TargetMode="External"/><Relationship Id="rId19" Type="http://schemas.openxmlformats.org/officeDocument/2006/relationships/hyperlink" Target="mailto:o.delacruzc@hotmail.com" TargetMode="External"/><Relationship Id="rId14" Type="http://schemas.openxmlformats.org/officeDocument/2006/relationships/hyperlink" Target="mailto:gugogomezlopez1@gmail.com" TargetMode="External"/><Relationship Id="rId22" Type="http://schemas.openxmlformats.org/officeDocument/2006/relationships/hyperlink" Target="mailto:jecasa751@gmail.com" TargetMode="External"/><Relationship Id="rId27" Type="http://schemas.openxmlformats.org/officeDocument/2006/relationships/hyperlink" Target="mailto:info@ganesuperservicios.co" TargetMode="External"/><Relationship Id="rId30" Type="http://schemas.openxmlformats.org/officeDocument/2006/relationships/hyperlink" Target="mailto:deiniyrojas@hotmail.com" TargetMode="External"/><Relationship Id="rId35" Type="http://schemas.openxmlformats.org/officeDocument/2006/relationships/hyperlink" Target="mailto:eddysalamancaaz@gmail.com" TargetMode="External"/><Relationship Id="rId43" Type="http://schemas.openxmlformats.org/officeDocument/2006/relationships/hyperlink" Target="mailto:arracacho666@hotmail.com" TargetMode="External"/><Relationship Id="rId48" Type="http://schemas.openxmlformats.org/officeDocument/2006/relationships/hyperlink" Target="mailto:estaban.rios@ucp.edu.co" TargetMode="External"/><Relationship Id="rId56" Type="http://schemas.openxmlformats.org/officeDocument/2006/relationships/hyperlink" Target="mailto:ramgo2739@gmail.com" TargetMode="External"/><Relationship Id="rId64" Type="http://schemas.openxmlformats.org/officeDocument/2006/relationships/hyperlink" Target="mailto:claraines.sierra@gmail.com" TargetMode="External"/><Relationship Id="rId69" Type="http://schemas.openxmlformats.org/officeDocument/2006/relationships/hyperlink" Target="mailto:gloriaelcy64@gmail.com" TargetMode="External"/><Relationship Id="rId77" Type="http://schemas.openxmlformats.org/officeDocument/2006/relationships/hyperlink" Target="mailto:peveza459@gmail.com" TargetMode="External"/><Relationship Id="rId100" Type="http://schemas.openxmlformats.org/officeDocument/2006/relationships/hyperlink" Target="mailto:mariarengifocardona@gmail.com" TargetMode="External"/><Relationship Id="rId105" Type="http://schemas.openxmlformats.org/officeDocument/2006/relationships/hyperlink" Target="mailto:yeseangel766@gmail.com" TargetMode="External"/><Relationship Id="rId113" Type="http://schemas.openxmlformats.org/officeDocument/2006/relationships/hyperlink" Target="mailto:restrepocar15@gmail.com" TargetMode="External"/><Relationship Id="rId118" Type="http://schemas.openxmlformats.org/officeDocument/2006/relationships/hyperlink" Target="mailto:gloriagilva@gmail.com" TargetMode="External"/><Relationship Id="rId8" Type="http://schemas.openxmlformats.org/officeDocument/2006/relationships/hyperlink" Target="mailto:ospinacarlos0291@gmail.com" TargetMode="External"/><Relationship Id="rId51" Type="http://schemas.openxmlformats.org/officeDocument/2006/relationships/hyperlink" Target="mailto:ivanhoy90@gmail.com" TargetMode="External"/><Relationship Id="rId72" Type="http://schemas.openxmlformats.org/officeDocument/2006/relationships/hyperlink" Target="mailto:carlosalberto660@hotmail.com" TargetMode="External"/><Relationship Id="rId80" Type="http://schemas.openxmlformats.org/officeDocument/2006/relationships/hyperlink" Target="mailto:arredondoandreina75@gmail.com" TargetMode="External"/><Relationship Id="rId85" Type="http://schemas.openxmlformats.org/officeDocument/2006/relationships/hyperlink" Target="mailto:jesusdavismoralesmontilla@gmail.com" TargetMode="External"/><Relationship Id="rId93" Type="http://schemas.openxmlformats.org/officeDocument/2006/relationships/hyperlink" Target="mailto:argenisgarzon588@gmail.com" TargetMode="External"/><Relationship Id="rId98" Type="http://schemas.openxmlformats.org/officeDocument/2006/relationships/hyperlink" Target="mailto:tamialunabladi@gmail.com" TargetMode="External"/><Relationship Id="rId3" Type="http://schemas.openxmlformats.org/officeDocument/2006/relationships/hyperlink" Target="mailto:lfsotoposada@hotmail.com" TargetMode="External"/><Relationship Id="rId12" Type="http://schemas.openxmlformats.org/officeDocument/2006/relationships/hyperlink" Target="mailto:enriquetafur2010@hotmail.com" TargetMode="External"/><Relationship Id="rId17" Type="http://schemas.openxmlformats.org/officeDocument/2006/relationships/hyperlink" Target="mailto:laurap768z@gmail.com" TargetMode="External"/><Relationship Id="rId25" Type="http://schemas.openxmlformats.org/officeDocument/2006/relationships/hyperlink" Target="mailto:eduardoosorio83@gmail.com" TargetMode="External"/><Relationship Id="rId33" Type="http://schemas.openxmlformats.org/officeDocument/2006/relationships/hyperlink" Target="mailto:jesusfalla1@hotmail.com" TargetMode="External"/><Relationship Id="rId38" Type="http://schemas.openxmlformats.org/officeDocument/2006/relationships/hyperlink" Target="mailto:patriciaramirezhincapie@gmail.com" TargetMode="External"/><Relationship Id="rId46" Type="http://schemas.openxmlformats.org/officeDocument/2006/relationships/hyperlink" Target="mailto:oscargriso61@gmail.com" TargetMode="External"/><Relationship Id="rId59" Type="http://schemas.openxmlformats.org/officeDocument/2006/relationships/hyperlink" Target="mailto:maos598@gmail.com" TargetMode="External"/><Relationship Id="rId67" Type="http://schemas.openxmlformats.org/officeDocument/2006/relationships/hyperlink" Target="mailto:jicampillof@gmail.com" TargetMode="External"/><Relationship Id="rId103" Type="http://schemas.openxmlformats.org/officeDocument/2006/relationships/hyperlink" Target="mailto:juan973ag@gmail.com" TargetMode="External"/><Relationship Id="rId108" Type="http://schemas.openxmlformats.org/officeDocument/2006/relationships/hyperlink" Target="mailto:samuelnoregagonzales@gmail.com" TargetMode="External"/><Relationship Id="rId116" Type="http://schemas.openxmlformats.org/officeDocument/2006/relationships/hyperlink" Target="mailto:santy.ortoz.angel2004@gmail.com" TargetMode="External"/><Relationship Id="rId20" Type="http://schemas.openxmlformats.org/officeDocument/2006/relationships/hyperlink" Target="mailto:pforero1964@hotmail.com" TargetMode="External"/><Relationship Id="rId41" Type="http://schemas.openxmlformats.org/officeDocument/2006/relationships/hyperlink" Target="mailto:warr1969@hotmail.com" TargetMode="External"/><Relationship Id="rId54" Type="http://schemas.openxmlformats.org/officeDocument/2006/relationships/hyperlink" Target="mailto:murciacorreajuandiego609@gmail.com" TargetMode="External"/><Relationship Id="rId62" Type="http://schemas.openxmlformats.org/officeDocument/2006/relationships/hyperlink" Target="mailto:dr786657@gmail.com" TargetMode="External"/><Relationship Id="rId70" Type="http://schemas.openxmlformats.org/officeDocument/2006/relationships/hyperlink" Target="mailto:juancho1609afa@hotmail.com" TargetMode="External"/><Relationship Id="rId75" Type="http://schemas.openxmlformats.org/officeDocument/2006/relationships/hyperlink" Target="mailto:guapachamariaisabel6@gmail.com" TargetMode="External"/><Relationship Id="rId83" Type="http://schemas.openxmlformats.org/officeDocument/2006/relationships/hyperlink" Target="mailto:linagisellenarvaez@gmail.com" TargetMode="External"/><Relationship Id="rId88" Type="http://schemas.openxmlformats.org/officeDocument/2006/relationships/hyperlink" Target="mailto:grajalesbedoya@gmail.com" TargetMode="External"/><Relationship Id="rId91" Type="http://schemas.openxmlformats.org/officeDocument/2006/relationships/hyperlink" Target="mailto:juansetoro.abogado@gmail.com" TargetMode="External"/><Relationship Id="rId96" Type="http://schemas.openxmlformats.org/officeDocument/2006/relationships/hyperlink" Target="mailto:yulianaosorioomez6@gmail.com" TargetMode="External"/><Relationship Id="rId111" Type="http://schemas.openxmlformats.org/officeDocument/2006/relationships/hyperlink" Target="mailto:barbosayuri183@gmail.com" TargetMode="External"/><Relationship Id="rId1" Type="http://schemas.openxmlformats.org/officeDocument/2006/relationships/hyperlink" Target="mailto:carlitosk281@gmail.com" TargetMode="External"/><Relationship Id="rId6" Type="http://schemas.openxmlformats.org/officeDocument/2006/relationships/hyperlink" Target="mailto:saenzcamila2022@gmail.com" TargetMode="External"/><Relationship Id="rId15" Type="http://schemas.openxmlformats.org/officeDocument/2006/relationships/hyperlink" Target="mailto:edelala01@hotmail.com" TargetMode="External"/><Relationship Id="rId23" Type="http://schemas.openxmlformats.org/officeDocument/2006/relationships/hyperlink" Target="mailto:angelatabares2805@gmail.com" TargetMode="External"/><Relationship Id="rId28" Type="http://schemas.openxmlformats.org/officeDocument/2006/relationships/hyperlink" Target="mailto:eunice.ayala12@hotmail.com" TargetMode="External"/><Relationship Id="rId36" Type="http://schemas.openxmlformats.org/officeDocument/2006/relationships/hyperlink" Target="mailto:lileygiraldo@hotmail.es" TargetMode="External"/><Relationship Id="rId49" Type="http://schemas.openxmlformats.org/officeDocument/2006/relationships/hyperlink" Target="mailto:2017riveraconsuelo@gmail.com" TargetMode="External"/><Relationship Id="rId57" Type="http://schemas.openxmlformats.org/officeDocument/2006/relationships/hyperlink" Target="mailto:dino08@hotmail.com" TargetMode="External"/><Relationship Id="rId106" Type="http://schemas.openxmlformats.org/officeDocument/2006/relationships/hyperlink" Target="mailto:andres.sotoar@gmail.com" TargetMode="External"/><Relationship Id="rId114" Type="http://schemas.openxmlformats.org/officeDocument/2006/relationships/hyperlink" Target="mailto:contabilidad@proarquitectura.co" TargetMode="External"/><Relationship Id="rId119" Type="http://schemas.openxmlformats.org/officeDocument/2006/relationships/printerSettings" Target="../printerSettings/printerSettings3.bin"/><Relationship Id="rId10" Type="http://schemas.openxmlformats.org/officeDocument/2006/relationships/hyperlink" Target="mailto:jaimesalazarurrea737@gmail.com" TargetMode="External"/><Relationship Id="rId31" Type="http://schemas.openxmlformats.org/officeDocument/2006/relationships/hyperlink" Target="mailto:bravopaolaandrea1@gmail.com" TargetMode="External"/><Relationship Id="rId44" Type="http://schemas.openxmlformats.org/officeDocument/2006/relationships/hyperlink" Target="mailto:margareth-1936@hotmail.com" TargetMode="External"/><Relationship Id="rId52" Type="http://schemas.openxmlformats.org/officeDocument/2006/relationships/hyperlink" Target="mailto:mateoop94@gmail.com" TargetMode="External"/><Relationship Id="rId60" Type="http://schemas.openxmlformats.org/officeDocument/2006/relationships/hyperlink" Target="mailto:jesterboy2@msn.com" TargetMode="External"/><Relationship Id="rId65" Type="http://schemas.openxmlformats.org/officeDocument/2006/relationships/hyperlink" Target="mailto:alejaperezk153@gmail.com" TargetMode="External"/><Relationship Id="rId73" Type="http://schemas.openxmlformats.org/officeDocument/2006/relationships/hyperlink" Target="mailto:luisgranadamejia@gmail.com" TargetMode="External"/><Relationship Id="rId78" Type="http://schemas.openxmlformats.org/officeDocument/2006/relationships/hyperlink" Target="mailto:batra7@hotmail.com" TargetMode="External"/><Relationship Id="rId81" Type="http://schemas.openxmlformats.org/officeDocument/2006/relationships/hyperlink" Target="mailto:d.f.arias@hotmail.com" TargetMode="External"/><Relationship Id="rId86" Type="http://schemas.openxmlformats.org/officeDocument/2006/relationships/hyperlink" Target="mailto:galaxyacoregalaxyacore8@gmail.com" TargetMode="External"/><Relationship Id="rId94" Type="http://schemas.openxmlformats.org/officeDocument/2006/relationships/hyperlink" Target="mailto:sebastian.calderonrojas219@gmail.com" TargetMode="External"/><Relationship Id="rId99" Type="http://schemas.openxmlformats.org/officeDocument/2006/relationships/hyperlink" Target="mailto:angelica7312@gmail.com" TargetMode="External"/><Relationship Id="rId101" Type="http://schemas.openxmlformats.org/officeDocument/2006/relationships/hyperlink" Target="mailto:2023marthabeltran@gmail.com" TargetMode="External"/><Relationship Id="rId4" Type="http://schemas.openxmlformats.org/officeDocument/2006/relationships/hyperlink" Target="mailto:duberney2017villada@gmail.com" TargetMode="External"/><Relationship Id="rId9" Type="http://schemas.openxmlformats.org/officeDocument/2006/relationships/hyperlink" Target="mailto:vivianaandreagarzon521@gmail.com" TargetMode="External"/><Relationship Id="rId13" Type="http://schemas.openxmlformats.org/officeDocument/2006/relationships/hyperlink" Target="mailto:albitovitobu@gmail.com" TargetMode="External"/><Relationship Id="rId18" Type="http://schemas.openxmlformats.org/officeDocument/2006/relationships/hyperlink" Target="mailto:franjaramirez@hotmail.com" TargetMode="External"/><Relationship Id="rId39" Type="http://schemas.openxmlformats.org/officeDocument/2006/relationships/hyperlink" Target="mailto:calirumba_2000@yahoo.com" TargetMode="External"/><Relationship Id="rId109" Type="http://schemas.openxmlformats.org/officeDocument/2006/relationships/hyperlink" Target="mailto:ddimensioncontable@gmail.com" TargetMode="External"/><Relationship Id="rId34" Type="http://schemas.openxmlformats.org/officeDocument/2006/relationships/hyperlink" Target="mailto:pattylife7@gmail.com" TargetMode="External"/><Relationship Id="rId50" Type="http://schemas.openxmlformats.org/officeDocument/2006/relationships/hyperlink" Target="mailto:adm.ibanandresmancera@gmail.com" TargetMode="External"/><Relationship Id="rId55" Type="http://schemas.openxmlformats.org/officeDocument/2006/relationships/hyperlink" Target="mailto:dogilo08@hotmail.com" TargetMode="External"/><Relationship Id="rId76" Type="http://schemas.openxmlformats.org/officeDocument/2006/relationships/hyperlink" Target="mailto:boxsi@outlook.com" TargetMode="External"/><Relationship Id="rId97" Type="http://schemas.openxmlformats.org/officeDocument/2006/relationships/hyperlink" Target="mailto:telleztellezrauleduardo@gmail.com" TargetMode="External"/><Relationship Id="rId104" Type="http://schemas.openxmlformats.org/officeDocument/2006/relationships/hyperlink" Target="mailto:cardonajairo@gmail.com" TargetMode="External"/><Relationship Id="rId7" Type="http://schemas.openxmlformats.org/officeDocument/2006/relationships/hyperlink" Target="mailto:steevenm61@gmail.com" TargetMode="External"/><Relationship Id="rId71" Type="http://schemas.openxmlformats.org/officeDocument/2006/relationships/hyperlink" Target="mailto:luisgranadamejia@gmail.com" TargetMode="External"/><Relationship Id="rId92" Type="http://schemas.openxmlformats.org/officeDocument/2006/relationships/hyperlink" Target="mailto:dlinaresesfranco@hotmail.com" TargetMode="External"/><Relationship Id="rId2" Type="http://schemas.openxmlformats.org/officeDocument/2006/relationships/hyperlink" Target="mailto:sidneymolinasanchez012@gmail.com" TargetMode="External"/><Relationship Id="rId29" Type="http://schemas.openxmlformats.org/officeDocument/2006/relationships/hyperlink" Target="mailto:fondabarragan2024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julian.exe@hotmail.com" TargetMode="External"/><Relationship Id="rId13" Type="http://schemas.openxmlformats.org/officeDocument/2006/relationships/hyperlink" Target="mailto:mariocarlopez@hotmail.com" TargetMode="External"/><Relationship Id="rId18" Type="http://schemas.openxmlformats.org/officeDocument/2006/relationships/hyperlink" Target="mailto:carlosegarces.123@hotmail.com" TargetMode="External"/><Relationship Id="rId26" Type="http://schemas.openxmlformats.org/officeDocument/2006/relationships/hyperlink" Target="mailto:bacogarcia82@hotmail.com" TargetMode="External"/><Relationship Id="rId39" Type="http://schemas.openxmlformats.org/officeDocument/2006/relationships/hyperlink" Target="mailto:delibeth920hernandezp@hotmail.com" TargetMode="External"/><Relationship Id="rId3" Type="http://schemas.openxmlformats.org/officeDocument/2006/relationships/hyperlink" Target="mailto:msuazaagudelo@gmail.com" TargetMode="External"/><Relationship Id="rId21" Type="http://schemas.openxmlformats.org/officeDocument/2006/relationships/hyperlink" Target="mailto:medinaponceluis@gmail.com" TargetMode="External"/><Relationship Id="rId34" Type="http://schemas.openxmlformats.org/officeDocument/2006/relationships/hyperlink" Target="mailto:gloen.mafe@hotmail.com" TargetMode="External"/><Relationship Id="rId7" Type="http://schemas.openxmlformats.org/officeDocument/2006/relationships/hyperlink" Target="mailto:zepolcriss1@hotmail.com" TargetMode="External"/><Relationship Id="rId12" Type="http://schemas.openxmlformats.org/officeDocument/2006/relationships/hyperlink" Target="mailto:sebastianpantoja@gmail.com" TargetMode="External"/><Relationship Id="rId17" Type="http://schemas.openxmlformats.org/officeDocument/2006/relationships/hyperlink" Target="mailto:ramosulloa83@gmail.com" TargetMode="External"/><Relationship Id="rId25" Type="http://schemas.openxmlformats.org/officeDocument/2006/relationships/hyperlink" Target="mailto:jesluzda2@hotmail.com" TargetMode="External"/><Relationship Id="rId33" Type="http://schemas.openxmlformats.org/officeDocument/2006/relationships/hyperlink" Target="mailto:huferav@hotmail.com" TargetMode="External"/><Relationship Id="rId38" Type="http://schemas.openxmlformats.org/officeDocument/2006/relationships/hyperlink" Target="mailto:pacetaq@gmail.com" TargetMode="External"/><Relationship Id="rId2" Type="http://schemas.openxmlformats.org/officeDocument/2006/relationships/hyperlink" Target="mailto:andreaangarita26@gmail.com" TargetMode="External"/><Relationship Id="rId16" Type="http://schemas.openxmlformats.org/officeDocument/2006/relationships/hyperlink" Target="mailto:jazminruis1@gmail.com" TargetMode="External"/><Relationship Id="rId20" Type="http://schemas.openxmlformats.org/officeDocument/2006/relationships/hyperlink" Target="mailto:francyyulianaflorezruda@gmail.com" TargetMode="External"/><Relationship Id="rId29" Type="http://schemas.openxmlformats.org/officeDocument/2006/relationships/hyperlink" Target="mailto:tuzovalencia25@gmail.com" TargetMode="External"/><Relationship Id="rId41" Type="http://schemas.openxmlformats.org/officeDocument/2006/relationships/hyperlink" Target="mailto:acerobetancuord@gmail.com" TargetMode="External"/><Relationship Id="rId1" Type="http://schemas.openxmlformats.org/officeDocument/2006/relationships/hyperlink" Target="mailto:interfronterasfacturas@gmail.com" TargetMode="External"/><Relationship Id="rId6" Type="http://schemas.openxmlformats.org/officeDocument/2006/relationships/hyperlink" Target="mailto:zepolcriss1@hotmail.com" TargetMode="External"/><Relationship Id="rId11" Type="http://schemas.openxmlformats.org/officeDocument/2006/relationships/hyperlink" Target="mailto:ceballos1970.dc@gmail.com" TargetMode="External"/><Relationship Id="rId24" Type="http://schemas.openxmlformats.org/officeDocument/2006/relationships/hyperlink" Target="mailto:topoagro@yahoo.com" TargetMode="External"/><Relationship Id="rId32" Type="http://schemas.openxmlformats.org/officeDocument/2006/relationships/hyperlink" Target="mailto:cduque638@gmail.com" TargetMode="External"/><Relationship Id="rId37" Type="http://schemas.openxmlformats.org/officeDocument/2006/relationships/hyperlink" Target="mailto:fernandozapatarojas@yahoo.es" TargetMode="External"/><Relationship Id="rId40" Type="http://schemas.openxmlformats.org/officeDocument/2006/relationships/hyperlink" Target="mailto:interfronterasfacturas@gmail.com" TargetMode="External"/><Relationship Id="rId5" Type="http://schemas.openxmlformats.org/officeDocument/2006/relationships/hyperlink" Target="mailto:moncadagaymer@hotmail.com" TargetMode="External"/><Relationship Id="rId15" Type="http://schemas.openxmlformats.org/officeDocument/2006/relationships/hyperlink" Target="mailto:elenamejia2903@gmail.com" TargetMode="External"/><Relationship Id="rId23" Type="http://schemas.openxmlformats.org/officeDocument/2006/relationships/hyperlink" Target="mailto:alexomar440@hotmail.com" TargetMode="External"/><Relationship Id="rId28" Type="http://schemas.openxmlformats.org/officeDocument/2006/relationships/hyperlink" Target="mailto:ayudasjuridicasrc7@hotmail.com" TargetMode="External"/><Relationship Id="rId36" Type="http://schemas.openxmlformats.org/officeDocument/2006/relationships/hyperlink" Target="mailto:interfronterasfacturas@gmail.com" TargetMode="External"/><Relationship Id="rId10" Type="http://schemas.openxmlformats.org/officeDocument/2006/relationships/hyperlink" Target="mailto:metalicasjaramillo@hotmail.com" TargetMode="External"/><Relationship Id="rId19" Type="http://schemas.openxmlformats.org/officeDocument/2006/relationships/hyperlink" Target="mailto:km5437343@gmail.com" TargetMode="External"/><Relationship Id="rId31" Type="http://schemas.openxmlformats.org/officeDocument/2006/relationships/hyperlink" Target="mailto:vanesa.mol95610@gmail.com" TargetMode="External"/><Relationship Id="rId4" Type="http://schemas.openxmlformats.org/officeDocument/2006/relationships/hyperlink" Target="mailto:alejosuarez2809@gmail.com" TargetMode="External"/><Relationship Id="rId9" Type="http://schemas.openxmlformats.org/officeDocument/2006/relationships/hyperlink" Target="mailto:dimaenlo02@gmail.com" TargetMode="External"/><Relationship Id="rId14" Type="http://schemas.openxmlformats.org/officeDocument/2006/relationships/hyperlink" Target="mailto:victor197611@hotmail.com" TargetMode="External"/><Relationship Id="rId22" Type="http://schemas.openxmlformats.org/officeDocument/2006/relationships/hyperlink" Target="mailto:fanerycardenas@hotmail.com" TargetMode="External"/><Relationship Id="rId27" Type="http://schemas.openxmlformats.org/officeDocument/2006/relationships/hyperlink" Target="mailto:poncealexandra6@gmail.com" TargetMode="External"/><Relationship Id="rId30" Type="http://schemas.openxmlformats.org/officeDocument/2006/relationships/hyperlink" Target="mailto:gustavoshaira091@gmail.com" TargetMode="External"/><Relationship Id="rId35" Type="http://schemas.openxmlformats.org/officeDocument/2006/relationships/hyperlink" Target="mailto:villotadeicy9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clauzarate2822@gmail.com" TargetMode="External"/><Relationship Id="rId13" Type="http://schemas.openxmlformats.org/officeDocument/2006/relationships/hyperlink" Target="mailto:orregosca@hotmail.com" TargetMode="External"/><Relationship Id="rId3" Type="http://schemas.openxmlformats.org/officeDocument/2006/relationships/hyperlink" Target="mailto:ramirezjuradoluzedith@gmail.com" TargetMode="External"/><Relationship Id="rId7" Type="http://schemas.openxmlformats.org/officeDocument/2006/relationships/hyperlink" Target="mailto:clarey.docente.73@gmail.com" TargetMode="External"/><Relationship Id="rId12" Type="http://schemas.openxmlformats.org/officeDocument/2006/relationships/hyperlink" Target="mailto:villaloboskevinalexis5@gmail.com" TargetMode="External"/><Relationship Id="rId2" Type="http://schemas.openxmlformats.org/officeDocument/2006/relationships/hyperlink" Target="mailto:mosornorios@gmail.com" TargetMode="External"/><Relationship Id="rId1" Type="http://schemas.openxmlformats.org/officeDocument/2006/relationships/hyperlink" Target="mailto:fundacionamazing.grace@gmail.com" TargetMode="External"/><Relationship Id="rId6" Type="http://schemas.openxmlformats.org/officeDocument/2006/relationships/hyperlink" Target="mailto:rojasbustloanavictoria@gmail.com" TargetMode="External"/><Relationship Id="rId11" Type="http://schemas.openxmlformats.org/officeDocument/2006/relationships/hyperlink" Target="mailto:cuartascarmen042@gmail.com" TargetMode="External"/><Relationship Id="rId5" Type="http://schemas.openxmlformats.org/officeDocument/2006/relationships/hyperlink" Target="mailto:zapataangii@gmail.com" TargetMode="External"/><Relationship Id="rId15" Type="http://schemas.openxmlformats.org/officeDocument/2006/relationships/hyperlink" Target="mailto:yg1401043@gmail.com" TargetMode="External"/><Relationship Id="rId10" Type="http://schemas.openxmlformats.org/officeDocument/2006/relationships/hyperlink" Target="mailto:hjuliomotolis@hotmail.com" TargetMode="External"/><Relationship Id="rId4" Type="http://schemas.openxmlformats.org/officeDocument/2006/relationships/hyperlink" Target="mailto:angiedanielac512@gmail.com" TargetMode="External"/><Relationship Id="rId9" Type="http://schemas.openxmlformats.org/officeDocument/2006/relationships/hyperlink" Target="mailto:sandrapaolaquinterozamudio@gmail.com" TargetMode="External"/><Relationship Id="rId14" Type="http://schemas.openxmlformats.org/officeDocument/2006/relationships/hyperlink" Target="mailto:erivico1014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mariana130804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M1172"/>
  <sheetViews>
    <sheetView topLeftCell="O1" workbookViewId="0">
      <selection activeCell="T201" sqref="T201"/>
    </sheetView>
  </sheetViews>
  <sheetFormatPr baseColWidth="10" defaultColWidth="14.42578125" defaultRowHeight="15" customHeight="1" x14ac:dyDescent="0.25"/>
  <cols>
    <col min="1" max="1" width="17.140625" style="282" customWidth="1"/>
    <col min="2" max="2" width="11.42578125" customWidth="1"/>
    <col min="3" max="3" width="38.5703125" customWidth="1"/>
    <col min="4" max="4" width="45.42578125" customWidth="1"/>
    <col min="5" max="5" width="12" bestFit="1" customWidth="1"/>
    <col min="6" max="6" width="22.85546875" bestFit="1" customWidth="1"/>
    <col min="7" max="7" width="15.28515625" style="306" bestFit="1" customWidth="1"/>
    <col min="8" max="8" width="9.85546875" bestFit="1" customWidth="1"/>
    <col min="9" max="9" width="17.140625" bestFit="1" customWidth="1"/>
    <col min="10" max="10" width="19.42578125" customWidth="1"/>
    <col min="11" max="11" width="16.5703125" customWidth="1"/>
    <col min="12" max="12" width="22.5703125" customWidth="1"/>
    <col min="13" max="13" width="23.28515625" customWidth="1"/>
    <col min="14" max="14" width="21.5703125" customWidth="1"/>
    <col min="15" max="15" width="22.140625" customWidth="1"/>
    <col min="16" max="16" width="26.28515625" customWidth="1"/>
    <col min="17" max="17" width="22.5703125" customWidth="1"/>
    <col min="18" max="18" width="23.7109375" customWidth="1"/>
    <col min="19" max="19" width="29.85546875" customWidth="1"/>
    <col min="20" max="20" width="43.5703125" bestFit="1" customWidth="1"/>
    <col min="21" max="21" width="46.140625" customWidth="1"/>
    <col min="22" max="22" width="16.42578125" customWidth="1"/>
    <col min="23" max="23" width="12.140625" customWidth="1"/>
    <col min="24" max="24" width="13.28515625" customWidth="1"/>
    <col min="25" max="91" width="11.42578125" customWidth="1"/>
  </cols>
  <sheetData>
    <row r="1" spans="1:91" ht="14.25" customHeight="1" x14ac:dyDescent="0.25">
      <c r="A1" s="109"/>
      <c r="B1" s="2"/>
      <c r="C1" s="2"/>
      <c r="D1" s="3" t="s">
        <v>0</v>
      </c>
      <c r="E1" s="4" t="s">
        <v>1</v>
      </c>
      <c r="F1" s="3" t="s">
        <v>2</v>
      </c>
      <c r="G1" s="307" t="s">
        <v>3</v>
      </c>
      <c r="H1" s="5" t="s">
        <v>4</v>
      </c>
      <c r="I1" s="3" t="s">
        <v>5</v>
      </c>
      <c r="J1" s="3" t="s">
        <v>6</v>
      </c>
      <c r="K1" s="6" t="s">
        <v>8</v>
      </c>
      <c r="L1" s="8" t="s">
        <v>9</v>
      </c>
      <c r="M1" s="9" t="s">
        <v>10</v>
      </c>
      <c r="N1" s="6" t="s">
        <v>11</v>
      </c>
      <c r="O1" s="10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2" t="s">
        <v>19</v>
      </c>
      <c r="W1" s="1" t="s">
        <v>20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1:91" ht="14.25" hidden="1" customHeight="1" x14ac:dyDescent="0.25">
      <c r="A2" s="13">
        <v>45488</v>
      </c>
      <c r="B2" s="14" t="s">
        <v>21</v>
      </c>
      <c r="C2" s="14"/>
      <c r="D2" s="15" t="s">
        <v>22</v>
      </c>
      <c r="E2" s="16">
        <v>1099683619</v>
      </c>
      <c r="F2" s="17" t="s">
        <v>23</v>
      </c>
      <c r="G2" s="308" t="s">
        <v>24</v>
      </c>
      <c r="H2" s="14"/>
      <c r="I2" s="14"/>
      <c r="J2" s="14" t="s">
        <v>35</v>
      </c>
      <c r="K2" s="7">
        <v>42000</v>
      </c>
      <c r="L2" s="18" t="s">
        <v>234</v>
      </c>
      <c r="M2" s="19"/>
      <c r="N2" s="20"/>
      <c r="O2" s="21"/>
      <c r="P2" s="14" t="s">
        <v>28</v>
      </c>
      <c r="Q2" s="14" t="s">
        <v>20</v>
      </c>
      <c r="R2" s="14"/>
      <c r="S2" s="14" t="s">
        <v>29</v>
      </c>
      <c r="T2" s="14" t="s">
        <v>30</v>
      </c>
      <c r="U2" s="22" t="s">
        <v>31</v>
      </c>
      <c r="V2" s="14"/>
      <c r="W2" s="14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</row>
    <row r="3" spans="1:91" ht="14.25" hidden="1" customHeight="1" x14ac:dyDescent="0.25">
      <c r="A3" s="13">
        <v>45504</v>
      </c>
      <c r="B3" s="14" t="s">
        <v>21</v>
      </c>
      <c r="C3" s="14"/>
      <c r="D3" s="15" t="s">
        <v>32</v>
      </c>
      <c r="E3" s="16">
        <v>1099683992</v>
      </c>
      <c r="F3" s="17" t="s">
        <v>33</v>
      </c>
      <c r="G3" s="297" t="s">
        <v>34</v>
      </c>
      <c r="H3" s="14"/>
      <c r="I3" s="14">
        <v>266</v>
      </c>
      <c r="J3" s="14" t="s">
        <v>35</v>
      </c>
      <c r="K3" s="7">
        <v>42000</v>
      </c>
      <c r="L3" s="57" t="s">
        <v>234</v>
      </c>
      <c r="M3" s="19"/>
      <c r="N3" s="20"/>
      <c r="O3" s="21"/>
      <c r="P3" s="14" t="s">
        <v>28</v>
      </c>
      <c r="Q3" s="14" t="s">
        <v>20</v>
      </c>
      <c r="R3" s="14"/>
      <c r="S3" s="14" t="s">
        <v>36</v>
      </c>
      <c r="T3" s="14" t="s">
        <v>37</v>
      </c>
      <c r="U3" s="22" t="s">
        <v>38</v>
      </c>
      <c r="V3" s="14"/>
      <c r="W3" s="14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</row>
    <row r="4" spans="1:91" ht="14.25" hidden="1" customHeight="1" x14ac:dyDescent="0.25">
      <c r="A4" s="13">
        <v>45527</v>
      </c>
      <c r="B4" s="14" t="s">
        <v>21</v>
      </c>
      <c r="C4" s="14"/>
      <c r="D4" s="15" t="s">
        <v>39</v>
      </c>
      <c r="E4" s="16">
        <v>1040744009</v>
      </c>
      <c r="F4" s="17" t="s">
        <v>40</v>
      </c>
      <c r="G4" s="297" t="s">
        <v>41</v>
      </c>
      <c r="H4" s="14"/>
      <c r="I4" s="14">
        <v>777</v>
      </c>
      <c r="J4" s="14" t="s">
        <v>35</v>
      </c>
      <c r="K4" s="7">
        <v>42000</v>
      </c>
      <c r="L4" s="57" t="s">
        <v>234</v>
      </c>
      <c r="M4" s="19"/>
      <c r="N4" s="20"/>
      <c r="O4" s="21"/>
      <c r="P4" s="14" t="s">
        <v>28</v>
      </c>
      <c r="Q4" s="14" t="s">
        <v>20</v>
      </c>
      <c r="R4" s="14"/>
      <c r="S4" s="14" t="s">
        <v>42</v>
      </c>
      <c r="T4" s="14" t="s">
        <v>43</v>
      </c>
      <c r="U4" s="22" t="s">
        <v>44</v>
      </c>
      <c r="V4" s="14"/>
      <c r="W4" s="1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</row>
    <row r="5" spans="1:91" ht="14.25" hidden="1" customHeight="1" x14ac:dyDescent="0.25">
      <c r="A5" s="13">
        <v>45539</v>
      </c>
      <c r="B5" s="14" t="s">
        <v>21</v>
      </c>
      <c r="C5" s="14"/>
      <c r="D5" s="14" t="s">
        <v>45</v>
      </c>
      <c r="E5" s="24">
        <v>43488205</v>
      </c>
      <c r="F5" s="25" t="s">
        <v>46</v>
      </c>
      <c r="G5" s="297" t="s">
        <v>47</v>
      </c>
      <c r="H5" s="14"/>
      <c r="I5" s="14">
        <v>506</v>
      </c>
      <c r="J5" s="14" t="s">
        <v>35</v>
      </c>
      <c r="K5" s="7">
        <v>42000</v>
      </c>
      <c r="L5" s="57" t="s">
        <v>234</v>
      </c>
      <c r="M5" s="19"/>
      <c r="N5" s="20"/>
      <c r="O5" s="21"/>
      <c r="P5" s="14" t="s">
        <v>28</v>
      </c>
      <c r="Q5" s="14"/>
      <c r="R5" s="14"/>
      <c r="S5" s="14" t="s">
        <v>48</v>
      </c>
      <c r="T5" s="14" t="s">
        <v>49</v>
      </c>
      <c r="U5" s="22" t="s">
        <v>50</v>
      </c>
      <c r="V5" s="14"/>
      <c r="W5" s="14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</row>
    <row r="6" spans="1:91" ht="14.25" hidden="1" customHeight="1" x14ac:dyDescent="0.25">
      <c r="A6" s="13">
        <v>45540</v>
      </c>
      <c r="B6" s="14" t="s">
        <v>21</v>
      </c>
      <c r="C6" s="14"/>
      <c r="D6" s="14" t="s">
        <v>51</v>
      </c>
      <c r="E6" s="24">
        <v>1099683933</v>
      </c>
      <c r="F6" s="25" t="s">
        <v>52</v>
      </c>
      <c r="G6" s="308" t="s">
        <v>53</v>
      </c>
      <c r="H6" s="14"/>
      <c r="I6" s="14">
        <v>783</v>
      </c>
      <c r="J6" s="14" t="s">
        <v>54</v>
      </c>
      <c r="K6" s="7">
        <v>67000</v>
      </c>
      <c r="L6" s="57" t="s">
        <v>234</v>
      </c>
      <c r="M6" s="19"/>
      <c r="N6" s="20"/>
      <c r="O6" s="21"/>
      <c r="P6" s="14" t="s">
        <v>28</v>
      </c>
      <c r="Q6" s="14" t="s">
        <v>20</v>
      </c>
      <c r="R6" s="14"/>
      <c r="S6" s="14" t="s">
        <v>55</v>
      </c>
      <c r="T6" s="14" t="s">
        <v>43</v>
      </c>
      <c r="U6" s="22" t="s">
        <v>56</v>
      </c>
      <c r="V6" s="14"/>
      <c r="W6" s="14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</row>
    <row r="7" spans="1:91" ht="14.25" hidden="1" customHeight="1" x14ac:dyDescent="0.25">
      <c r="A7" s="13">
        <v>45543</v>
      </c>
      <c r="B7" s="14" t="s">
        <v>21</v>
      </c>
      <c r="C7" s="14"/>
      <c r="D7" s="14" t="s">
        <v>57</v>
      </c>
      <c r="E7" s="24">
        <v>9801808</v>
      </c>
      <c r="F7" s="25" t="s">
        <v>58</v>
      </c>
      <c r="G7" s="308" t="s">
        <v>59</v>
      </c>
      <c r="H7" s="14"/>
      <c r="I7" s="14">
        <v>794</v>
      </c>
      <c r="J7" s="14" t="s">
        <v>35</v>
      </c>
      <c r="K7" s="7">
        <v>42000</v>
      </c>
      <c r="L7" s="57" t="s">
        <v>234</v>
      </c>
      <c r="M7" s="19"/>
      <c r="N7" s="20"/>
      <c r="O7" s="21"/>
      <c r="P7" s="14" t="s">
        <v>28</v>
      </c>
      <c r="Q7" s="14"/>
      <c r="R7" s="14"/>
      <c r="S7" s="14" t="s">
        <v>60</v>
      </c>
      <c r="T7" s="14" t="s">
        <v>61</v>
      </c>
      <c r="U7" s="22" t="s">
        <v>62</v>
      </c>
      <c r="V7" s="14"/>
      <c r="W7" s="14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</row>
    <row r="8" spans="1:91" ht="14.25" hidden="1" customHeight="1" x14ac:dyDescent="0.25">
      <c r="A8" s="26">
        <v>45566</v>
      </c>
      <c r="B8" s="15" t="s">
        <v>21</v>
      </c>
      <c r="C8" s="15"/>
      <c r="D8" s="15" t="s">
        <v>63</v>
      </c>
      <c r="E8" s="17">
        <v>24675796</v>
      </c>
      <c r="F8" s="17" t="s">
        <v>64</v>
      </c>
      <c r="G8" s="15" t="s">
        <v>65</v>
      </c>
      <c r="H8" s="15"/>
      <c r="I8" s="15" t="s">
        <v>66</v>
      </c>
      <c r="J8" s="14" t="s">
        <v>35</v>
      </c>
      <c r="K8" s="27">
        <v>42000</v>
      </c>
      <c r="L8" s="57" t="s">
        <v>234</v>
      </c>
      <c r="M8" s="28"/>
      <c r="N8" s="29"/>
      <c r="O8" s="30"/>
      <c r="P8" s="15" t="s">
        <v>28</v>
      </c>
      <c r="Q8" s="15" t="s">
        <v>20</v>
      </c>
      <c r="R8" s="15"/>
      <c r="S8" s="15" t="s">
        <v>67</v>
      </c>
      <c r="T8" s="15" t="s">
        <v>68</v>
      </c>
      <c r="U8" s="31" t="s">
        <v>69</v>
      </c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</row>
    <row r="9" spans="1:91" ht="14.25" hidden="1" customHeight="1" x14ac:dyDescent="0.25">
      <c r="A9" s="26">
        <v>45566</v>
      </c>
      <c r="B9" s="15" t="s">
        <v>21</v>
      </c>
      <c r="C9" s="15"/>
      <c r="D9" s="15" t="s">
        <v>70</v>
      </c>
      <c r="E9" s="17">
        <v>31588091</v>
      </c>
      <c r="F9" s="17" t="s">
        <v>71</v>
      </c>
      <c r="G9" s="15" t="s">
        <v>72</v>
      </c>
      <c r="H9" s="15"/>
      <c r="I9" s="15" t="s">
        <v>73</v>
      </c>
      <c r="J9" s="14" t="s">
        <v>35</v>
      </c>
      <c r="K9" s="7">
        <v>42000</v>
      </c>
      <c r="L9" s="57" t="s">
        <v>234</v>
      </c>
      <c r="M9" s="19"/>
      <c r="N9" s="20"/>
      <c r="O9" s="21"/>
      <c r="P9" s="14" t="s">
        <v>28</v>
      </c>
      <c r="Q9" s="14" t="s">
        <v>20</v>
      </c>
      <c r="R9" s="14"/>
      <c r="S9" s="14" t="s">
        <v>30</v>
      </c>
      <c r="T9" s="14" t="s">
        <v>74</v>
      </c>
      <c r="U9" s="32" t="s">
        <v>75</v>
      </c>
      <c r="V9" s="14"/>
      <c r="W9" s="14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</row>
    <row r="10" spans="1:91" ht="14.25" hidden="1" customHeight="1" x14ac:dyDescent="0.25">
      <c r="A10" s="26">
        <v>45566</v>
      </c>
      <c r="B10" s="15" t="s">
        <v>21</v>
      </c>
      <c r="C10" s="15"/>
      <c r="D10" s="15" t="s">
        <v>76</v>
      </c>
      <c r="E10" s="17">
        <v>19136966</v>
      </c>
      <c r="F10" s="17" t="s">
        <v>77</v>
      </c>
      <c r="G10" s="15" t="s">
        <v>78</v>
      </c>
      <c r="H10" s="15"/>
      <c r="I10" s="15" t="s">
        <v>79</v>
      </c>
      <c r="J10" s="14" t="s">
        <v>35</v>
      </c>
      <c r="K10" s="7">
        <v>42000</v>
      </c>
      <c r="L10" s="57" t="s">
        <v>234</v>
      </c>
      <c r="M10" s="19"/>
      <c r="N10" s="20"/>
      <c r="O10" s="21"/>
      <c r="P10" s="14" t="s">
        <v>28</v>
      </c>
      <c r="Q10" s="14" t="s">
        <v>20</v>
      </c>
      <c r="R10" s="14"/>
      <c r="S10" s="14" t="s">
        <v>30</v>
      </c>
      <c r="T10" s="14" t="s">
        <v>80</v>
      </c>
      <c r="U10" s="32" t="s">
        <v>81</v>
      </c>
      <c r="V10" s="14"/>
      <c r="W10" s="14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</row>
    <row r="11" spans="1:91" ht="14.25" hidden="1" customHeight="1" x14ac:dyDescent="0.25">
      <c r="A11" s="26">
        <v>45567</v>
      </c>
      <c r="B11" s="15" t="s">
        <v>21</v>
      </c>
      <c r="C11" s="15"/>
      <c r="D11" s="15" t="s">
        <v>82</v>
      </c>
      <c r="E11" s="17">
        <v>9801511</v>
      </c>
      <c r="F11" s="17" t="s">
        <v>83</v>
      </c>
      <c r="G11" s="15" t="s">
        <v>84</v>
      </c>
      <c r="H11" s="15"/>
      <c r="I11" s="15"/>
      <c r="J11" s="14" t="s">
        <v>35</v>
      </c>
      <c r="K11" s="7">
        <v>42000</v>
      </c>
      <c r="L11" s="57" t="s">
        <v>234</v>
      </c>
      <c r="M11" s="19"/>
      <c r="N11" s="20"/>
      <c r="O11" s="21"/>
      <c r="P11" s="14" t="s">
        <v>28</v>
      </c>
      <c r="Q11" s="14" t="s">
        <v>20</v>
      </c>
      <c r="R11" s="14"/>
      <c r="S11" s="14" t="s">
        <v>61</v>
      </c>
      <c r="T11" s="14" t="s">
        <v>86</v>
      </c>
      <c r="U11" s="32" t="s">
        <v>87</v>
      </c>
      <c r="V11" s="14"/>
      <c r="W11" s="14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</row>
    <row r="12" spans="1:91" ht="14.25" hidden="1" customHeight="1" x14ac:dyDescent="0.25">
      <c r="A12" s="26">
        <v>45575</v>
      </c>
      <c r="B12" s="15" t="s">
        <v>21</v>
      </c>
      <c r="C12" s="15"/>
      <c r="D12" s="15" t="s">
        <v>88</v>
      </c>
      <c r="E12" s="17">
        <v>1094973810</v>
      </c>
      <c r="F12" s="17" t="s">
        <v>89</v>
      </c>
      <c r="G12" s="309" t="s">
        <v>90</v>
      </c>
      <c r="H12" s="34">
        <v>1</v>
      </c>
      <c r="I12" s="15" t="s">
        <v>91</v>
      </c>
      <c r="J12" s="14" t="s">
        <v>35</v>
      </c>
      <c r="K12" s="7">
        <v>42000</v>
      </c>
      <c r="L12" s="57" t="s">
        <v>234</v>
      </c>
      <c r="M12" s="19"/>
      <c r="N12" s="20"/>
      <c r="O12" s="21"/>
      <c r="P12" s="14" t="s">
        <v>28</v>
      </c>
      <c r="Q12" s="14" t="s">
        <v>20</v>
      </c>
      <c r="R12" s="14"/>
      <c r="S12" s="14" t="s">
        <v>92</v>
      </c>
      <c r="T12" s="14" t="s">
        <v>93</v>
      </c>
      <c r="U12" s="35" t="s">
        <v>94</v>
      </c>
      <c r="V12" s="14"/>
      <c r="W12" s="14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</row>
    <row r="13" spans="1:91" ht="14.25" hidden="1" customHeight="1" x14ac:dyDescent="0.25">
      <c r="A13" s="26">
        <v>45575</v>
      </c>
      <c r="B13" s="15" t="s">
        <v>21</v>
      </c>
      <c r="C13" s="15"/>
      <c r="D13" s="15" t="s">
        <v>95</v>
      </c>
      <c r="E13" s="16">
        <v>1130659485</v>
      </c>
      <c r="F13" s="17" t="s">
        <v>96</v>
      </c>
      <c r="G13" s="15" t="s">
        <v>97</v>
      </c>
      <c r="H13" s="15"/>
      <c r="I13" s="15" t="s">
        <v>98</v>
      </c>
      <c r="J13" s="14" t="s">
        <v>35</v>
      </c>
      <c r="K13" s="7">
        <v>42000</v>
      </c>
      <c r="L13" s="57" t="s">
        <v>234</v>
      </c>
      <c r="M13" s="19"/>
      <c r="N13" s="20"/>
      <c r="O13" s="21"/>
      <c r="P13" s="14" t="s">
        <v>28</v>
      </c>
      <c r="Q13" s="14" t="s">
        <v>20</v>
      </c>
      <c r="R13" s="14"/>
      <c r="S13" s="14" t="s">
        <v>99</v>
      </c>
      <c r="T13" s="14" t="s">
        <v>92</v>
      </c>
      <c r="U13" s="32" t="s">
        <v>100</v>
      </c>
      <c r="V13" s="14"/>
      <c r="W13" s="14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</row>
    <row r="14" spans="1:91" ht="14.25" hidden="1" customHeight="1" x14ac:dyDescent="0.25">
      <c r="A14" s="13">
        <v>45576</v>
      </c>
      <c r="B14" s="14" t="s">
        <v>21</v>
      </c>
      <c r="C14" s="14"/>
      <c r="D14" s="15" t="s">
        <v>101</v>
      </c>
      <c r="E14" s="17">
        <v>38864052</v>
      </c>
      <c r="F14" s="17" t="s">
        <v>102</v>
      </c>
      <c r="G14" s="308" t="s">
        <v>103</v>
      </c>
      <c r="H14" s="14"/>
      <c r="I14" s="14" t="s">
        <v>104</v>
      </c>
      <c r="J14" s="36" t="s">
        <v>5480</v>
      </c>
      <c r="K14" s="7">
        <v>82000</v>
      </c>
      <c r="L14" s="57" t="s">
        <v>234</v>
      </c>
      <c r="M14" s="19"/>
      <c r="N14" s="20"/>
      <c r="O14" s="21"/>
      <c r="P14" s="14" t="s">
        <v>28</v>
      </c>
      <c r="Q14" s="14" t="s">
        <v>20</v>
      </c>
      <c r="R14" s="14"/>
      <c r="S14" s="14" t="s">
        <v>106</v>
      </c>
      <c r="T14" s="14" t="s">
        <v>107</v>
      </c>
      <c r="U14" s="32" t="s">
        <v>108</v>
      </c>
      <c r="V14" s="14"/>
      <c r="W14" s="14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</row>
    <row r="15" spans="1:91" ht="14.25" hidden="1" customHeight="1" x14ac:dyDescent="0.25">
      <c r="A15" s="26">
        <v>45576</v>
      </c>
      <c r="B15" s="15" t="s">
        <v>21</v>
      </c>
      <c r="C15" s="15"/>
      <c r="D15" s="15" t="s">
        <v>109</v>
      </c>
      <c r="E15" s="17">
        <v>1002921966</v>
      </c>
      <c r="F15" s="17" t="s">
        <v>110</v>
      </c>
      <c r="G15" s="297" t="s">
        <v>111</v>
      </c>
      <c r="H15" s="15"/>
      <c r="I15" s="15" t="s">
        <v>112</v>
      </c>
      <c r="J15" s="14" t="s">
        <v>35</v>
      </c>
      <c r="K15" s="7">
        <v>42000</v>
      </c>
      <c r="L15" s="57" t="s">
        <v>234</v>
      </c>
      <c r="M15" s="19"/>
      <c r="N15" s="20"/>
      <c r="O15" s="21"/>
      <c r="P15" s="14" t="s">
        <v>28</v>
      </c>
      <c r="Q15" s="14" t="s">
        <v>20</v>
      </c>
      <c r="R15" s="14"/>
      <c r="S15" s="14" t="s">
        <v>113</v>
      </c>
      <c r="T15" s="14" t="s">
        <v>30</v>
      </c>
      <c r="U15" s="32" t="s">
        <v>114</v>
      </c>
      <c r="V15" s="14"/>
      <c r="W15" s="14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</row>
    <row r="16" spans="1:91" ht="14.25" hidden="1" customHeight="1" x14ac:dyDescent="0.25">
      <c r="A16" s="26">
        <v>45577</v>
      </c>
      <c r="B16" s="15" t="s">
        <v>21</v>
      </c>
      <c r="C16" s="15"/>
      <c r="D16" s="15" t="s">
        <v>115</v>
      </c>
      <c r="E16" s="17">
        <v>66724363</v>
      </c>
      <c r="F16" s="17" t="s">
        <v>116</v>
      </c>
      <c r="G16" s="15" t="s">
        <v>117</v>
      </c>
      <c r="H16" s="15"/>
      <c r="I16" s="15" t="s">
        <v>118</v>
      </c>
      <c r="J16" s="14" t="s">
        <v>35</v>
      </c>
      <c r="K16" s="7">
        <v>42000</v>
      </c>
      <c r="L16" s="57" t="s">
        <v>234</v>
      </c>
      <c r="M16" s="19"/>
      <c r="N16" s="20"/>
      <c r="O16" s="21"/>
      <c r="P16" s="14" t="s">
        <v>28</v>
      </c>
      <c r="Q16" s="14" t="s">
        <v>20</v>
      </c>
      <c r="R16" s="14"/>
      <c r="S16" s="14" t="s">
        <v>119</v>
      </c>
      <c r="T16" s="14" t="s">
        <v>43</v>
      </c>
      <c r="U16" s="32" t="s">
        <v>120</v>
      </c>
      <c r="V16" s="14"/>
      <c r="W16" s="14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</row>
    <row r="17" spans="1:91" ht="14.25" hidden="1" customHeight="1" x14ac:dyDescent="0.25">
      <c r="A17" s="26">
        <v>45584</v>
      </c>
      <c r="B17" s="15" t="s">
        <v>21</v>
      </c>
      <c r="C17" s="15"/>
      <c r="D17" s="15" t="s">
        <v>121</v>
      </c>
      <c r="E17" s="17">
        <v>1001144353</v>
      </c>
      <c r="F17" s="17" t="s">
        <v>122</v>
      </c>
      <c r="G17" s="297" t="s">
        <v>123</v>
      </c>
      <c r="H17" s="15"/>
      <c r="I17" s="15" t="s">
        <v>124</v>
      </c>
      <c r="J17" s="14" t="s">
        <v>35</v>
      </c>
      <c r="K17" s="7">
        <v>42000</v>
      </c>
      <c r="L17" s="57" t="s">
        <v>234</v>
      </c>
      <c r="M17" s="19"/>
      <c r="N17" s="20"/>
      <c r="O17" s="21"/>
      <c r="P17" s="14" t="s">
        <v>28</v>
      </c>
      <c r="Q17" s="14" t="s">
        <v>20</v>
      </c>
      <c r="R17" s="14"/>
      <c r="S17" s="14" t="s">
        <v>125</v>
      </c>
      <c r="T17" s="14" t="s">
        <v>126</v>
      </c>
      <c r="U17" s="32" t="s">
        <v>127</v>
      </c>
      <c r="V17" s="14"/>
      <c r="W17" s="14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</row>
    <row r="18" spans="1:91" ht="14.25" hidden="1" customHeight="1" x14ac:dyDescent="0.25">
      <c r="A18" s="26">
        <v>45586</v>
      </c>
      <c r="B18" s="15" t="s">
        <v>21</v>
      </c>
      <c r="C18" s="15"/>
      <c r="D18" s="15" t="s">
        <v>128</v>
      </c>
      <c r="E18" s="17">
        <v>41906002</v>
      </c>
      <c r="F18" s="17" t="s">
        <v>129</v>
      </c>
      <c r="G18" s="309" t="s">
        <v>130</v>
      </c>
      <c r="H18" s="34">
        <v>1</v>
      </c>
      <c r="I18" s="15" t="s">
        <v>131</v>
      </c>
      <c r="J18" s="14" t="s">
        <v>35</v>
      </c>
      <c r="K18" s="7">
        <v>42000</v>
      </c>
      <c r="L18" s="57" t="s">
        <v>234</v>
      </c>
      <c r="M18" s="19"/>
      <c r="N18" s="20"/>
      <c r="O18" s="21"/>
      <c r="P18" s="14">
        <v>1</v>
      </c>
      <c r="Q18" s="14" t="s">
        <v>20</v>
      </c>
      <c r="R18" s="14"/>
      <c r="S18" s="14" t="s">
        <v>132</v>
      </c>
      <c r="T18" s="14" t="s">
        <v>107</v>
      </c>
      <c r="U18" s="32" t="s">
        <v>133</v>
      </c>
      <c r="V18" s="14"/>
      <c r="W18" s="14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</row>
    <row r="19" spans="1:91" ht="14.25" hidden="1" customHeight="1" x14ac:dyDescent="0.25">
      <c r="A19" s="26">
        <v>45587</v>
      </c>
      <c r="B19" s="15" t="s">
        <v>21</v>
      </c>
      <c r="C19" s="15"/>
      <c r="D19" s="15" t="s">
        <v>134</v>
      </c>
      <c r="E19" s="17">
        <v>9800618</v>
      </c>
      <c r="F19" s="17" t="s">
        <v>135</v>
      </c>
      <c r="G19" s="309" t="s">
        <v>136</v>
      </c>
      <c r="H19" s="34">
        <v>1</v>
      </c>
      <c r="I19" s="15" t="s">
        <v>137</v>
      </c>
      <c r="J19" s="14" t="s">
        <v>35</v>
      </c>
      <c r="K19" s="7">
        <v>42000</v>
      </c>
      <c r="L19" s="57" t="s">
        <v>234</v>
      </c>
      <c r="M19" s="19"/>
      <c r="N19" s="20"/>
      <c r="O19" s="21"/>
      <c r="P19" s="14" t="s">
        <v>28</v>
      </c>
      <c r="Q19" s="14" t="s">
        <v>20</v>
      </c>
      <c r="R19" s="14"/>
      <c r="S19" s="14" t="s">
        <v>138</v>
      </c>
      <c r="T19" s="14" t="s">
        <v>61</v>
      </c>
      <c r="U19" s="32" t="s">
        <v>139</v>
      </c>
      <c r="V19" s="14"/>
      <c r="W19" s="14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</row>
    <row r="20" spans="1:91" ht="14.25" hidden="1" customHeight="1" x14ac:dyDescent="0.25">
      <c r="A20" s="26">
        <v>45587</v>
      </c>
      <c r="B20" s="15" t="s">
        <v>21</v>
      </c>
      <c r="C20" s="15"/>
      <c r="D20" s="15" t="s">
        <v>140</v>
      </c>
      <c r="E20" s="17">
        <v>1099683267</v>
      </c>
      <c r="F20" s="17" t="s">
        <v>141</v>
      </c>
      <c r="G20" s="15" t="s">
        <v>142</v>
      </c>
      <c r="H20" s="15"/>
      <c r="I20" s="15" t="s">
        <v>143</v>
      </c>
      <c r="J20" s="14" t="s">
        <v>35</v>
      </c>
      <c r="K20" s="7">
        <v>42000</v>
      </c>
      <c r="L20" s="57" t="s">
        <v>234</v>
      </c>
      <c r="M20" s="19"/>
      <c r="N20" s="20"/>
      <c r="O20" s="21"/>
      <c r="P20" s="14" t="s">
        <v>28</v>
      </c>
      <c r="Q20" s="14" t="s">
        <v>20</v>
      </c>
      <c r="R20" s="14"/>
      <c r="S20" s="14" t="s">
        <v>144</v>
      </c>
      <c r="T20" s="14" t="s">
        <v>30</v>
      </c>
      <c r="U20" s="32" t="s">
        <v>145</v>
      </c>
      <c r="V20" s="14"/>
      <c r="W20" s="14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</row>
    <row r="21" spans="1:91" ht="14.25" hidden="1" customHeight="1" x14ac:dyDescent="0.25">
      <c r="A21" s="26">
        <v>45588</v>
      </c>
      <c r="B21" s="15" t="s">
        <v>21</v>
      </c>
      <c r="C21" s="15"/>
      <c r="D21" s="15" t="s">
        <v>146</v>
      </c>
      <c r="E21" s="17">
        <v>1099683457</v>
      </c>
      <c r="F21" s="17" t="s">
        <v>147</v>
      </c>
      <c r="G21" s="297" t="s">
        <v>148</v>
      </c>
      <c r="H21" s="15"/>
      <c r="I21" s="15" t="s">
        <v>149</v>
      </c>
      <c r="J21" s="14" t="s">
        <v>35</v>
      </c>
      <c r="K21" s="7">
        <v>42000</v>
      </c>
      <c r="L21" s="57" t="s">
        <v>234</v>
      </c>
      <c r="M21" s="19"/>
      <c r="N21" s="20"/>
      <c r="O21" s="21"/>
      <c r="P21" s="14" t="s">
        <v>28</v>
      </c>
      <c r="Q21" s="14" t="s">
        <v>20</v>
      </c>
      <c r="R21" s="14"/>
      <c r="S21" s="14" t="s">
        <v>150</v>
      </c>
      <c r="T21" s="14" t="s">
        <v>151</v>
      </c>
      <c r="U21" s="32" t="s">
        <v>152</v>
      </c>
      <c r="V21" s="14"/>
      <c r="W21" s="14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</row>
    <row r="22" spans="1:91" ht="14.25" hidden="1" customHeight="1" x14ac:dyDescent="0.25">
      <c r="A22" s="26">
        <v>45597</v>
      </c>
      <c r="B22" s="15" t="s">
        <v>21</v>
      </c>
      <c r="C22" s="28" t="s">
        <v>153</v>
      </c>
      <c r="D22" s="15" t="s">
        <v>154</v>
      </c>
      <c r="E22" s="17">
        <v>24674382</v>
      </c>
      <c r="F22" s="17" t="s">
        <v>155</v>
      </c>
      <c r="G22" s="15" t="s">
        <v>156</v>
      </c>
      <c r="H22" s="15"/>
      <c r="I22" s="15" t="s">
        <v>157</v>
      </c>
      <c r="J22" s="14" t="s">
        <v>35</v>
      </c>
      <c r="K22" s="7">
        <v>42000</v>
      </c>
      <c r="L22" s="57" t="s">
        <v>234</v>
      </c>
      <c r="M22" s="19"/>
      <c r="N22" s="20"/>
      <c r="O22" s="21"/>
      <c r="P22" s="14" t="s">
        <v>28</v>
      </c>
      <c r="Q22" s="14" t="s">
        <v>20</v>
      </c>
      <c r="R22" s="14"/>
      <c r="S22" s="14" t="s">
        <v>158</v>
      </c>
      <c r="T22" s="14" t="s">
        <v>159</v>
      </c>
      <c r="U22" s="32" t="s">
        <v>160</v>
      </c>
      <c r="V22" s="14"/>
      <c r="W22" s="14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</row>
    <row r="23" spans="1:91" ht="14.25" hidden="1" customHeight="1" x14ac:dyDescent="0.25">
      <c r="A23" s="26">
        <v>45598</v>
      </c>
      <c r="B23" s="15" t="s">
        <v>21</v>
      </c>
      <c r="C23" s="15"/>
      <c r="D23" s="15" t="s">
        <v>161</v>
      </c>
      <c r="E23" s="16">
        <v>1099683396</v>
      </c>
      <c r="F23" s="17">
        <v>3135238721</v>
      </c>
      <c r="G23" s="297" t="s">
        <v>162</v>
      </c>
      <c r="H23" s="15"/>
      <c r="I23" s="15" t="s">
        <v>163</v>
      </c>
      <c r="J23" s="14" t="s">
        <v>35</v>
      </c>
      <c r="K23" s="7">
        <v>42000</v>
      </c>
      <c r="L23" s="57" t="s">
        <v>234</v>
      </c>
      <c r="M23" s="19"/>
      <c r="N23" s="20"/>
      <c r="O23" s="21"/>
      <c r="P23" s="14" t="s">
        <v>28</v>
      </c>
      <c r="Q23" s="14" t="s">
        <v>20</v>
      </c>
      <c r="R23" s="14"/>
      <c r="S23" s="14" t="s">
        <v>164</v>
      </c>
      <c r="T23" s="14" t="s">
        <v>30</v>
      </c>
      <c r="U23" s="32" t="s">
        <v>165</v>
      </c>
      <c r="V23" s="14"/>
      <c r="W23" s="14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</row>
    <row r="24" spans="1:91" ht="14.25" hidden="1" customHeight="1" x14ac:dyDescent="0.25">
      <c r="A24" s="26">
        <v>45598</v>
      </c>
      <c r="B24" s="15" t="s">
        <v>21</v>
      </c>
      <c r="C24" s="15"/>
      <c r="D24" s="15" t="s">
        <v>166</v>
      </c>
      <c r="E24" s="17">
        <v>24675979</v>
      </c>
      <c r="F24" s="17" t="s">
        <v>167</v>
      </c>
      <c r="G24" s="297" t="s">
        <v>168</v>
      </c>
      <c r="H24" s="15"/>
      <c r="I24" s="15"/>
      <c r="J24" s="14" t="s">
        <v>35</v>
      </c>
      <c r="K24" s="7">
        <v>42000</v>
      </c>
      <c r="L24" s="57" t="s">
        <v>234</v>
      </c>
      <c r="M24" s="19"/>
      <c r="N24" s="20"/>
      <c r="O24" s="21"/>
      <c r="P24" s="14" t="s">
        <v>28</v>
      </c>
      <c r="Q24" s="14" t="s">
        <v>20</v>
      </c>
      <c r="R24" s="14"/>
      <c r="S24" s="14" t="s">
        <v>169</v>
      </c>
      <c r="T24" s="14" t="s">
        <v>170</v>
      </c>
      <c r="U24" s="32" t="s">
        <v>171</v>
      </c>
      <c r="V24" s="14"/>
      <c r="W24" s="14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</row>
    <row r="25" spans="1:91" ht="14.25" hidden="1" customHeight="1" x14ac:dyDescent="0.25">
      <c r="A25" s="26">
        <v>45603</v>
      </c>
      <c r="B25" s="15" t="s">
        <v>21</v>
      </c>
      <c r="C25" s="15"/>
      <c r="D25" s="15" t="s">
        <v>179</v>
      </c>
      <c r="E25" s="16">
        <v>4428291</v>
      </c>
      <c r="F25" s="17" t="s">
        <v>180</v>
      </c>
      <c r="G25" s="15" t="s">
        <v>181</v>
      </c>
      <c r="H25" s="15"/>
      <c r="I25" s="15" t="s">
        <v>182</v>
      </c>
      <c r="J25" s="14" t="s">
        <v>35</v>
      </c>
      <c r="K25" s="7">
        <v>42000</v>
      </c>
      <c r="L25" s="57" t="s">
        <v>234</v>
      </c>
      <c r="M25" s="19"/>
      <c r="N25" s="20"/>
      <c r="O25" s="21"/>
      <c r="P25" s="14" t="s">
        <v>28</v>
      </c>
      <c r="Q25" s="14" t="s">
        <v>20</v>
      </c>
      <c r="R25" s="14"/>
      <c r="S25" s="14" t="s">
        <v>183</v>
      </c>
      <c r="T25" s="14" t="s">
        <v>30</v>
      </c>
      <c r="U25" s="32" t="s">
        <v>184</v>
      </c>
      <c r="V25" s="14"/>
      <c r="W25" s="14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</row>
    <row r="26" spans="1:91" ht="14.25" hidden="1" customHeight="1" x14ac:dyDescent="0.25">
      <c r="A26" s="26">
        <v>45605</v>
      </c>
      <c r="B26" s="15" t="s">
        <v>21</v>
      </c>
      <c r="C26" s="15"/>
      <c r="D26" s="15" t="s">
        <v>185</v>
      </c>
      <c r="E26" s="17">
        <v>4427771</v>
      </c>
      <c r="F26" s="17" t="s">
        <v>186</v>
      </c>
      <c r="G26" s="297" t="s">
        <v>187</v>
      </c>
      <c r="H26" s="15"/>
      <c r="I26" s="15"/>
      <c r="J26" s="14" t="s">
        <v>35</v>
      </c>
      <c r="K26" s="7">
        <v>42000</v>
      </c>
      <c r="L26" s="57" t="s">
        <v>234</v>
      </c>
      <c r="M26" s="19"/>
      <c r="N26" s="20"/>
      <c r="O26" s="21"/>
      <c r="P26" s="14" t="s">
        <v>28</v>
      </c>
      <c r="Q26" s="14" t="s">
        <v>20</v>
      </c>
      <c r="R26" s="14"/>
      <c r="S26" s="14" t="s">
        <v>190</v>
      </c>
      <c r="T26" s="14" t="s">
        <v>191</v>
      </c>
      <c r="U26" s="32" t="s">
        <v>192</v>
      </c>
      <c r="V26" s="14"/>
      <c r="W26" s="14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</row>
    <row r="27" spans="1:91" ht="14.25" hidden="1" customHeight="1" x14ac:dyDescent="0.25">
      <c r="A27" s="26">
        <v>45605</v>
      </c>
      <c r="B27" s="15" t="s">
        <v>21</v>
      </c>
      <c r="C27" s="15"/>
      <c r="D27" s="15" t="s">
        <v>193</v>
      </c>
      <c r="E27" s="17">
        <v>1115191014</v>
      </c>
      <c r="F27" s="17" t="s">
        <v>194</v>
      </c>
      <c r="G27" s="309" t="s">
        <v>195</v>
      </c>
      <c r="H27" s="34">
        <v>1</v>
      </c>
      <c r="I27" s="15" t="s">
        <v>196</v>
      </c>
      <c r="J27" s="14" t="s">
        <v>35</v>
      </c>
      <c r="K27" s="7">
        <v>42000</v>
      </c>
      <c r="L27" s="57" t="s">
        <v>234</v>
      </c>
      <c r="M27" s="19"/>
      <c r="N27" s="20"/>
      <c r="O27" s="21"/>
      <c r="P27" s="14" t="s">
        <v>28</v>
      </c>
      <c r="Q27" s="14" t="s">
        <v>20</v>
      </c>
      <c r="R27" s="14"/>
      <c r="S27" s="14" t="s">
        <v>197</v>
      </c>
      <c r="T27" s="14" t="s">
        <v>198</v>
      </c>
      <c r="U27" s="32" t="s">
        <v>199</v>
      </c>
      <c r="V27" s="14"/>
      <c r="W27" s="14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</row>
    <row r="28" spans="1:91" ht="14.25" hidden="1" customHeight="1" x14ac:dyDescent="0.25">
      <c r="A28" s="26">
        <v>45607</v>
      </c>
      <c r="B28" s="15" t="s">
        <v>21</v>
      </c>
      <c r="C28" s="15"/>
      <c r="D28" s="15" t="s">
        <v>200</v>
      </c>
      <c r="E28" s="17">
        <v>12210962</v>
      </c>
      <c r="F28" s="17" t="s">
        <v>201</v>
      </c>
      <c r="G28" s="297" t="s">
        <v>202</v>
      </c>
      <c r="H28" s="15"/>
      <c r="I28" s="15" t="s">
        <v>203</v>
      </c>
      <c r="J28" s="14" t="s">
        <v>35</v>
      </c>
      <c r="K28" s="7">
        <v>42000</v>
      </c>
      <c r="L28" s="57" t="s">
        <v>234</v>
      </c>
      <c r="M28" s="19"/>
      <c r="N28" s="20"/>
      <c r="O28" s="21"/>
      <c r="P28" s="14" t="s">
        <v>28</v>
      </c>
      <c r="Q28" s="14" t="s">
        <v>20</v>
      </c>
      <c r="R28" s="14"/>
      <c r="S28" s="14" t="s">
        <v>204</v>
      </c>
      <c r="T28" s="14" t="s">
        <v>43</v>
      </c>
      <c r="U28" s="32" t="s">
        <v>205</v>
      </c>
      <c r="V28" s="14"/>
      <c r="W28" s="14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</row>
    <row r="29" spans="1:91" ht="14.25" hidden="1" customHeight="1" x14ac:dyDescent="0.25">
      <c r="A29" s="26">
        <v>45609</v>
      </c>
      <c r="B29" s="15" t="s">
        <v>21</v>
      </c>
      <c r="C29" s="15"/>
      <c r="D29" s="15" t="s">
        <v>206</v>
      </c>
      <c r="E29" s="17">
        <v>1099682544</v>
      </c>
      <c r="F29" s="17" t="s">
        <v>207</v>
      </c>
      <c r="G29" s="309" t="s">
        <v>208</v>
      </c>
      <c r="H29" s="34">
        <v>1</v>
      </c>
      <c r="I29" s="15" t="s">
        <v>209</v>
      </c>
      <c r="J29" s="14" t="s">
        <v>35</v>
      </c>
      <c r="K29" s="27">
        <v>42000</v>
      </c>
      <c r="L29" s="57" t="s">
        <v>234</v>
      </c>
      <c r="M29" s="19"/>
      <c r="N29" s="20"/>
      <c r="O29" s="21"/>
      <c r="P29" s="14" t="s">
        <v>28</v>
      </c>
      <c r="Q29" s="14" t="s">
        <v>20</v>
      </c>
      <c r="R29" s="14"/>
      <c r="S29" s="14" t="s">
        <v>210</v>
      </c>
      <c r="T29" s="14" t="s">
        <v>151</v>
      </c>
      <c r="U29" s="32" t="s">
        <v>211</v>
      </c>
      <c r="V29" s="14"/>
      <c r="W29" s="14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</row>
    <row r="30" spans="1:91" ht="14.25" hidden="1" customHeight="1" x14ac:dyDescent="0.25">
      <c r="A30" s="26">
        <v>45610</v>
      </c>
      <c r="B30" s="15" t="s">
        <v>21</v>
      </c>
      <c r="C30" s="15"/>
      <c r="D30" s="15" t="s">
        <v>212</v>
      </c>
      <c r="E30" s="16">
        <v>38202320</v>
      </c>
      <c r="F30" s="17" t="s">
        <v>213</v>
      </c>
      <c r="G30" s="309" t="s">
        <v>214</v>
      </c>
      <c r="H30" s="37">
        <v>1</v>
      </c>
      <c r="I30" s="15" t="s">
        <v>215</v>
      </c>
      <c r="J30" s="14" t="s">
        <v>35</v>
      </c>
      <c r="K30" s="27">
        <v>42000</v>
      </c>
      <c r="L30" s="57" t="s">
        <v>234</v>
      </c>
      <c r="M30" s="19"/>
      <c r="N30" s="20"/>
      <c r="O30" s="21"/>
      <c r="P30" s="14" t="s">
        <v>28</v>
      </c>
      <c r="Q30" s="14" t="s">
        <v>20</v>
      </c>
      <c r="R30" s="14"/>
      <c r="S30" s="14" t="s">
        <v>216</v>
      </c>
      <c r="T30" s="14" t="s">
        <v>217</v>
      </c>
      <c r="U30" s="32" t="s">
        <v>218</v>
      </c>
      <c r="V30" s="14"/>
      <c r="W30" s="14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</row>
    <row r="31" spans="1:91" ht="14.25" hidden="1" customHeight="1" x14ac:dyDescent="0.25">
      <c r="A31" s="26">
        <v>45612</v>
      </c>
      <c r="B31" s="15" t="s">
        <v>21</v>
      </c>
      <c r="C31" s="15"/>
      <c r="D31" s="15" t="s">
        <v>220</v>
      </c>
      <c r="E31" s="17">
        <v>6452456</v>
      </c>
      <c r="F31" s="17" t="s">
        <v>221</v>
      </c>
      <c r="G31" s="309" t="s">
        <v>222</v>
      </c>
      <c r="H31" s="34">
        <v>1</v>
      </c>
      <c r="I31" s="15"/>
      <c r="J31" s="14" t="s">
        <v>35</v>
      </c>
      <c r="K31" s="27">
        <v>42000</v>
      </c>
      <c r="L31" s="57" t="s">
        <v>234</v>
      </c>
      <c r="M31" s="28"/>
      <c r="N31" s="29"/>
      <c r="O31" s="30"/>
      <c r="P31" s="15" t="s">
        <v>28</v>
      </c>
      <c r="Q31" s="15" t="s">
        <v>20</v>
      </c>
      <c r="R31" s="15"/>
      <c r="S31" s="15" t="s">
        <v>223</v>
      </c>
      <c r="T31" s="15" t="s">
        <v>224</v>
      </c>
      <c r="U31" s="31" t="s">
        <v>225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</row>
    <row r="32" spans="1:91" ht="14.25" hidden="1" customHeight="1" x14ac:dyDescent="0.25">
      <c r="A32" s="26">
        <v>45614</v>
      </c>
      <c r="B32" s="15" t="s">
        <v>21</v>
      </c>
      <c r="C32" s="15"/>
      <c r="D32" s="15" t="s">
        <v>226</v>
      </c>
      <c r="E32" s="17">
        <v>1005319241</v>
      </c>
      <c r="F32" s="17" t="s">
        <v>227</v>
      </c>
      <c r="G32" s="297" t="s">
        <v>187</v>
      </c>
      <c r="H32" s="15"/>
      <c r="I32" s="15" t="s">
        <v>228</v>
      </c>
      <c r="J32" s="14" t="s">
        <v>35</v>
      </c>
      <c r="K32" s="7">
        <v>42000</v>
      </c>
      <c r="L32" s="57" t="s">
        <v>234</v>
      </c>
      <c r="M32" s="19"/>
      <c r="N32" s="20"/>
      <c r="O32" s="21"/>
      <c r="P32" s="14" t="s">
        <v>28</v>
      </c>
      <c r="Q32" s="14" t="s">
        <v>20</v>
      </c>
      <c r="R32" s="14"/>
      <c r="S32" s="14" t="s">
        <v>229</v>
      </c>
      <c r="T32" s="14" t="s">
        <v>107</v>
      </c>
      <c r="U32" s="32" t="s">
        <v>230</v>
      </c>
      <c r="V32" s="14"/>
      <c r="W32" s="14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</row>
    <row r="33" spans="1:91" ht="14.25" hidden="1" customHeight="1" x14ac:dyDescent="0.25">
      <c r="A33" s="26">
        <v>45623</v>
      </c>
      <c r="B33" s="15" t="s">
        <v>21</v>
      </c>
      <c r="C33" s="15"/>
      <c r="D33" s="15" t="s">
        <v>237</v>
      </c>
      <c r="E33" s="16">
        <v>22950535</v>
      </c>
      <c r="F33" s="17" t="s">
        <v>238</v>
      </c>
      <c r="G33" s="297" t="s">
        <v>239</v>
      </c>
      <c r="H33" s="15"/>
      <c r="I33" s="15" t="s">
        <v>240</v>
      </c>
      <c r="J33" s="14" t="s">
        <v>35</v>
      </c>
      <c r="K33" s="27">
        <v>42000</v>
      </c>
      <c r="L33" s="57" t="s">
        <v>234</v>
      </c>
      <c r="M33" s="19"/>
      <c r="N33" s="20"/>
      <c r="O33" s="21"/>
      <c r="P33" s="14" t="s">
        <v>28</v>
      </c>
      <c r="Q33" s="14" t="s">
        <v>20</v>
      </c>
      <c r="R33" s="14"/>
      <c r="S33" s="14" t="s">
        <v>241</v>
      </c>
      <c r="T33" s="14" t="s">
        <v>67</v>
      </c>
      <c r="U33" s="32" t="s">
        <v>242</v>
      </c>
      <c r="V33" s="14"/>
      <c r="W33" s="14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</row>
    <row r="34" spans="1:91" ht="14.25" hidden="1" customHeight="1" x14ac:dyDescent="0.25">
      <c r="A34" s="26">
        <v>45624</v>
      </c>
      <c r="B34" s="15" t="s">
        <v>21</v>
      </c>
      <c r="C34" s="15"/>
      <c r="D34" s="15" t="s">
        <v>243</v>
      </c>
      <c r="E34" s="17">
        <v>24674245</v>
      </c>
      <c r="F34" s="17">
        <v>3137877907</v>
      </c>
      <c r="G34" s="15" t="s">
        <v>244</v>
      </c>
      <c r="H34" s="15"/>
      <c r="I34" s="15">
        <v>903</v>
      </c>
      <c r="J34" s="14" t="s">
        <v>35</v>
      </c>
      <c r="K34" s="7">
        <v>42000</v>
      </c>
      <c r="L34" s="57" t="s">
        <v>234</v>
      </c>
      <c r="M34" s="19"/>
      <c r="N34" s="20"/>
      <c r="O34" s="21"/>
      <c r="P34" s="14" t="s">
        <v>28</v>
      </c>
      <c r="Q34" s="14" t="s">
        <v>20</v>
      </c>
      <c r="R34" s="14"/>
      <c r="S34" s="14" t="s">
        <v>245</v>
      </c>
      <c r="T34" s="14" t="s">
        <v>107</v>
      </c>
      <c r="U34" s="35" t="s">
        <v>246</v>
      </c>
      <c r="V34" s="14"/>
      <c r="W34" s="14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</row>
    <row r="35" spans="1:91" ht="14.25" hidden="1" customHeight="1" x14ac:dyDescent="0.25">
      <c r="A35" s="13">
        <v>45630</v>
      </c>
      <c r="B35" s="14" t="s">
        <v>21</v>
      </c>
      <c r="C35" s="14"/>
      <c r="D35" s="15" t="s">
        <v>247</v>
      </c>
      <c r="E35" s="16">
        <v>9801284</v>
      </c>
      <c r="F35" s="17" t="s">
        <v>248</v>
      </c>
      <c r="G35" s="309" t="s">
        <v>249</v>
      </c>
      <c r="H35" s="45">
        <v>1</v>
      </c>
      <c r="I35" s="14" t="s">
        <v>250</v>
      </c>
      <c r="J35" s="15" t="s">
        <v>188</v>
      </c>
      <c r="K35" s="27">
        <v>57000</v>
      </c>
      <c r="L35" s="57" t="s">
        <v>234</v>
      </c>
      <c r="M35" s="19"/>
      <c r="N35" s="20"/>
      <c r="O35" s="21"/>
      <c r="P35" s="14" t="s">
        <v>28</v>
      </c>
      <c r="Q35" s="14" t="s">
        <v>20</v>
      </c>
      <c r="R35" s="14"/>
      <c r="S35" s="14" t="s">
        <v>251</v>
      </c>
      <c r="T35" s="14" t="s">
        <v>107</v>
      </c>
      <c r="U35" s="32" t="s">
        <v>252</v>
      </c>
      <c r="V35" s="14"/>
      <c r="W35" s="14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</row>
    <row r="36" spans="1:91" ht="14.25" hidden="1" customHeight="1" x14ac:dyDescent="0.25">
      <c r="A36" s="26">
        <v>45630</v>
      </c>
      <c r="B36" s="15" t="s">
        <v>21</v>
      </c>
      <c r="C36" s="15"/>
      <c r="D36" s="15" t="s">
        <v>253</v>
      </c>
      <c r="E36" s="17">
        <v>1099683604</v>
      </c>
      <c r="F36" s="17" t="s">
        <v>254</v>
      </c>
      <c r="G36" s="15" t="s">
        <v>255</v>
      </c>
      <c r="H36" s="15"/>
      <c r="I36" s="15" t="s">
        <v>215</v>
      </c>
      <c r="J36" s="14" t="s">
        <v>35</v>
      </c>
      <c r="K36" s="7">
        <v>42000</v>
      </c>
      <c r="L36" s="57" t="s">
        <v>234</v>
      </c>
      <c r="M36" s="19"/>
      <c r="N36" s="20"/>
      <c r="O36" s="21"/>
      <c r="P36" s="14" t="s">
        <v>28</v>
      </c>
      <c r="Q36" s="14" t="s">
        <v>20</v>
      </c>
      <c r="R36" s="14"/>
      <c r="S36" s="14" t="s">
        <v>256</v>
      </c>
      <c r="T36" s="14" t="s">
        <v>61</v>
      </c>
      <c r="U36" s="32" t="s">
        <v>257</v>
      </c>
      <c r="V36" s="14"/>
      <c r="W36" s="14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</row>
    <row r="37" spans="1:91" ht="14.25" hidden="1" customHeight="1" x14ac:dyDescent="0.25">
      <c r="A37" s="26">
        <v>45632</v>
      </c>
      <c r="B37" s="15" t="s">
        <v>21</v>
      </c>
      <c r="C37" s="15"/>
      <c r="D37" s="15" t="s">
        <v>258</v>
      </c>
      <c r="E37" s="17">
        <v>5257787</v>
      </c>
      <c r="F37" s="17" t="s">
        <v>259</v>
      </c>
      <c r="G37" s="309" t="s">
        <v>260</v>
      </c>
      <c r="H37" s="34">
        <v>1</v>
      </c>
      <c r="I37" s="15"/>
      <c r="J37" s="14" t="s">
        <v>35</v>
      </c>
      <c r="K37" s="7">
        <v>42000</v>
      </c>
      <c r="L37" s="57" t="s">
        <v>234</v>
      </c>
      <c r="M37" s="19"/>
      <c r="N37" s="20"/>
      <c r="O37" s="21"/>
      <c r="P37" s="14" t="s">
        <v>28</v>
      </c>
      <c r="Q37" s="14" t="s">
        <v>20</v>
      </c>
      <c r="R37" s="14"/>
      <c r="S37" s="14" t="s">
        <v>261</v>
      </c>
      <c r="T37" s="14" t="s">
        <v>30</v>
      </c>
      <c r="U37" s="32" t="s">
        <v>262</v>
      </c>
      <c r="V37" s="14"/>
      <c r="W37" s="14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</row>
    <row r="38" spans="1:91" ht="14.25" hidden="1" customHeight="1" x14ac:dyDescent="0.25">
      <c r="A38" s="26">
        <v>45632</v>
      </c>
      <c r="B38" s="15" t="s">
        <v>21</v>
      </c>
      <c r="C38" s="15"/>
      <c r="D38" s="15" t="s">
        <v>263</v>
      </c>
      <c r="E38" s="17">
        <v>1098307894</v>
      </c>
      <c r="F38" s="17" t="s">
        <v>264</v>
      </c>
      <c r="G38" s="15" t="s">
        <v>265</v>
      </c>
      <c r="H38" s="15"/>
      <c r="I38" s="15"/>
      <c r="J38" s="14" t="s">
        <v>35</v>
      </c>
      <c r="K38" s="7">
        <v>42000</v>
      </c>
      <c r="L38" s="57" t="s">
        <v>234</v>
      </c>
      <c r="M38" s="19"/>
      <c r="N38" s="20"/>
      <c r="O38" s="21"/>
      <c r="P38" s="14" t="s">
        <v>28</v>
      </c>
      <c r="Q38" s="14" t="s">
        <v>20</v>
      </c>
      <c r="R38" s="14"/>
      <c r="S38" s="14" t="s">
        <v>266</v>
      </c>
      <c r="T38" s="14" t="s">
        <v>267</v>
      </c>
      <c r="U38" s="32" t="s">
        <v>268</v>
      </c>
      <c r="V38" s="14"/>
      <c r="W38" s="14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</row>
    <row r="39" spans="1:91" ht="14.25" hidden="1" customHeight="1" x14ac:dyDescent="0.25">
      <c r="A39" s="26">
        <v>45635</v>
      </c>
      <c r="B39" s="15" t="s">
        <v>21</v>
      </c>
      <c r="C39" s="15"/>
      <c r="D39" s="15" t="s">
        <v>269</v>
      </c>
      <c r="E39" s="17">
        <v>24675715</v>
      </c>
      <c r="F39" s="17" t="s">
        <v>270</v>
      </c>
      <c r="G39" s="15" t="s">
        <v>271</v>
      </c>
      <c r="H39" s="15"/>
      <c r="I39" s="15" t="s">
        <v>272</v>
      </c>
      <c r="J39" s="14" t="s">
        <v>35</v>
      </c>
      <c r="K39" s="7">
        <v>42000</v>
      </c>
      <c r="L39" s="57" t="s">
        <v>234</v>
      </c>
      <c r="M39" s="19"/>
      <c r="N39" s="20"/>
      <c r="O39" s="21"/>
      <c r="P39" s="14" t="s">
        <v>28</v>
      </c>
      <c r="Q39" s="14" t="s">
        <v>20</v>
      </c>
      <c r="R39" s="14"/>
      <c r="S39" s="14" t="s">
        <v>273</v>
      </c>
      <c r="T39" s="14" t="s">
        <v>224</v>
      </c>
      <c r="U39" s="32" t="s">
        <v>274</v>
      </c>
      <c r="V39" s="14"/>
      <c r="W39" s="14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</row>
    <row r="40" spans="1:91" ht="14.25" hidden="1" customHeight="1" x14ac:dyDescent="0.25">
      <c r="A40" s="26">
        <v>45639</v>
      </c>
      <c r="B40" s="15" t="s">
        <v>21</v>
      </c>
      <c r="C40" s="15"/>
      <c r="D40" s="15" t="s">
        <v>275</v>
      </c>
      <c r="E40" s="17">
        <v>1099682295</v>
      </c>
      <c r="F40" s="17" t="s">
        <v>276</v>
      </c>
      <c r="G40" s="309" t="s">
        <v>277</v>
      </c>
      <c r="H40" s="34">
        <v>1</v>
      </c>
      <c r="I40" s="15" t="s">
        <v>278</v>
      </c>
      <c r="J40" s="14" t="s">
        <v>35</v>
      </c>
      <c r="K40" s="7">
        <v>42000</v>
      </c>
      <c r="L40" s="57" t="s">
        <v>234</v>
      </c>
      <c r="M40" s="19"/>
      <c r="N40" s="20"/>
      <c r="O40" s="21"/>
      <c r="P40" s="14" t="s">
        <v>28</v>
      </c>
      <c r="Q40" s="14" t="s">
        <v>20</v>
      </c>
      <c r="R40" s="14"/>
      <c r="S40" s="14" t="s">
        <v>279</v>
      </c>
      <c r="T40" s="14" t="s">
        <v>67</v>
      </c>
      <c r="U40" s="32" t="s">
        <v>280</v>
      </c>
      <c r="V40" s="14"/>
      <c r="W40" s="14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</row>
    <row r="41" spans="1:91" ht="14.25" hidden="1" customHeight="1" x14ac:dyDescent="0.25">
      <c r="A41" s="26">
        <v>45639</v>
      </c>
      <c r="B41" s="15" t="s">
        <v>21</v>
      </c>
      <c r="C41" s="15"/>
      <c r="D41" s="15" t="s">
        <v>281</v>
      </c>
      <c r="E41" s="16">
        <v>4427967</v>
      </c>
      <c r="F41" s="17" t="s">
        <v>282</v>
      </c>
      <c r="G41" s="15" t="s">
        <v>283</v>
      </c>
      <c r="H41" s="15"/>
      <c r="I41" s="15" t="s">
        <v>284</v>
      </c>
      <c r="J41" s="14" t="s">
        <v>35</v>
      </c>
      <c r="K41" s="27">
        <v>42000</v>
      </c>
      <c r="L41" s="57" t="s">
        <v>234</v>
      </c>
      <c r="M41" s="19"/>
      <c r="N41" s="20"/>
      <c r="O41" s="21"/>
      <c r="P41" s="14" t="s">
        <v>28</v>
      </c>
      <c r="Q41" s="14" t="s">
        <v>20</v>
      </c>
      <c r="R41" s="14"/>
      <c r="S41" s="14" t="s">
        <v>285</v>
      </c>
      <c r="T41" s="14" t="s">
        <v>286</v>
      </c>
      <c r="U41" s="32" t="s">
        <v>287</v>
      </c>
      <c r="V41" s="14"/>
      <c r="W41" s="14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</row>
    <row r="42" spans="1:91" ht="14.25" hidden="1" customHeight="1" x14ac:dyDescent="0.25">
      <c r="A42" s="26">
        <v>45639</v>
      </c>
      <c r="B42" s="15" t="s">
        <v>21</v>
      </c>
      <c r="C42" s="15"/>
      <c r="D42" s="15" t="s">
        <v>288</v>
      </c>
      <c r="E42" s="17">
        <v>1808471</v>
      </c>
      <c r="F42" s="17" t="s">
        <v>289</v>
      </c>
      <c r="G42" s="15" t="s">
        <v>290</v>
      </c>
      <c r="H42" s="15"/>
      <c r="I42" s="15" t="s">
        <v>5</v>
      </c>
      <c r="J42" s="14" t="s">
        <v>35</v>
      </c>
      <c r="K42" s="7">
        <v>42000</v>
      </c>
      <c r="L42" s="57" t="s">
        <v>234</v>
      </c>
      <c r="M42" s="19"/>
      <c r="N42" s="20"/>
      <c r="O42" s="21"/>
      <c r="P42" s="14" t="s">
        <v>28</v>
      </c>
      <c r="Q42" s="14" t="s">
        <v>20</v>
      </c>
      <c r="R42" s="14"/>
      <c r="S42" s="14" t="s">
        <v>291</v>
      </c>
      <c r="T42" s="14" t="s">
        <v>292</v>
      </c>
      <c r="U42" s="32" t="s">
        <v>293</v>
      </c>
      <c r="V42" s="14"/>
      <c r="W42" s="14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</row>
    <row r="43" spans="1:91" ht="14.25" hidden="1" customHeight="1" x14ac:dyDescent="0.25">
      <c r="A43" s="26">
        <v>45640</v>
      </c>
      <c r="B43" s="15" t="s">
        <v>21</v>
      </c>
      <c r="C43" s="15"/>
      <c r="D43" s="15" t="s">
        <v>294</v>
      </c>
      <c r="E43" s="17">
        <v>9801022</v>
      </c>
      <c r="F43" s="17" t="s">
        <v>295</v>
      </c>
      <c r="G43" s="15" t="s">
        <v>296</v>
      </c>
      <c r="H43" s="15"/>
      <c r="I43" s="15" t="s">
        <v>297</v>
      </c>
      <c r="J43" s="14" t="s">
        <v>35</v>
      </c>
      <c r="K43" s="27">
        <v>42000</v>
      </c>
      <c r="L43" s="57" t="s">
        <v>234</v>
      </c>
      <c r="M43" s="19"/>
      <c r="N43" s="20"/>
      <c r="O43" s="21"/>
      <c r="P43" s="14" t="s">
        <v>28</v>
      </c>
      <c r="Q43" s="14" t="s">
        <v>20</v>
      </c>
      <c r="R43" s="14"/>
      <c r="S43" s="14" t="s">
        <v>298</v>
      </c>
      <c r="T43" s="14" t="s">
        <v>43</v>
      </c>
      <c r="U43" s="32" t="s">
        <v>299</v>
      </c>
      <c r="V43" s="14"/>
      <c r="W43" s="14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</row>
    <row r="44" spans="1:91" ht="14.25" hidden="1" customHeight="1" x14ac:dyDescent="0.25">
      <c r="A44" s="26">
        <v>45644</v>
      </c>
      <c r="B44" s="15" t="s">
        <v>21</v>
      </c>
      <c r="C44" s="15"/>
      <c r="D44" s="15" t="s">
        <v>300</v>
      </c>
      <c r="E44" s="17">
        <v>1113313247</v>
      </c>
      <c r="F44" s="17" t="s">
        <v>301</v>
      </c>
      <c r="G44" s="15" t="s">
        <v>302</v>
      </c>
      <c r="H44" s="15"/>
      <c r="I44" s="15" t="s">
        <v>303</v>
      </c>
      <c r="J44" s="14" t="s">
        <v>35</v>
      </c>
      <c r="K44" s="7">
        <v>42000</v>
      </c>
      <c r="L44" s="57" t="s">
        <v>234</v>
      </c>
      <c r="M44" s="19"/>
      <c r="N44" s="20"/>
      <c r="O44" s="21"/>
      <c r="P44" s="14" t="s">
        <v>28</v>
      </c>
      <c r="Q44" s="14" t="s">
        <v>20</v>
      </c>
      <c r="R44" s="14"/>
      <c r="S44" s="14" t="s">
        <v>304</v>
      </c>
      <c r="T44" s="14" t="s">
        <v>67</v>
      </c>
      <c r="U44" s="32" t="s">
        <v>305</v>
      </c>
      <c r="V44" s="14"/>
      <c r="W44" s="14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</row>
    <row r="45" spans="1:91" ht="14.25" hidden="1" customHeight="1" x14ac:dyDescent="0.25">
      <c r="A45" s="26">
        <v>45649</v>
      </c>
      <c r="B45" s="15" t="s">
        <v>21</v>
      </c>
      <c r="C45" s="15"/>
      <c r="D45" s="15" t="s">
        <v>312</v>
      </c>
      <c r="E45" s="17">
        <v>6446224</v>
      </c>
      <c r="F45" s="17" t="s">
        <v>313</v>
      </c>
      <c r="G45" s="15" t="s">
        <v>314</v>
      </c>
      <c r="H45" s="15"/>
      <c r="I45" s="15"/>
      <c r="J45" s="14" t="s">
        <v>35</v>
      </c>
      <c r="K45" s="7">
        <v>42000</v>
      </c>
      <c r="L45" s="57" t="s">
        <v>234</v>
      </c>
      <c r="M45" s="19"/>
      <c r="N45" s="20"/>
      <c r="O45" s="21"/>
      <c r="P45" s="14" t="s">
        <v>28</v>
      </c>
      <c r="Q45" s="14" t="s">
        <v>20</v>
      </c>
      <c r="R45" s="14"/>
      <c r="S45" s="14" t="s">
        <v>315</v>
      </c>
      <c r="T45" s="14" t="s">
        <v>217</v>
      </c>
      <c r="U45" s="47" t="s">
        <v>311</v>
      </c>
      <c r="V45" s="14"/>
      <c r="W45" s="14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</row>
    <row r="46" spans="1:91" ht="14.25" hidden="1" customHeight="1" x14ac:dyDescent="0.25">
      <c r="A46" s="13">
        <v>45649</v>
      </c>
      <c r="B46" s="14" t="s">
        <v>21</v>
      </c>
      <c r="C46" s="14" t="s">
        <v>316</v>
      </c>
      <c r="D46" s="15" t="s">
        <v>317</v>
      </c>
      <c r="E46" s="17">
        <v>1022379110</v>
      </c>
      <c r="F46" s="17" t="s">
        <v>318</v>
      </c>
      <c r="G46" s="308" t="s">
        <v>319</v>
      </c>
      <c r="H46" s="14"/>
      <c r="I46" s="14" t="s">
        <v>320</v>
      </c>
      <c r="J46" s="15" t="s">
        <v>188</v>
      </c>
      <c r="K46" s="27">
        <v>57000</v>
      </c>
      <c r="L46" s="57" t="s">
        <v>234</v>
      </c>
      <c r="M46" s="19"/>
      <c r="N46" s="20"/>
      <c r="O46" s="21"/>
      <c r="P46" s="14" t="s">
        <v>28</v>
      </c>
      <c r="Q46" s="14" t="s">
        <v>20</v>
      </c>
      <c r="R46" s="14"/>
      <c r="S46" s="14" t="s">
        <v>321</v>
      </c>
      <c r="T46" s="14" t="s">
        <v>107</v>
      </c>
      <c r="U46" s="47" t="s">
        <v>311</v>
      </c>
      <c r="V46" s="14"/>
      <c r="W46" s="14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</row>
    <row r="47" spans="1:91" ht="14.25" hidden="1" customHeight="1" x14ac:dyDescent="0.25">
      <c r="A47" s="26">
        <v>45653</v>
      </c>
      <c r="B47" s="48" t="s">
        <v>21</v>
      </c>
      <c r="C47" s="48"/>
      <c r="D47" s="15" t="s">
        <v>322</v>
      </c>
      <c r="E47" s="17">
        <v>1005367121</v>
      </c>
      <c r="F47" s="17" t="s">
        <v>323</v>
      </c>
      <c r="G47" s="297" t="s">
        <v>324</v>
      </c>
      <c r="H47" s="15"/>
      <c r="I47" s="15"/>
      <c r="J47" s="14" t="s">
        <v>35</v>
      </c>
      <c r="K47" s="7">
        <v>42000</v>
      </c>
      <c r="L47" s="57" t="s">
        <v>234</v>
      </c>
      <c r="M47" s="19"/>
      <c r="N47" s="20"/>
      <c r="O47" s="21"/>
      <c r="P47" s="14" t="s">
        <v>28</v>
      </c>
      <c r="Q47" s="14" t="s">
        <v>20</v>
      </c>
      <c r="R47" s="14"/>
      <c r="S47" s="14" t="s">
        <v>325</v>
      </c>
      <c r="T47" s="14" t="s">
        <v>30</v>
      </c>
      <c r="U47" s="32" t="s">
        <v>326</v>
      </c>
      <c r="V47" s="14"/>
      <c r="W47" s="14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</row>
    <row r="48" spans="1:91" ht="14.25" hidden="1" customHeight="1" x14ac:dyDescent="0.25">
      <c r="A48" s="13">
        <v>45653</v>
      </c>
      <c r="B48" s="14" t="s">
        <v>21</v>
      </c>
      <c r="C48" s="14"/>
      <c r="D48" s="15" t="s">
        <v>327</v>
      </c>
      <c r="E48" s="17">
        <v>1099682201</v>
      </c>
      <c r="F48" s="17" t="s">
        <v>328</v>
      </c>
      <c r="G48" s="309" t="s">
        <v>329</v>
      </c>
      <c r="H48" s="45">
        <v>1</v>
      </c>
      <c r="I48" s="14"/>
      <c r="J48" s="15" t="s">
        <v>188</v>
      </c>
      <c r="K48" s="7">
        <v>57000</v>
      </c>
      <c r="L48" s="57" t="s">
        <v>234</v>
      </c>
      <c r="M48" s="19"/>
      <c r="N48" s="20"/>
      <c r="O48" s="21"/>
      <c r="P48" s="14" t="s">
        <v>28</v>
      </c>
      <c r="Q48" s="14" t="s">
        <v>20</v>
      </c>
      <c r="R48" s="14"/>
      <c r="S48" s="14" t="s">
        <v>236</v>
      </c>
      <c r="T48" s="14" t="s">
        <v>330</v>
      </c>
      <c r="U48" s="47" t="s">
        <v>311</v>
      </c>
      <c r="V48" s="14"/>
      <c r="W48" s="14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</row>
    <row r="49" spans="1:91" ht="14.25" hidden="1" customHeight="1" x14ac:dyDescent="0.25">
      <c r="A49" s="26">
        <v>45661</v>
      </c>
      <c r="B49" s="15" t="s">
        <v>21</v>
      </c>
      <c r="C49" s="15"/>
      <c r="D49" s="15" t="s">
        <v>335</v>
      </c>
      <c r="E49" s="17">
        <v>1099684231</v>
      </c>
      <c r="F49" s="17" t="s">
        <v>336</v>
      </c>
      <c r="G49" s="15" t="s">
        <v>337</v>
      </c>
      <c r="H49" s="15"/>
      <c r="I49" s="15"/>
      <c r="J49" s="14" t="s">
        <v>35</v>
      </c>
      <c r="K49" s="7">
        <v>42000</v>
      </c>
      <c r="L49" s="57" t="s">
        <v>234</v>
      </c>
      <c r="M49" s="19"/>
      <c r="N49" s="20"/>
      <c r="O49" s="21"/>
      <c r="P49" s="14" t="s">
        <v>28</v>
      </c>
      <c r="Q49" s="14" t="s">
        <v>20</v>
      </c>
      <c r="R49" s="14"/>
      <c r="S49" s="14" t="s">
        <v>36</v>
      </c>
      <c r="T49" s="14" t="s">
        <v>338</v>
      </c>
      <c r="U49" s="32" t="s">
        <v>339</v>
      </c>
      <c r="V49" s="14"/>
      <c r="W49" s="14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</row>
    <row r="50" spans="1:91" ht="14.25" hidden="1" customHeight="1" x14ac:dyDescent="0.25">
      <c r="A50" s="26">
        <v>45663</v>
      </c>
      <c r="B50" s="15" t="s">
        <v>21</v>
      </c>
      <c r="C50" s="15"/>
      <c r="D50" s="15" t="s">
        <v>340</v>
      </c>
      <c r="E50" s="17">
        <v>24674223</v>
      </c>
      <c r="F50" s="17" t="s">
        <v>341</v>
      </c>
      <c r="G50" s="15" t="s">
        <v>342</v>
      </c>
      <c r="H50" s="15"/>
      <c r="I50" s="15" t="s">
        <v>343</v>
      </c>
      <c r="J50" s="14" t="s">
        <v>35</v>
      </c>
      <c r="K50" s="7">
        <v>42000</v>
      </c>
      <c r="L50" s="57" t="s">
        <v>234</v>
      </c>
      <c r="M50" s="19"/>
      <c r="N50" s="20"/>
      <c r="O50" s="21"/>
      <c r="P50" s="14" t="s">
        <v>28</v>
      </c>
      <c r="Q50" s="14" t="s">
        <v>20</v>
      </c>
      <c r="R50" s="14"/>
      <c r="S50" s="14" t="s">
        <v>107</v>
      </c>
      <c r="T50" s="14" t="s">
        <v>344</v>
      </c>
      <c r="U50" s="32" t="s">
        <v>345</v>
      </c>
      <c r="V50" s="14"/>
      <c r="W50" s="14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</row>
    <row r="51" spans="1:91" ht="14.25" hidden="1" customHeight="1" x14ac:dyDescent="0.25">
      <c r="A51" s="26">
        <v>45667</v>
      </c>
      <c r="B51" s="15" t="s">
        <v>21</v>
      </c>
      <c r="C51" s="15"/>
      <c r="D51" s="15" t="s">
        <v>346</v>
      </c>
      <c r="E51" s="17">
        <v>1005206841</v>
      </c>
      <c r="F51" s="17" t="s">
        <v>347</v>
      </c>
      <c r="G51" s="309" t="s">
        <v>348</v>
      </c>
      <c r="H51" s="34">
        <v>1</v>
      </c>
      <c r="I51" s="15"/>
      <c r="J51" s="14" t="s">
        <v>35</v>
      </c>
      <c r="K51" s="7">
        <v>42000</v>
      </c>
      <c r="L51" s="57" t="s">
        <v>234</v>
      </c>
      <c r="M51" s="19"/>
      <c r="N51" s="20"/>
      <c r="O51" s="21"/>
      <c r="P51" s="14" t="s">
        <v>28</v>
      </c>
      <c r="Q51" s="14" t="s">
        <v>20</v>
      </c>
      <c r="R51" s="14"/>
      <c r="S51" s="14" t="s">
        <v>61</v>
      </c>
      <c r="T51" s="14" t="s">
        <v>349</v>
      </c>
      <c r="U51" s="32" t="s">
        <v>350</v>
      </c>
      <c r="V51" s="14"/>
      <c r="W51" s="14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</row>
    <row r="52" spans="1:91" ht="14.25" hidden="1" customHeight="1" x14ac:dyDescent="0.25">
      <c r="A52" s="26">
        <v>45667</v>
      </c>
      <c r="B52" s="15" t="s">
        <v>21</v>
      </c>
      <c r="C52" s="15"/>
      <c r="D52" s="15" t="s">
        <v>351</v>
      </c>
      <c r="E52" s="16">
        <v>1116435114</v>
      </c>
      <c r="F52" s="17" t="s">
        <v>352</v>
      </c>
      <c r="G52" s="297" t="s">
        <v>353</v>
      </c>
      <c r="H52" s="15"/>
      <c r="I52" s="15" t="s">
        <v>354</v>
      </c>
      <c r="J52" s="15" t="s">
        <v>188</v>
      </c>
      <c r="K52" s="7">
        <v>57000</v>
      </c>
      <c r="L52" s="57" t="s">
        <v>234</v>
      </c>
      <c r="M52" s="19"/>
      <c r="N52" s="20"/>
      <c r="O52" s="21"/>
      <c r="P52" s="14" t="s">
        <v>28</v>
      </c>
      <c r="Q52" s="14" t="s">
        <v>20</v>
      </c>
      <c r="R52" s="14"/>
      <c r="S52" s="14" t="s">
        <v>67</v>
      </c>
      <c r="T52" s="14" t="s">
        <v>355</v>
      </c>
      <c r="U52" s="32" t="s">
        <v>356</v>
      </c>
      <c r="V52" s="14"/>
      <c r="W52" s="14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</row>
    <row r="53" spans="1:91" ht="14.25" hidden="1" customHeight="1" x14ac:dyDescent="0.25">
      <c r="A53" s="26">
        <v>45667</v>
      </c>
      <c r="B53" s="15" t="s">
        <v>21</v>
      </c>
      <c r="C53" s="15"/>
      <c r="D53" s="15" t="s">
        <v>357</v>
      </c>
      <c r="E53" s="17">
        <v>14193742</v>
      </c>
      <c r="F53" s="17" t="s">
        <v>358</v>
      </c>
      <c r="G53" s="309" t="s">
        <v>359</v>
      </c>
      <c r="H53" s="34">
        <v>1</v>
      </c>
      <c r="I53" s="15" t="s">
        <v>5</v>
      </c>
      <c r="J53" s="14" t="s">
        <v>35</v>
      </c>
      <c r="K53" s="7">
        <v>42000</v>
      </c>
      <c r="L53" s="57" t="s">
        <v>234</v>
      </c>
      <c r="M53" s="19"/>
      <c r="N53" s="20"/>
      <c r="O53" s="21"/>
      <c r="P53" s="14" t="s">
        <v>28</v>
      </c>
      <c r="Q53" s="14" t="s">
        <v>20</v>
      </c>
      <c r="R53" s="14"/>
      <c r="S53" s="14" t="s">
        <v>30</v>
      </c>
      <c r="T53" s="14" t="s">
        <v>360</v>
      </c>
      <c r="U53" s="32" t="s">
        <v>361</v>
      </c>
      <c r="V53" s="14"/>
      <c r="W53" s="14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</row>
    <row r="54" spans="1:91" ht="14.25" hidden="1" customHeight="1" x14ac:dyDescent="0.25">
      <c r="A54" s="26">
        <v>45668</v>
      </c>
      <c r="B54" s="15" t="s">
        <v>21</v>
      </c>
      <c r="C54" s="15"/>
      <c r="D54" s="15" t="s">
        <v>362</v>
      </c>
      <c r="E54" s="17">
        <v>1099683273</v>
      </c>
      <c r="F54" s="17" t="s">
        <v>363</v>
      </c>
      <c r="G54" s="309" t="s">
        <v>364</v>
      </c>
      <c r="H54" s="34">
        <v>1</v>
      </c>
      <c r="I54" s="15" t="s">
        <v>365</v>
      </c>
      <c r="J54" s="14" t="s">
        <v>35</v>
      </c>
      <c r="K54" s="27">
        <v>42000</v>
      </c>
      <c r="L54" s="57" t="s">
        <v>234</v>
      </c>
      <c r="M54" s="19"/>
      <c r="N54" s="20"/>
      <c r="O54" s="21"/>
      <c r="P54" s="14" t="s">
        <v>28</v>
      </c>
      <c r="Q54" s="14" t="s">
        <v>20</v>
      </c>
      <c r="R54" s="14"/>
      <c r="S54" s="14" t="s">
        <v>366</v>
      </c>
      <c r="T54" s="14" t="s">
        <v>367</v>
      </c>
      <c r="U54" s="32" t="s">
        <v>368</v>
      </c>
      <c r="V54" s="14"/>
      <c r="W54" s="14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</row>
    <row r="55" spans="1:91" ht="14.25" hidden="1" customHeight="1" x14ac:dyDescent="0.25">
      <c r="A55" s="26">
        <v>45674</v>
      </c>
      <c r="B55" s="15" t="s">
        <v>21</v>
      </c>
      <c r="C55" s="15"/>
      <c r="D55" s="15" t="s">
        <v>369</v>
      </c>
      <c r="E55" s="17">
        <v>9801468</v>
      </c>
      <c r="F55" s="17" t="s">
        <v>370</v>
      </c>
      <c r="G55" s="297" t="s">
        <v>371</v>
      </c>
      <c r="H55" s="15"/>
      <c r="I55" s="15" t="s">
        <v>372</v>
      </c>
      <c r="J55" s="14" t="s">
        <v>35</v>
      </c>
      <c r="K55" s="7">
        <v>42000</v>
      </c>
      <c r="L55" s="57" t="s">
        <v>234</v>
      </c>
      <c r="M55" s="19"/>
      <c r="N55" s="20"/>
      <c r="O55" s="21"/>
      <c r="P55" s="14" t="s">
        <v>28</v>
      </c>
      <c r="Q55" s="14" t="s">
        <v>20</v>
      </c>
      <c r="R55" s="14"/>
      <c r="S55" s="14" t="s">
        <v>107</v>
      </c>
      <c r="T55" s="14" t="s">
        <v>373</v>
      </c>
      <c r="U55" s="32" t="s">
        <v>374</v>
      </c>
      <c r="V55" s="14"/>
      <c r="W55" s="14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</row>
    <row r="56" spans="1:91" ht="14.25" hidden="1" customHeight="1" x14ac:dyDescent="0.25">
      <c r="A56" s="13">
        <v>45678</v>
      </c>
      <c r="B56" s="14" t="s">
        <v>21</v>
      </c>
      <c r="C56" s="14"/>
      <c r="D56" s="15" t="s">
        <v>375</v>
      </c>
      <c r="E56" s="17">
        <v>1099683672</v>
      </c>
      <c r="F56" s="17" t="s">
        <v>376</v>
      </c>
      <c r="G56" s="308" t="s">
        <v>377</v>
      </c>
      <c r="H56" s="14"/>
      <c r="I56" s="14" t="s">
        <v>378</v>
      </c>
      <c r="J56" s="15" t="s">
        <v>188</v>
      </c>
      <c r="K56" s="7">
        <v>57000</v>
      </c>
      <c r="L56" s="57" t="s">
        <v>234</v>
      </c>
      <c r="M56" s="19"/>
      <c r="N56" s="20"/>
      <c r="O56" s="21"/>
      <c r="P56" s="14" t="s">
        <v>28</v>
      </c>
      <c r="Q56" s="14" t="s">
        <v>20</v>
      </c>
      <c r="R56" s="14"/>
      <c r="S56" s="14" t="s">
        <v>30</v>
      </c>
      <c r="T56" s="14" t="s">
        <v>379</v>
      </c>
      <c r="U56" s="32" t="s">
        <v>380</v>
      </c>
      <c r="V56" s="14"/>
      <c r="W56" s="14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</row>
    <row r="57" spans="1:91" ht="14.25" hidden="1" customHeight="1" x14ac:dyDescent="0.25">
      <c r="A57" s="26">
        <v>45682</v>
      </c>
      <c r="B57" s="15" t="s">
        <v>21</v>
      </c>
      <c r="C57" s="15"/>
      <c r="D57" s="15" t="s">
        <v>381</v>
      </c>
      <c r="E57" s="17">
        <v>98500941</v>
      </c>
      <c r="F57" s="17" t="s">
        <v>382</v>
      </c>
      <c r="G57" s="309" t="s">
        <v>383</v>
      </c>
      <c r="H57" s="34">
        <v>1</v>
      </c>
      <c r="I57" s="15"/>
      <c r="J57" s="14" t="s">
        <v>35</v>
      </c>
      <c r="K57" s="7">
        <v>42000</v>
      </c>
      <c r="L57" s="57" t="s">
        <v>234</v>
      </c>
      <c r="M57" s="19"/>
      <c r="N57" s="20"/>
      <c r="O57" s="21"/>
      <c r="P57" s="14" t="s">
        <v>28</v>
      </c>
      <c r="Q57" s="14" t="s">
        <v>20</v>
      </c>
      <c r="R57" s="14"/>
      <c r="S57" s="14" t="s">
        <v>384</v>
      </c>
      <c r="T57" s="14" t="s">
        <v>385</v>
      </c>
      <c r="U57" s="32" t="s">
        <v>386</v>
      </c>
      <c r="V57" s="14"/>
      <c r="W57" s="14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</row>
    <row r="58" spans="1:91" ht="14.25" hidden="1" customHeight="1" x14ac:dyDescent="0.25">
      <c r="A58" s="26">
        <v>45685</v>
      </c>
      <c r="B58" s="15" t="s">
        <v>21</v>
      </c>
      <c r="C58" s="15"/>
      <c r="D58" s="15" t="s">
        <v>387</v>
      </c>
      <c r="E58" s="16">
        <v>26634847</v>
      </c>
      <c r="F58" s="17" t="s">
        <v>388</v>
      </c>
      <c r="G58" s="309" t="s">
        <v>389</v>
      </c>
      <c r="H58" s="34">
        <v>1</v>
      </c>
      <c r="I58" s="15"/>
      <c r="J58" s="14" t="s">
        <v>35</v>
      </c>
      <c r="K58" s="7">
        <v>42000</v>
      </c>
      <c r="L58" s="57" t="s">
        <v>234</v>
      </c>
      <c r="M58" s="19"/>
      <c r="N58" s="20"/>
      <c r="O58" s="21"/>
      <c r="P58" s="14" t="s">
        <v>28</v>
      </c>
      <c r="Q58" s="14" t="s">
        <v>20</v>
      </c>
      <c r="R58" s="14"/>
      <c r="S58" s="14" t="s">
        <v>30</v>
      </c>
      <c r="T58" s="14" t="s">
        <v>390</v>
      </c>
      <c r="U58" s="32" t="s">
        <v>391</v>
      </c>
      <c r="V58" s="14"/>
      <c r="W58" s="14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</row>
    <row r="59" spans="1:91" ht="14.25" hidden="1" customHeight="1" x14ac:dyDescent="0.25">
      <c r="A59" s="13">
        <v>45689</v>
      </c>
      <c r="B59" s="14" t="s">
        <v>21</v>
      </c>
      <c r="C59" s="14"/>
      <c r="D59" s="15" t="s">
        <v>397</v>
      </c>
      <c r="E59" s="17">
        <v>1002187759</v>
      </c>
      <c r="F59" s="17">
        <v>3106342336</v>
      </c>
      <c r="G59" s="309" t="s">
        <v>398</v>
      </c>
      <c r="H59" s="45">
        <v>1</v>
      </c>
      <c r="I59" s="14">
        <v>810</v>
      </c>
      <c r="J59" s="14" t="s">
        <v>35</v>
      </c>
      <c r="K59" s="27">
        <v>42000</v>
      </c>
      <c r="L59" s="57" t="s">
        <v>234</v>
      </c>
      <c r="M59" s="19"/>
      <c r="N59" s="20"/>
      <c r="O59" s="21"/>
      <c r="P59" s="14" t="s">
        <v>28</v>
      </c>
      <c r="Q59" s="14" t="s">
        <v>20</v>
      </c>
      <c r="R59" s="14"/>
      <c r="S59" s="14" t="s">
        <v>67</v>
      </c>
      <c r="T59" s="14" t="s">
        <v>399</v>
      </c>
      <c r="U59" s="47" t="s">
        <v>311</v>
      </c>
      <c r="V59" s="14"/>
      <c r="W59" s="14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</row>
    <row r="60" spans="1:91" ht="14.25" hidden="1" customHeight="1" x14ac:dyDescent="0.25">
      <c r="A60" s="13">
        <v>45692</v>
      </c>
      <c r="B60" s="14" t="s">
        <v>400</v>
      </c>
      <c r="C60" s="14"/>
      <c r="D60" s="15" t="s">
        <v>401</v>
      </c>
      <c r="E60" s="15">
        <v>5598530</v>
      </c>
      <c r="F60" s="17" t="s">
        <v>402</v>
      </c>
      <c r="G60" s="309" t="s">
        <v>403</v>
      </c>
      <c r="H60" s="45">
        <v>1</v>
      </c>
      <c r="I60" s="14"/>
      <c r="J60" s="14" t="s">
        <v>35</v>
      </c>
      <c r="K60" s="7">
        <v>42000</v>
      </c>
      <c r="L60" s="57" t="s">
        <v>234</v>
      </c>
      <c r="M60" s="19"/>
      <c r="N60" s="20"/>
      <c r="O60" s="21"/>
      <c r="P60" s="14" t="s">
        <v>28</v>
      </c>
      <c r="Q60" s="14" t="s">
        <v>20</v>
      </c>
      <c r="R60" s="14"/>
      <c r="S60" s="14" t="s">
        <v>404</v>
      </c>
      <c r="T60" s="14" t="s">
        <v>61</v>
      </c>
      <c r="U60" s="47" t="s">
        <v>311</v>
      </c>
      <c r="V60" s="14"/>
      <c r="W60" s="14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</row>
    <row r="61" spans="1:91" ht="14.25" hidden="1" customHeight="1" x14ac:dyDescent="0.25">
      <c r="A61" s="13">
        <v>45692</v>
      </c>
      <c r="B61" s="14" t="s">
        <v>400</v>
      </c>
      <c r="C61" s="14"/>
      <c r="D61" s="15" t="s">
        <v>405</v>
      </c>
      <c r="E61" s="17">
        <v>33817375</v>
      </c>
      <c r="F61" s="17" t="s">
        <v>406</v>
      </c>
      <c r="G61" s="309" t="s">
        <v>407</v>
      </c>
      <c r="H61" s="45">
        <v>1</v>
      </c>
      <c r="I61" s="14">
        <v>188</v>
      </c>
      <c r="J61" s="14" t="s">
        <v>35</v>
      </c>
      <c r="K61" s="7">
        <v>42000</v>
      </c>
      <c r="L61" s="57" t="s">
        <v>234</v>
      </c>
      <c r="M61" s="19"/>
      <c r="N61" s="20"/>
      <c r="O61" s="21"/>
      <c r="P61" s="14" t="s">
        <v>28</v>
      </c>
      <c r="Q61" s="14" t="s">
        <v>20</v>
      </c>
      <c r="R61" s="14"/>
      <c r="S61" s="14" t="s">
        <v>408</v>
      </c>
      <c r="T61" s="14" t="s">
        <v>107</v>
      </c>
      <c r="U61" s="47" t="s">
        <v>311</v>
      </c>
      <c r="V61" s="14"/>
      <c r="W61" s="14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</row>
    <row r="62" spans="1:91" ht="14.25" hidden="1" customHeight="1" x14ac:dyDescent="0.25">
      <c r="A62" s="13">
        <v>45694</v>
      </c>
      <c r="B62" s="14" t="s">
        <v>400</v>
      </c>
      <c r="C62" s="14"/>
      <c r="D62" s="15" t="s">
        <v>409</v>
      </c>
      <c r="E62" s="15">
        <v>901451559</v>
      </c>
      <c r="F62" s="17" t="s">
        <v>410</v>
      </c>
      <c r="G62" s="308" t="s">
        <v>411</v>
      </c>
      <c r="H62" s="14"/>
      <c r="I62" s="14"/>
      <c r="J62" s="14" t="s">
        <v>35</v>
      </c>
      <c r="K62" s="7">
        <v>49980</v>
      </c>
      <c r="L62" s="57" t="s">
        <v>234</v>
      </c>
      <c r="M62" s="19"/>
      <c r="N62" s="20"/>
      <c r="O62" s="21"/>
      <c r="P62" s="14" t="s">
        <v>412</v>
      </c>
      <c r="Q62" s="14" t="s">
        <v>20</v>
      </c>
      <c r="R62" s="14"/>
      <c r="S62" s="14" t="s">
        <v>413</v>
      </c>
      <c r="T62" s="14" t="s">
        <v>286</v>
      </c>
      <c r="U62" s="47" t="s">
        <v>311</v>
      </c>
      <c r="V62" s="14"/>
      <c r="W62" s="14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</row>
    <row r="63" spans="1:91" ht="14.25" hidden="1" customHeight="1" x14ac:dyDescent="0.25">
      <c r="A63" s="13">
        <v>45694</v>
      </c>
      <c r="B63" s="14" t="s">
        <v>400</v>
      </c>
      <c r="C63" s="14"/>
      <c r="D63" s="15" t="s">
        <v>414</v>
      </c>
      <c r="E63" s="15">
        <v>18493609</v>
      </c>
      <c r="F63" s="17" t="s">
        <v>415</v>
      </c>
      <c r="G63" s="297" t="s">
        <v>416</v>
      </c>
      <c r="H63" s="14"/>
      <c r="I63" s="14">
        <v>571</v>
      </c>
      <c r="J63" s="14" t="s">
        <v>35</v>
      </c>
      <c r="K63" s="7">
        <v>42000</v>
      </c>
      <c r="L63" s="57" t="s">
        <v>234</v>
      </c>
      <c r="M63" s="19"/>
      <c r="N63" s="20"/>
      <c r="O63" s="21"/>
      <c r="P63" s="14" t="s">
        <v>28</v>
      </c>
      <c r="Q63" s="14" t="s">
        <v>20</v>
      </c>
      <c r="R63" s="14"/>
      <c r="S63" s="14" t="s">
        <v>417</v>
      </c>
      <c r="T63" s="14" t="s">
        <v>418</v>
      </c>
      <c r="U63" s="47" t="s">
        <v>311</v>
      </c>
      <c r="V63" s="14"/>
      <c r="W63" s="14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</row>
    <row r="64" spans="1:91" ht="15" hidden="1" customHeight="1" x14ac:dyDescent="0.25">
      <c r="A64" s="26">
        <v>45696</v>
      </c>
      <c r="B64" s="15" t="s">
        <v>419</v>
      </c>
      <c r="C64" s="15"/>
      <c r="D64" s="297" t="s">
        <v>420</v>
      </c>
      <c r="E64" s="17">
        <v>66888733</v>
      </c>
      <c r="F64" s="17">
        <v>3225429796</v>
      </c>
      <c r="G64" s="15"/>
      <c r="H64" s="15"/>
      <c r="I64" s="15"/>
      <c r="J64" s="64" t="s">
        <v>5480</v>
      </c>
      <c r="K64" s="27">
        <v>82000</v>
      </c>
      <c r="L64" s="57" t="s">
        <v>234</v>
      </c>
      <c r="M64" s="28"/>
      <c r="N64" s="29"/>
      <c r="O64" s="30"/>
      <c r="P64" s="15" t="s">
        <v>28</v>
      </c>
      <c r="Q64" s="15" t="s">
        <v>20</v>
      </c>
      <c r="R64" s="15"/>
      <c r="S64" s="15" t="s">
        <v>422</v>
      </c>
      <c r="T64" s="15" t="s">
        <v>423</v>
      </c>
      <c r="U64" s="47" t="s">
        <v>311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</row>
    <row r="65" spans="1:91" ht="14.25" hidden="1" customHeight="1" x14ac:dyDescent="0.25">
      <c r="A65" s="49">
        <v>45699</v>
      </c>
      <c r="B65" s="14" t="s">
        <v>400</v>
      </c>
      <c r="C65" s="14"/>
      <c r="D65" s="15" t="s">
        <v>424</v>
      </c>
      <c r="E65" s="15">
        <v>9801135</v>
      </c>
      <c r="F65" s="17" t="s">
        <v>425</v>
      </c>
      <c r="G65" s="308" t="s">
        <v>426</v>
      </c>
      <c r="H65" s="14"/>
      <c r="I65" s="14"/>
      <c r="J65" s="14" t="s">
        <v>35</v>
      </c>
      <c r="K65" s="7">
        <v>42000</v>
      </c>
      <c r="L65" s="57" t="s">
        <v>234</v>
      </c>
      <c r="M65" s="19"/>
      <c r="N65" s="20"/>
      <c r="O65" s="21"/>
      <c r="P65" s="14" t="s">
        <v>28</v>
      </c>
      <c r="Q65" s="14" t="s">
        <v>20</v>
      </c>
      <c r="R65" s="14"/>
      <c r="S65" s="14" t="s">
        <v>428</v>
      </c>
      <c r="T65" s="14" t="s">
        <v>61</v>
      </c>
      <c r="U65" s="47" t="s">
        <v>311</v>
      </c>
      <c r="V65" s="14"/>
      <c r="W65" s="14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</row>
    <row r="66" spans="1:91" ht="14.25" hidden="1" customHeight="1" x14ac:dyDescent="0.25">
      <c r="A66" s="13">
        <v>45705</v>
      </c>
      <c r="B66" s="14" t="s">
        <v>400</v>
      </c>
      <c r="C66" s="14"/>
      <c r="D66" s="15" t="s">
        <v>433</v>
      </c>
      <c r="E66" s="15">
        <v>1099682248</v>
      </c>
      <c r="F66" s="17" t="s">
        <v>434</v>
      </c>
      <c r="G66" s="297" t="s">
        <v>435</v>
      </c>
      <c r="H66" s="14"/>
      <c r="I66" s="14">
        <v>585</v>
      </c>
      <c r="J66" s="14" t="s">
        <v>35</v>
      </c>
      <c r="K66" s="7">
        <v>42000</v>
      </c>
      <c r="L66" s="57" t="s">
        <v>234</v>
      </c>
      <c r="M66" s="19"/>
      <c r="N66" s="20"/>
      <c r="O66" s="21"/>
      <c r="P66" s="14" t="s">
        <v>28</v>
      </c>
      <c r="Q66" s="14" t="s">
        <v>20</v>
      </c>
      <c r="R66" s="14"/>
      <c r="S66" s="14" t="s">
        <v>436</v>
      </c>
      <c r="T66" s="14" t="s">
        <v>67</v>
      </c>
      <c r="U66" s="47" t="s">
        <v>311</v>
      </c>
      <c r="V66" s="14"/>
      <c r="W66" s="14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</row>
    <row r="67" spans="1:91" ht="14.25" hidden="1" customHeight="1" x14ac:dyDescent="0.25">
      <c r="A67" s="13">
        <v>45707</v>
      </c>
      <c r="B67" s="14" t="s">
        <v>400</v>
      </c>
      <c r="C67" s="14"/>
      <c r="D67" s="15" t="s">
        <v>437</v>
      </c>
      <c r="E67" s="17">
        <v>24674499</v>
      </c>
      <c r="F67" s="17" t="s">
        <v>438</v>
      </c>
      <c r="G67" s="309" t="s">
        <v>439</v>
      </c>
      <c r="H67" s="45">
        <v>1</v>
      </c>
      <c r="I67" s="14"/>
      <c r="J67" s="14" t="s">
        <v>35</v>
      </c>
      <c r="K67" s="7">
        <v>42000</v>
      </c>
      <c r="L67" s="57" t="s">
        <v>234</v>
      </c>
      <c r="M67" s="19"/>
      <c r="N67" s="20"/>
      <c r="O67" s="21"/>
      <c r="P67" s="14" t="s">
        <v>28</v>
      </c>
      <c r="Q67" s="14" t="s">
        <v>20</v>
      </c>
      <c r="R67" s="14"/>
      <c r="S67" s="14" t="s">
        <v>440</v>
      </c>
      <c r="T67" s="14" t="s">
        <v>286</v>
      </c>
      <c r="U67" s="53" t="s">
        <v>441</v>
      </c>
      <c r="V67" s="14"/>
      <c r="W67" s="14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</row>
    <row r="68" spans="1:91" ht="14.25" hidden="1" customHeight="1" x14ac:dyDescent="0.25">
      <c r="A68" s="13">
        <v>45707</v>
      </c>
      <c r="B68" s="14" t="s">
        <v>400</v>
      </c>
      <c r="C68" s="14"/>
      <c r="D68" s="15" t="s">
        <v>442</v>
      </c>
      <c r="E68" s="15">
        <v>1099683358</v>
      </c>
      <c r="F68" s="17" t="s">
        <v>443</v>
      </c>
      <c r="G68" s="309" t="s">
        <v>444</v>
      </c>
      <c r="H68" s="45">
        <v>1</v>
      </c>
      <c r="I68" s="14">
        <v>115</v>
      </c>
      <c r="J68" s="14" t="s">
        <v>35</v>
      </c>
      <c r="K68" s="7">
        <v>42000</v>
      </c>
      <c r="L68" s="57" t="s">
        <v>234</v>
      </c>
      <c r="M68" s="19"/>
      <c r="N68" s="20"/>
      <c r="O68" s="21"/>
      <c r="P68" s="14" t="s">
        <v>28</v>
      </c>
      <c r="Q68" s="14" t="s">
        <v>20</v>
      </c>
      <c r="R68" s="14"/>
      <c r="S68" s="14" t="s">
        <v>445</v>
      </c>
      <c r="T68" s="14" t="s">
        <v>30</v>
      </c>
      <c r="U68" s="47" t="s">
        <v>311</v>
      </c>
      <c r="V68" s="14"/>
      <c r="W68" s="14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</row>
    <row r="69" spans="1:91" ht="14.25" hidden="1" customHeight="1" x14ac:dyDescent="0.25">
      <c r="A69" s="13">
        <v>45710</v>
      </c>
      <c r="B69" s="14" t="s">
        <v>400</v>
      </c>
      <c r="C69" s="14"/>
      <c r="D69" s="15" t="s">
        <v>446</v>
      </c>
      <c r="E69" s="17">
        <v>21070698</v>
      </c>
      <c r="F69" s="17">
        <v>3105484714</v>
      </c>
      <c r="G69" s="297" t="s">
        <v>447</v>
      </c>
      <c r="H69" s="14"/>
      <c r="I69" s="14">
        <v>586</v>
      </c>
      <c r="J69" s="14" t="s">
        <v>35</v>
      </c>
      <c r="K69" s="7">
        <v>42000</v>
      </c>
      <c r="L69" s="57" t="s">
        <v>234</v>
      </c>
      <c r="M69" s="19"/>
      <c r="N69" s="20"/>
      <c r="O69" s="21"/>
      <c r="P69" s="14" t="s">
        <v>28</v>
      </c>
      <c r="Q69" s="14" t="s">
        <v>20</v>
      </c>
      <c r="R69" s="14"/>
      <c r="S69" s="14" t="s">
        <v>449</v>
      </c>
      <c r="T69" s="14" t="s">
        <v>450</v>
      </c>
      <c r="U69" s="47" t="s">
        <v>311</v>
      </c>
      <c r="V69" s="14"/>
      <c r="W69" s="14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</row>
    <row r="70" spans="1:91" ht="14.25" hidden="1" customHeight="1" x14ac:dyDescent="0.25">
      <c r="A70" s="13">
        <v>45712</v>
      </c>
      <c r="B70" s="14" t="s">
        <v>400</v>
      </c>
      <c r="C70" s="14"/>
      <c r="D70" s="15" t="s">
        <v>451</v>
      </c>
      <c r="E70" s="17">
        <v>1097040887</v>
      </c>
      <c r="F70" s="17">
        <v>3114836712</v>
      </c>
      <c r="G70" s="308" t="s">
        <v>452</v>
      </c>
      <c r="H70" s="14"/>
      <c r="I70" s="14">
        <v>587</v>
      </c>
      <c r="J70" s="14" t="s">
        <v>35</v>
      </c>
      <c r="K70" s="7">
        <v>42000</v>
      </c>
      <c r="L70" s="57" t="s">
        <v>234</v>
      </c>
      <c r="M70" s="19"/>
      <c r="N70" s="20"/>
      <c r="O70" s="21"/>
      <c r="P70" s="14" t="s">
        <v>28</v>
      </c>
      <c r="Q70" s="14" t="s">
        <v>20</v>
      </c>
      <c r="R70" s="14"/>
      <c r="S70" s="14" t="s">
        <v>454</v>
      </c>
      <c r="T70" s="14" t="s">
        <v>107</v>
      </c>
      <c r="U70" s="47" t="s">
        <v>311</v>
      </c>
      <c r="V70" s="14"/>
      <c r="W70" s="14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</row>
    <row r="71" spans="1:91" ht="14.25" hidden="1" customHeight="1" x14ac:dyDescent="0.25">
      <c r="A71" s="13">
        <v>45713</v>
      </c>
      <c r="B71" s="14" t="s">
        <v>419</v>
      </c>
      <c r="C71" s="14"/>
      <c r="D71" s="15" t="s">
        <v>455</v>
      </c>
      <c r="E71" s="15">
        <v>14012027</v>
      </c>
      <c r="F71" s="17">
        <v>3134178064</v>
      </c>
      <c r="G71" s="309" t="s">
        <v>456</v>
      </c>
      <c r="H71" s="14"/>
      <c r="I71" s="14"/>
      <c r="J71" s="64" t="s">
        <v>5480</v>
      </c>
      <c r="K71" s="7">
        <v>82000</v>
      </c>
      <c r="L71" s="57" t="s">
        <v>234</v>
      </c>
      <c r="M71" s="19"/>
      <c r="N71" s="20"/>
      <c r="O71" s="21"/>
      <c r="P71" s="14" t="s">
        <v>28</v>
      </c>
      <c r="Q71" s="14" t="s">
        <v>20</v>
      </c>
      <c r="R71" s="14"/>
      <c r="S71" s="14"/>
      <c r="T71" s="14" t="s">
        <v>457</v>
      </c>
      <c r="U71" s="47" t="s">
        <v>311</v>
      </c>
      <c r="V71" s="14"/>
      <c r="W71" s="14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</row>
    <row r="72" spans="1:91" ht="14.25" hidden="1" customHeight="1" x14ac:dyDescent="0.25">
      <c r="A72" s="13">
        <v>45713</v>
      </c>
      <c r="B72" s="14" t="s">
        <v>400</v>
      </c>
      <c r="C72" s="14"/>
      <c r="D72" s="15" t="s">
        <v>458</v>
      </c>
      <c r="E72" s="15">
        <v>1099682233</v>
      </c>
      <c r="F72" s="17" t="s">
        <v>459</v>
      </c>
      <c r="G72" s="308" t="s">
        <v>460</v>
      </c>
      <c r="H72" s="14"/>
      <c r="I72" s="14">
        <v>588</v>
      </c>
      <c r="J72" s="14" t="s">
        <v>35</v>
      </c>
      <c r="K72" s="7">
        <v>42000</v>
      </c>
      <c r="L72" s="57" t="s">
        <v>234</v>
      </c>
      <c r="M72" s="19"/>
      <c r="N72" s="20"/>
      <c r="O72" s="21"/>
      <c r="P72" s="14" t="s">
        <v>28</v>
      </c>
      <c r="Q72" s="14" t="s">
        <v>20</v>
      </c>
      <c r="R72" s="14"/>
      <c r="S72" s="14" t="s">
        <v>461</v>
      </c>
      <c r="T72" s="14" t="s">
        <v>107</v>
      </c>
      <c r="U72" s="47" t="s">
        <v>311</v>
      </c>
      <c r="V72" s="14"/>
      <c r="W72" s="14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</row>
    <row r="73" spans="1:91" ht="14.25" hidden="1" customHeight="1" x14ac:dyDescent="0.25">
      <c r="A73" s="13">
        <v>45714</v>
      </c>
      <c r="B73" s="14" t="s">
        <v>400</v>
      </c>
      <c r="C73" s="14"/>
      <c r="D73" s="15" t="s">
        <v>462</v>
      </c>
      <c r="E73" s="17">
        <v>24674405</v>
      </c>
      <c r="F73" s="17" t="s">
        <v>463</v>
      </c>
      <c r="G73" s="308" t="s">
        <v>464</v>
      </c>
      <c r="H73" s="14"/>
      <c r="I73" s="14">
        <v>589</v>
      </c>
      <c r="J73" s="14" t="s">
        <v>35</v>
      </c>
      <c r="K73" s="54">
        <v>42000</v>
      </c>
      <c r="L73" s="57" t="s">
        <v>234</v>
      </c>
      <c r="M73" s="55"/>
      <c r="N73" s="56"/>
      <c r="O73" s="21"/>
      <c r="P73" s="14" t="s">
        <v>28</v>
      </c>
      <c r="Q73" s="14" t="s">
        <v>20</v>
      </c>
      <c r="R73" s="14"/>
      <c r="S73" s="14" t="s">
        <v>466</v>
      </c>
      <c r="T73" s="14" t="s">
        <v>30</v>
      </c>
      <c r="U73" s="47" t="s">
        <v>311</v>
      </c>
      <c r="V73" s="14"/>
      <c r="W73" s="14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</row>
    <row r="74" spans="1:91" ht="14.25" hidden="1" customHeight="1" x14ac:dyDescent="0.25">
      <c r="A74" s="13">
        <v>45715</v>
      </c>
      <c r="B74" s="14" t="s">
        <v>400</v>
      </c>
      <c r="C74" s="14"/>
      <c r="D74" s="15" t="s">
        <v>467</v>
      </c>
      <c r="E74" s="15">
        <v>1099683760</v>
      </c>
      <c r="F74" s="17" t="s">
        <v>468</v>
      </c>
      <c r="G74" s="308" t="s">
        <v>469</v>
      </c>
      <c r="H74" s="14"/>
      <c r="I74" s="14">
        <v>546</v>
      </c>
      <c r="J74" s="14" t="s">
        <v>35</v>
      </c>
      <c r="K74" s="7">
        <v>42000</v>
      </c>
      <c r="L74" s="57" t="s">
        <v>234</v>
      </c>
      <c r="M74" s="19"/>
      <c r="N74" s="20"/>
      <c r="O74" s="21"/>
      <c r="P74" s="14" t="s">
        <v>28</v>
      </c>
      <c r="Q74" s="14" t="s">
        <v>20</v>
      </c>
      <c r="R74" s="14"/>
      <c r="S74" s="14" t="s">
        <v>470</v>
      </c>
      <c r="T74" s="14" t="s">
        <v>126</v>
      </c>
      <c r="U74" s="47" t="s">
        <v>311</v>
      </c>
      <c r="V74" s="14"/>
      <c r="W74" s="14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</row>
    <row r="75" spans="1:91" ht="14.25" hidden="1" customHeight="1" x14ac:dyDescent="0.25">
      <c r="A75" s="13">
        <v>45715</v>
      </c>
      <c r="B75" s="14" t="s">
        <v>400</v>
      </c>
      <c r="C75" s="14"/>
      <c r="D75" s="15" t="s">
        <v>471</v>
      </c>
      <c r="E75" s="15">
        <v>1099683828</v>
      </c>
      <c r="F75" s="17" t="s">
        <v>472</v>
      </c>
      <c r="G75" s="297" t="s">
        <v>473</v>
      </c>
      <c r="H75" s="14"/>
      <c r="I75" s="14">
        <v>379</v>
      </c>
      <c r="J75" s="14" t="s">
        <v>35</v>
      </c>
      <c r="K75" s="7">
        <v>42000</v>
      </c>
      <c r="L75" s="57" t="s">
        <v>234</v>
      </c>
      <c r="M75" s="19"/>
      <c r="N75" s="20"/>
      <c r="O75" s="21"/>
      <c r="P75" s="14" t="s">
        <v>28</v>
      </c>
      <c r="Q75" s="14" t="s">
        <v>20</v>
      </c>
      <c r="R75" s="14"/>
      <c r="S75" s="14" t="s">
        <v>474</v>
      </c>
      <c r="T75" s="14" t="s">
        <v>30</v>
      </c>
      <c r="U75" s="47" t="s">
        <v>311</v>
      </c>
      <c r="V75" s="14"/>
      <c r="W75" s="14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</row>
    <row r="76" spans="1:91" ht="14.25" hidden="1" customHeight="1" x14ac:dyDescent="0.25">
      <c r="A76" s="13">
        <v>45716</v>
      </c>
      <c r="B76" s="14" t="s">
        <v>21</v>
      </c>
      <c r="C76" s="14"/>
      <c r="D76" s="15" t="s">
        <v>475</v>
      </c>
      <c r="E76" s="16">
        <v>1118302466</v>
      </c>
      <c r="F76" s="17" t="s">
        <v>476</v>
      </c>
      <c r="G76" s="308" t="s">
        <v>477</v>
      </c>
      <c r="H76" s="14"/>
      <c r="I76" s="14"/>
      <c r="J76" s="14" t="s">
        <v>35</v>
      </c>
      <c r="K76" s="27">
        <v>42000</v>
      </c>
      <c r="L76" s="57" t="s">
        <v>234</v>
      </c>
      <c r="M76" s="19"/>
      <c r="N76" s="20"/>
      <c r="O76" s="21"/>
      <c r="P76" s="14" t="s">
        <v>28</v>
      </c>
      <c r="Q76" s="14" t="s">
        <v>20</v>
      </c>
      <c r="R76" s="14"/>
      <c r="S76" s="14" t="s">
        <v>478</v>
      </c>
      <c r="T76" s="14" t="s">
        <v>61</v>
      </c>
      <c r="U76" s="47" t="s">
        <v>311</v>
      </c>
      <c r="V76" s="14"/>
      <c r="W76" s="14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</row>
    <row r="77" spans="1:91" ht="14.25" hidden="1" customHeight="1" x14ac:dyDescent="0.25">
      <c r="A77" s="13">
        <v>45721</v>
      </c>
      <c r="B77" s="14" t="s">
        <v>21</v>
      </c>
      <c r="C77" s="14"/>
      <c r="D77" s="15" t="s">
        <v>172</v>
      </c>
      <c r="E77" s="16">
        <v>1099684189</v>
      </c>
      <c r="F77" s="17" t="s">
        <v>479</v>
      </c>
      <c r="G77" s="297" t="s">
        <v>480</v>
      </c>
      <c r="H77" s="14"/>
      <c r="I77" s="14">
        <v>876</v>
      </c>
      <c r="J77" s="14" t="s">
        <v>35</v>
      </c>
      <c r="K77" s="7">
        <v>42000</v>
      </c>
      <c r="L77" s="57" t="s">
        <v>234</v>
      </c>
      <c r="M77" s="19"/>
      <c r="N77" s="20"/>
      <c r="O77" s="21"/>
      <c r="P77" s="14" t="s">
        <v>28</v>
      </c>
      <c r="Q77" s="14" t="s">
        <v>20</v>
      </c>
      <c r="R77" s="14"/>
      <c r="S77" s="14" t="s">
        <v>481</v>
      </c>
      <c r="T77" s="14"/>
      <c r="U77" s="32" t="s">
        <v>178</v>
      </c>
      <c r="V77" s="14"/>
      <c r="W77" s="14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</row>
    <row r="78" spans="1:91" ht="14.25" hidden="1" customHeight="1" x14ac:dyDescent="0.25">
      <c r="A78" s="13">
        <v>45721</v>
      </c>
      <c r="B78" s="14" t="s">
        <v>21</v>
      </c>
      <c r="C78" s="14"/>
      <c r="D78" s="15" t="s">
        <v>482</v>
      </c>
      <c r="E78" s="16">
        <v>24807824</v>
      </c>
      <c r="F78" s="17" t="s">
        <v>483</v>
      </c>
      <c r="G78" s="297" t="s">
        <v>484</v>
      </c>
      <c r="H78" s="14"/>
      <c r="I78" s="14">
        <v>877</v>
      </c>
      <c r="J78" s="14" t="s">
        <v>35</v>
      </c>
      <c r="K78" s="7">
        <v>42000</v>
      </c>
      <c r="L78" s="57" t="s">
        <v>234</v>
      </c>
      <c r="M78" s="19"/>
      <c r="N78" s="20"/>
      <c r="O78" s="21"/>
      <c r="P78" s="14" t="s">
        <v>28</v>
      </c>
      <c r="Q78" s="14" t="s">
        <v>20</v>
      </c>
      <c r="R78" s="14"/>
      <c r="S78" s="14" t="s">
        <v>485</v>
      </c>
      <c r="T78" s="14"/>
      <c r="U78" s="32" t="s">
        <v>486</v>
      </c>
      <c r="V78" s="14"/>
      <c r="W78" s="14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</row>
    <row r="79" spans="1:91" ht="14.25" hidden="1" customHeight="1" x14ac:dyDescent="0.25">
      <c r="A79" s="13">
        <v>45722</v>
      </c>
      <c r="B79" s="14" t="s">
        <v>21</v>
      </c>
      <c r="C79" s="14"/>
      <c r="D79" s="15" t="s">
        <v>487</v>
      </c>
      <c r="E79" s="16">
        <v>9801331</v>
      </c>
      <c r="F79" s="17" t="s">
        <v>488</v>
      </c>
      <c r="G79" s="308" t="s">
        <v>489</v>
      </c>
      <c r="H79" s="14"/>
      <c r="I79" s="14"/>
      <c r="J79" s="14" t="s">
        <v>35</v>
      </c>
      <c r="K79" s="7">
        <v>42000</v>
      </c>
      <c r="L79" s="57" t="s">
        <v>234</v>
      </c>
      <c r="M79" s="19"/>
      <c r="N79" s="20"/>
      <c r="O79" s="21"/>
      <c r="P79" s="14" t="s">
        <v>28</v>
      </c>
      <c r="Q79" s="14" t="s">
        <v>20</v>
      </c>
      <c r="R79" s="14"/>
      <c r="S79" s="14" t="s">
        <v>490</v>
      </c>
      <c r="T79" s="14" t="s">
        <v>491</v>
      </c>
      <c r="U79" s="32" t="s">
        <v>492</v>
      </c>
      <c r="V79" s="14"/>
      <c r="W79" s="14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</row>
    <row r="80" spans="1:91" ht="14.25" hidden="1" customHeight="1" x14ac:dyDescent="0.25">
      <c r="A80" s="13">
        <v>45723</v>
      </c>
      <c r="B80" s="14" t="s">
        <v>21</v>
      </c>
      <c r="C80" s="14"/>
      <c r="D80" s="15" t="s">
        <v>493</v>
      </c>
      <c r="E80" s="16">
        <v>1099682885</v>
      </c>
      <c r="F80" s="17" t="s">
        <v>494</v>
      </c>
      <c r="G80" s="308" t="s">
        <v>495</v>
      </c>
      <c r="H80" s="14"/>
      <c r="I80" s="14"/>
      <c r="J80" s="14" t="s">
        <v>35</v>
      </c>
      <c r="K80" s="7">
        <v>42000</v>
      </c>
      <c r="L80" s="57" t="s">
        <v>234</v>
      </c>
      <c r="M80" s="19"/>
      <c r="N80" s="20"/>
      <c r="O80" s="21"/>
      <c r="P80" s="14" t="s">
        <v>28</v>
      </c>
      <c r="Q80" s="14" t="s">
        <v>20</v>
      </c>
      <c r="R80" s="14"/>
      <c r="S80" s="14" t="s">
        <v>496</v>
      </c>
      <c r="T80" s="14" t="s">
        <v>497</v>
      </c>
      <c r="U80" s="32" t="s">
        <v>498</v>
      </c>
      <c r="V80" s="14"/>
      <c r="W80" s="14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</row>
    <row r="81" spans="1:91" ht="14.25" hidden="1" customHeight="1" x14ac:dyDescent="0.25">
      <c r="A81" s="13">
        <v>45724</v>
      </c>
      <c r="B81" s="14" t="s">
        <v>21</v>
      </c>
      <c r="C81" s="14"/>
      <c r="D81" s="15" t="s">
        <v>499</v>
      </c>
      <c r="E81" s="16">
        <v>1099683227</v>
      </c>
      <c r="F81" s="17" t="s">
        <v>500</v>
      </c>
      <c r="G81" s="297" t="s">
        <v>501</v>
      </c>
      <c r="H81" s="14"/>
      <c r="I81" s="14">
        <v>595</v>
      </c>
      <c r="J81" s="14" t="s">
        <v>35</v>
      </c>
      <c r="K81" s="27">
        <v>42000</v>
      </c>
      <c r="L81" s="57" t="s">
        <v>234</v>
      </c>
      <c r="M81" s="14"/>
      <c r="N81" s="7"/>
      <c r="O81" s="21"/>
      <c r="P81" s="14" t="s">
        <v>28</v>
      </c>
      <c r="Q81" s="14" t="s">
        <v>20</v>
      </c>
      <c r="R81" s="14"/>
      <c r="S81" s="14" t="s">
        <v>502</v>
      </c>
      <c r="T81" s="14" t="s">
        <v>30</v>
      </c>
      <c r="U81" s="32" t="s">
        <v>503</v>
      </c>
      <c r="V81" s="14"/>
      <c r="W81" s="14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</row>
    <row r="82" spans="1:91" ht="14.25" hidden="1" customHeight="1" x14ac:dyDescent="0.25">
      <c r="A82" s="13">
        <v>45724</v>
      </c>
      <c r="B82" s="14" t="s">
        <v>21</v>
      </c>
      <c r="C82" s="14"/>
      <c r="D82" s="15" t="s">
        <v>504</v>
      </c>
      <c r="E82" s="16">
        <v>1094888968</v>
      </c>
      <c r="F82" s="17" t="s">
        <v>505</v>
      </c>
      <c r="G82" s="308" t="s">
        <v>506</v>
      </c>
      <c r="H82" s="14"/>
      <c r="I82" s="14"/>
      <c r="J82" s="14" t="s">
        <v>35</v>
      </c>
      <c r="K82" s="7">
        <v>42000</v>
      </c>
      <c r="L82" s="57" t="s">
        <v>234</v>
      </c>
      <c r="M82" s="19"/>
      <c r="N82" s="20"/>
      <c r="O82" s="21"/>
      <c r="P82" s="14" t="s">
        <v>28</v>
      </c>
      <c r="Q82" s="14" t="s">
        <v>20</v>
      </c>
      <c r="R82" s="14"/>
      <c r="S82" s="14" t="s">
        <v>507</v>
      </c>
      <c r="T82" s="14" t="s">
        <v>508</v>
      </c>
      <c r="U82" s="32" t="s">
        <v>509</v>
      </c>
      <c r="V82" s="14"/>
      <c r="W82" s="14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</row>
    <row r="83" spans="1:91" ht="14.25" hidden="1" customHeight="1" x14ac:dyDescent="0.25">
      <c r="A83" s="13">
        <v>45724</v>
      </c>
      <c r="B83" s="14" t="s">
        <v>21</v>
      </c>
      <c r="C83" s="14"/>
      <c r="D83" s="15" t="s">
        <v>510</v>
      </c>
      <c r="E83" s="16">
        <v>4427621</v>
      </c>
      <c r="F83" s="17" t="s">
        <v>511</v>
      </c>
      <c r="G83" s="309" t="s">
        <v>512</v>
      </c>
      <c r="H83" s="45">
        <v>1</v>
      </c>
      <c r="I83" s="14">
        <v>594</v>
      </c>
      <c r="J83" s="14" t="s">
        <v>35</v>
      </c>
      <c r="K83" s="27">
        <v>42000</v>
      </c>
      <c r="L83" s="57" t="s">
        <v>234</v>
      </c>
      <c r="M83" s="19"/>
      <c r="N83" s="20"/>
      <c r="O83" s="21"/>
      <c r="P83" s="14" t="s">
        <v>28</v>
      </c>
      <c r="Q83" s="14" t="s">
        <v>20</v>
      </c>
      <c r="R83" s="14"/>
      <c r="S83" s="14" t="s">
        <v>513</v>
      </c>
      <c r="T83" s="14" t="s">
        <v>30</v>
      </c>
      <c r="U83" s="32" t="s">
        <v>514</v>
      </c>
      <c r="V83" s="14"/>
      <c r="W83" s="14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</row>
    <row r="84" spans="1:91" ht="14.25" hidden="1" customHeight="1" x14ac:dyDescent="0.25">
      <c r="A84" s="13">
        <v>45729</v>
      </c>
      <c r="B84" s="14" t="s">
        <v>21</v>
      </c>
      <c r="C84" s="14"/>
      <c r="D84" s="297" t="s">
        <v>515</v>
      </c>
      <c r="E84" s="16">
        <v>1010046041</v>
      </c>
      <c r="F84" s="17" t="s">
        <v>516</v>
      </c>
      <c r="G84" s="297" t="s">
        <v>517</v>
      </c>
      <c r="H84" s="14"/>
      <c r="I84" s="14"/>
      <c r="J84" s="14" t="s">
        <v>54</v>
      </c>
      <c r="K84" s="27">
        <v>67000</v>
      </c>
      <c r="L84" s="57" t="s">
        <v>234</v>
      </c>
      <c r="M84" s="19"/>
      <c r="N84" s="20"/>
      <c r="O84" s="21"/>
      <c r="P84" s="14" t="s">
        <v>28</v>
      </c>
      <c r="Q84" s="14" t="s">
        <v>20</v>
      </c>
      <c r="R84" s="14"/>
      <c r="S84" s="14" t="s">
        <v>519</v>
      </c>
      <c r="T84" s="14" t="s">
        <v>36</v>
      </c>
      <c r="U84" s="32" t="s">
        <v>520</v>
      </c>
      <c r="V84" s="14"/>
      <c r="W84" s="14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</row>
    <row r="85" spans="1:91" ht="14.25" hidden="1" customHeight="1" x14ac:dyDescent="0.25">
      <c r="A85" s="13">
        <v>45729</v>
      </c>
      <c r="B85" s="14" t="s">
        <v>21</v>
      </c>
      <c r="C85" s="14"/>
      <c r="D85" s="15" t="s">
        <v>521</v>
      </c>
      <c r="E85" s="16">
        <v>9800329</v>
      </c>
      <c r="F85" s="17" t="s">
        <v>522</v>
      </c>
      <c r="G85" s="308" t="s">
        <v>523</v>
      </c>
      <c r="H85" s="14"/>
      <c r="I85" s="14">
        <v>598</v>
      </c>
      <c r="J85" s="14" t="s">
        <v>35</v>
      </c>
      <c r="K85" s="7">
        <v>42000</v>
      </c>
      <c r="L85" s="57" t="s">
        <v>234</v>
      </c>
      <c r="M85" s="19"/>
      <c r="N85" s="20"/>
      <c r="O85" s="21"/>
      <c r="P85" s="14" t="s">
        <v>28</v>
      </c>
      <c r="Q85" s="14" t="s">
        <v>20</v>
      </c>
      <c r="R85" s="14"/>
      <c r="S85" s="14" t="s">
        <v>524</v>
      </c>
      <c r="T85" s="14" t="s">
        <v>107</v>
      </c>
      <c r="U85" s="32" t="s">
        <v>525</v>
      </c>
      <c r="V85" s="14"/>
      <c r="W85" s="14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</row>
    <row r="86" spans="1:91" ht="14.25" hidden="1" customHeight="1" x14ac:dyDescent="0.25">
      <c r="A86" s="13">
        <v>45731</v>
      </c>
      <c r="B86" s="14" t="s">
        <v>21</v>
      </c>
      <c r="C86" s="14"/>
      <c r="D86" s="15" t="s">
        <v>526</v>
      </c>
      <c r="E86" s="16">
        <v>1004737525</v>
      </c>
      <c r="F86" s="17" t="s">
        <v>527</v>
      </c>
      <c r="G86" s="309" t="s">
        <v>528</v>
      </c>
      <c r="H86" s="45">
        <v>1</v>
      </c>
      <c r="I86" s="14"/>
      <c r="J86" s="14" t="s">
        <v>35</v>
      </c>
      <c r="K86" s="7">
        <v>42000</v>
      </c>
      <c r="L86" s="57" t="s">
        <v>234</v>
      </c>
      <c r="M86" s="19"/>
      <c r="N86" s="20"/>
      <c r="O86" s="21"/>
      <c r="P86" s="14" t="s">
        <v>28</v>
      </c>
      <c r="Q86" s="14" t="s">
        <v>20</v>
      </c>
      <c r="R86" s="14"/>
      <c r="S86" s="14" t="s">
        <v>529</v>
      </c>
      <c r="T86" s="14" t="s">
        <v>61</v>
      </c>
      <c r="U86" s="32" t="s">
        <v>530</v>
      </c>
      <c r="V86" s="14"/>
      <c r="W86" s="14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</row>
    <row r="87" spans="1:91" ht="14.25" hidden="1" customHeight="1" x14ac:dyDescent="0.25">
      <c r="A87" s="13">
        <v>45733</v>
      </c>
      <c r="B87" s="14" t="s">
        <v>21</v>
      </c>
      <c r="C87" s="14"/>
      <c r="D87" s="15" t="s">
        <v>531</v>
      </c>
      <c r="E87" s="16">
        <v>41941488</v>
      </c>
      <c r="F87" s="17" t="s">
        <v>532</v>
      </c>
      <c r="G87" s="308" t="s">
        <v>533</v>
      </c>
      <c r="H87" s="14"/>
      <c r="I87" s="14">
        <v>600</v>
      </c>
      <c r="J87" s="14" t="s">
        <v>35</v>
      </c>
      <c r="K87" s="7">
        <v>42000</v>
      </c>
      <c r="L87" s="57" t="s">
        <v>234</v>
      </c>
      <c r="M87" s="19"/>
      <c r="N87" s="20"/>
      <c r="O87" s="21"/>
      <c r="P87" s="14" t="s">
        <v>28</v>
      </c>
      <c r="Q87" s="14" t="s">
        <v>20</v>
      </c>
      <c r="R87" s="14"/>
      <c r="S87" s="14" t="s">
        <v>534</v>
      </c>
      <c r="T87" s="14" t="s">
        <v>30</v>
      </c>
      <c r="U87" s="32" t="s">
        <v>535</v>
      </c>
      <c r="V87" s="14"/>
      <c r="W87" s="14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</row>
    <row r="88" spans="1:91" ht="14.25" hidden="1" customHeight="1" x14ac:dyDescent="0.25">
      <c r="A88" s="13">
        <v>45734</v>
      </c>
      <c r="B88" s="14" t="s">
        <v>21</v>
      </c>
      <c r="C88" s="14"/>
      <c r="D88" s="15" t="s">
        <v>536</v>
      </c>
      <c r="E88" s="16">
        <v>1094957150</v>
      </c>
      <c r="F88" s="17" t="s">
        <v>537</v>
      </c>
      <c r="G88" s="308" t="s">
        <v>538</v>
      </c>
      <c r="H88" s="14"/>
      <c r="I88" s="14">
        <v>197</v>
      </c>
      <c r="J88" s="14" t="s">
        <v>35</v>
      </c>
      <c r="K88" s="7">
        <v>42000</v>
      </c>
      <c r="L88" s="57" t="s">
        <v>234</v>
      </c>
      <c r="M88" s="19"/>
      <c r="N88" s="20"/>
      <c r="O88" s="21"/>
      <c r="P88" s="14" t="s">
        <v>28</v>
      </c>
      <c r="Q88" s="14" t="s">
        <v>20</v>
      </c>
      <c r="R88" s="14"/>
      <c r="S88" s="14" t="s">
        <v>539</v>
      </c>
      <c r="T88" s="14"/>
      <c r="U88" s="32" t="s">
        <v>540</v>
      </c>
      <c r="V88" s="14"/>
      <c r="W88" s="14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</row>
    <row r="89" spans="1:91" ht="14.25" hidden="1" customHeight="1" x14ac:dyDescent="0.25">
      <c r="A89" s="13">
        <v>45735</v>
      </c>
      <c r="B89" s="14" t="s">
        <v>21</v>
      </c>
      <c r="C89" s="14"/>
      <c r="D89" s="15" t="s">
        <v>541</v>
      </c>
      <c r="E89" s="16">
        <v>1001509881</v>
      </c>
      <c r="F89" s="17" t="s">
        <v>542</v>
      </c>
      <c r="G89" s="309" t="s">
        <v>543</v>
      </c>
      <c r="H89" s="45">
        <v>1</v>
      </c>
      <c r="I89" s="14">
        <v>702</v>
      </c>
      <c r="J89" s="14" t="s">
        <v>35</v>
      </c>
      <c r="K89" s="7">
        <v>42000</v>
      </c>
      <c r="L89" s="57" t="s">
        <v>234</v>
      </c>
      <c r="M89" s="19"/>
      <c r="N89" s="20"/>
      <c r="O89" s="21"/>
      <c r="P89" s="14" t="s">
        <v>28</v>
      </c>
      <c r="Q89" s="14" t="s">
        <v>20</v>
      </c>
      <c r="R89" s="14"/>
      <c r="S89" s="14" t="s">
        <v>544</v>
      </c>
      <c r="T89" s="14" t="s">
        <v>545</v>
      </c>
      <c r="U89" s="47" t="s">
        <v>311</v>
      </c>
      <c r="V89" s="14"/>
      <c r="W89" s="14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</row>
    <row r="90" spans="1:91" ht="14.25" hidden="1" customHeight="1" x14ac:dyDescent="0.25">
      <c r="A90" s="13">
        <v>45736</v>
      </c>
      <c r="B90" s="14" t="s">
        <v>21</v>
      </c>
      <c r="C90" s="14"/>
      <c r="D90" s="15" t="s">
        <v>546</v>
      </c>
      <c r="E90" s="16">
        <v>1007227367</v>
      </c>
      <c r="F90" s="17">
        <v>3232866210</v>
      </c>
      <c r="G90" s="309" t="s">
        <v>547</v>
      </c>
      <c r="H90" s="45">
        <v>1</v>
      </c>
      <c r="I90" s="14">
        <v>385</v>
      </c>
      <c r="J90" s="14" t="s">
        <v>35</v>
      </c>
      <c r="K90" s="27">
        <v>42000</v>
      </c>
      <c r="L90" s="57" t="s">
        <v>234</v>
      </c>
      <c r="M90" s="19"/>
      <c r="N90" s="20"/>
      <c r="O90" s="21"/>
      <c r="P90" s="14" t="s">
        <v>28</v>
      </c>
      <c r="Q90" s="14" t="s">
        <v>20</v>
      </c>
      <c r="R90" s="14"/>
      <c r="S90" s="14" t="s">
        <v>548</v>
      </c>
      <c r="T90" s="14" t="s">
        <v>30</v>
      </c>
      <c r="U90" s="32" t="s">
        <v>549</v>
      </c>
      <c r="V90" s="14"/>
      <c r="W90" s="14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</row>
    <row r="91" spans="1:91" ht="14.25" hidden="1" customHeight="1" x14ac:dyDescent="0.25">
      <c r="A91" s="13">
        <v>45736</v>
      </c>
      <c r="B91" s="14" t="s">
        <v>21</v>
      </c>
      <c r="C91" s="14"/>
      <c r="D91" s="15" t="s">
        <v>550</v>
      </c>
      <c r="E91" s="16">
        <v>15528038</v>
      </c>
      <c r="F91" s="17">
        <v>3216480205</v>
      </c>
      <c r="G91" s="308" t="s">
        <v>551</v>
      </c>
      <c r="H91" s="14"/>
      <c r="I91" s="14">
        <v>425</v>
      </c>
      <c r="J91" s="14" t="s">
        <v>25</v>
      </c>
      <c r="K91" s="7" t="s">
        <v>453</v>
      </c>
      <c r="L91" s="57" t="s">
        <v>234</v>
      </c>
      <c r="M91" s="19"/>
      <c r="N91" s="7"/>
      <c r="O91" s="21"/>
      <c r="P91" s="14" t="s">
        <v>28</v>
      </c>
      <c r="Q91" s="14" t="s">
        <v>20</v>
      </c>
      <c r="R91" s="14"/>
      <c r="S91" s="14" t="s">
        <v>552</v>
      </c>
      <c r="T91" s="14" t="s">
        <v>286</v>
      </c>
      <c r="U91" s="47" t="s">
        <v>311</v>
      </c>
      <c r="V91" s="14"/>
      <c r="W91" s="14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</row>
    <row r="92" spans="1:91" ht="14.25" hidden="1" customHeight="1" x14ac:dyDescent="0.25">
      <c r="A92" s="13">
        <v>45742</v>
      </c>
      <c r="B92" s="14" t="s">
        <v>21</v>
      </c>
      <c r="C92" s="14"/>
      <c r="D92" s="15" t="s">
        <v>553</v>
      </c>
      <c r="E92" s="16">
        <v>1007063808</v>
      </c>
      <c r="F92" s="17" t="s">
        <v>554</v>
      </c>
      <c r="G92" s="309" t="s">
        <v>555</v>
      </c>
      <c r="H92" s="45">
        <v>1</v>
      </c>
      <c r="I92" s="14">
        <v>707</v>
      </c>
      <c r="J92" s="14" t="s">
        <v>35</v>
      </c>
      <c r="K92" s="7">
        <v>42000</v>
      </c>
      <c r="L92" s="57" t="s">
        <v>234</v>
      </c>
      <c r="M92" s="19"/>
      <c r="N92" s="20"/>
      <c r="O92" s="21"/>
      <c r="P92" s="14" t="s">
        <v>28</v>
      </c>
      <c r="Q92" s="14" t="s">
        <v>20</v>
      </c>
      <c r="R92" s="14"/>
      <c r="S92" s="14" t="s">
        <v>30</v>
      </c>
      <c r="T92" s="14" t="s">
        <v>556</v>
      </c>
      <c r="U92" s="32" t="s">
        <v>557</v>
      </c>
      <c r="V92" s="14"/>
      <c r="W92" s="14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</row>
    <row r="93" spans="1:91" ht="14.25" hidden="1" customHeight="1" x14ac:dyDescent="0.25">
      <c r="A93" s="13">
        <v>45742</v>
      </c>
      <c r="B93" s="14" t="s">
        <v>21</v>
      </c>
      <c r="C93" s="14"/>
      <c r="D93" s="15" t="s">
        <v>558</v>
      </c>
      <c r="E93" s="16">
        <v>1099683205</v>
      </c>
      <c r="F93" s="17" t="s">
        <v>559</v>
      </c>
      <c r="G93" s="297" t="s">
        <v>560</v>
      </c>
      <c r="H93" s="14"/>
      <c r="I93" s="14">
        <v>709</v>
      </c>
      <c r="J93" s="14" t="s">
        <v>35</v>
      </c>
      <c r="K93" s="7">
        <v>42000</v>
      </c>
      <c r="L93" s="57" t="s">
        <v>234</v>
      </c>
      <c r="M93" s="19"/>
      <c r="N93" s="20"/>
      <c r="O93" s="21"/>
      <c r="P93" s="14" t="s">
        <v>28</v>
      </c>
      <c r="Q93" s="14" t="s">
        <v>20</v>
      </c>
      <c r="R93" s="14"/>
      <c r="S93" s="14" t="s">
        <v>561</v>
      </c>
      <c r="T93" s="14" t="s">
        <v>562</v>
      </c>
      <c r="U93" s="32" t="s">
        <v>563</v>
      </c>
      <c r="V93" s="14"/>
      <c r="W93" s="14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</row>
    <row r="94" spans="1:91" ht="14.25" hidden="1" customHeight="1" x14ac:dyDescent="0.25">
      <c r="A94" s="13">
        <v>45742</v>
      </c>
      <c r="B94" s="14" t="s">
        <v>564</v>
      </c>
      <c r="C94" s="14"/>
      <c r="D94" s="15" t="s">
        <v>565</v>
      </c>
      <c r="E94" s="16"/>
      <c r="F94" s="17">
        <v>3226288569</v>
      </c>
      <c r="G94" s="308" t="s">
        <v>566</v>
      </c>
      <c r="H94" s="14"/>
      <c r="I94" s="14">
        <v>867</v>
      </c>
      <c r="J94" s="14" t="s">
        <v>465</v>
      </c>
      <c r="K94" s="7" t="s">
        <v>465</v>
      </c>
      <c r="L94" s="57" t="s">
        <v>234</v>
      </c>
      <c r="M94" s="19"/>
      <c r="N94" s="7"/>
      <c r="O94" s="21"/>
      <c r="P94" s="14" t="s">
        <v>28</v>
      </c>
      <c r="Q94" s="14" t="s">
        <v>20</v>
      </c>
      <c r="R94" s="14"/>
      <c r="S94" s="14" t="s">
        <v>568</v>
      </c>
      <c r="T94" s="14" t="s">
        <v>569</v>
      </c>
      <c r="U94" s="47" t="s">
        <v>311</v>
      </c>
      <c r="V94" s="14"/>
      <c r="W94" s="14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</row>
    <row r="95" spans="1:91" ht="14.25" hidden="1" customHeight="1" x14ac:dyDescent="0.25">
      <c r="A95" s="13">
        <v>45745</v>
      </c>
      <c r="B95" s="14" t="s">
        <v>21</v>
      </c>
      <c r="C95" s="14"/>
      <c r="D95" s="15" t="s">
        <v>570</v>
      </c>
      <c r="E95" s="16">
        <v>1094957013</v>
      </c>
      <c r="F95" s="17">
        <v>3178701718</v>
      </c>
      <c r="G95" s="309" t="s">
        <v>571</v>
      </c>
      <c r="H95" s="45">
        <v>1</v>
      </c>
      <c r="I95" s="14">
        <v>299</v>
      </c>
      <c r="J95" s="14" t="s">
        <v>35</v>
      </c>
      <c r="K95" s="27">
        <v>42000</v>
      </c>
      <c r="L95" s="57" t="s">
        <v>234</v>
      </c>
      <c r="M95" s="19"/>
      <c r="N95" s="20"/>
      <c r="O95" s="21"/>
      <c r="P95" s="14" t="s">
        <v>28</v>
      </c>
      <c r="Q95" s="14" t="s">
        <v>20</v>
      </c>
      <c r="R95" s="14"/>
      <c r="S95" s="14" t="s">
        <v>572</v>
      </c>
      <c r="T95" s="14" t="s">
        <v>573</v>
      </c>
      <c r="U95" s="32" t="s">
        <v>574</v>
      </c>
      <c r="V95" s="14"/>
      <c r="W95" s="14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</row>
    <row r="96" spans="1:91" ht="14.25" hidden="1" customHeight="1" x14ac:dyDescent="0.25">
      <c r="A96" s="13">
        <v>45745</v>
      </c>
      <c r="B96" s="14" t="s">
        <v>21</v>
      </c>
      <c r="C96" s="14"/>
      <c r="D96" s="15" t="s">
        <v>575</v>
      </c>
      <c r="E96" s="16">
        <v>1010060425</v>
      </c>
      <c r="F96" s="17" t="s">
        <v>576</v>
      </c>
      <c r="G96" s="309" t="s">
        <v>577</v>
      </c>
      <c r="H96" s="45">
        <v>1</v>
      </c>
      <c r="I96" s="14">
        <v>711</v>
      </c>
      <c r="J96" s="14" t="s">
        <v>35</v>
      </c>
      <c r="K96" s="7">
        <v>42000</v>
      </c>
      <c r="L96" s="57" t="s">
        <v>234</v>
      </c>
      <c r="M96" s="19"/>
      <c r="N96" s="20"/>
      <c r="O96" s="21"/>
      <c r="P96" s="14" t="s">
        <v>28</v>
      </c>
      <c r="Q96" s="14" t="s">
        <v>20</v>
      </c>
      <c r="R96" s="14"/>
      <c r="S96" s="14" t="s">
        <v>30</v>
      </c>
      <c r="T96" s="14" t="s">
        <v>534</v>
      </c>
      <c r="U96" s="32" t="s">
        <v>578</v>
      </c>
      <c r="V96" s="14"/>
      <c r="W96" s="14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</row>
    <row r="97" spans="1:91" ht="14.25" hidden="1" customHeight="1" x14ac:dyDescent="0.25">
      <c r="A97" s="13">
        <v>45747</v>
      </c>
      <c r="B97" s="14" t="s">
        <v>21</v>
      </c>
      <c r="C97" s="14"/>
      <c r="D97" s="15" t="s">
        <v>579</v>
      </c>
      <c r="E97" s="16">
        <v>1006030376</v>
      </c>
      <c r="F97" s="17" t="s">
        <v>580</v>
      </c>
      <c r="G97" s="309" t="s">
        <v>581</v>
      </c>
      <c r="H97" s="45">
        <v>1</v>
      </c>
      <c r="I97" s="14">
        <v>712</v>
      </c>
      <c r="J97" s="14" t="s">
        <v>35</v>
      </c>
      <c r="K97" s="7">
        <v>42000</v>
      </c>
      <c r="L97" s="57" t="s">
        <v>234</v>
      </c>
      <c r="M97" s="19"/>
      <c r="N97" s="20"/>
      <c r="O97" s="21"/>
      <c r="P97" s="14" t="s">
        <v>28</v>
      </c>
      <c r="Q97" s="14" t="s">
        <v>20</v>
      </c>
      <c r="R97" s="14"/>
      <c r="S97" s="14" t="s">
        <v>582</v>
      </c>
      <c r="T97" s="14" t="s">
        <v>583</v>
      </c>
      <c r="U97" s="32" t="s">
        <v>584</v>
      </c>
      <c r="V97" s="14"/>
      <c r="W97" s="14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</row>
    <row r="98" spans="1:91" ht="14.25" hidden="1" customHeight="1" x14ac:dyDescent="0.25">
      <c r="A98" s="13">
        <v>45749</v>
      </c>
      <c r="B98" s="14" t="s">
        <v>21</v>
      </c>
      <c r="C98" s="14"/>
      <c r="D98" s="15" t="s">
        <v>585</v>
      </c>
      <c r="E98" s="16">
        <v>1099683337</v>
      </c>
      <c r="F98" s="17" t="s">
        <v>586</v>
      </c>
      <c r="G98" s="308" t="s">
        <v>587</v>
      </c>
      <c r="H98" s="14"/>
      <c r="I98" s="14">
        <v>713</v>
      </c>
      <c r="J98" s="14" t="s">
        <v>35</v>
      </c>
      <c r="K98" s="7">
        <v>42000</v>
      </c>
      <c r="L98" s="57" t="s">
        <v>234</v>
      </c>
      <c r="M98" s="19"/>
      <c r="N98" s="20"/>
      <c r="O98" s="21"/>
      <c r="P98" s="14" t="s">
        <v>28</v>
      </c>
      <c r="Q98" s="14" t="s">
        <v>20</v>
      </c>
      <c r="R98" s="14"/>
      <c r="S98" s="14" t="s">
        <v>588</v>
      </c>
      <c r="T98" s="14"/>
      <c r="U98" s="32" t="s">
        <v>589</v>
      </c>
      <c r="V98" s="14"/>
      <c r="W98" s="14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</row>
    <row r="99" spans="1:91" ht="14.25" hidden="1" customHeight="1" x14ac:dyDescent="0.25">
      <c r="A99" s="13">
        <v>45750</v>
      </c>
      <c r="B99" s="14" t="s">
        <v>21</v>
      </c>
      <c r="C99" s="14"/>
      <c r="D99" s="15" t="s">
        <v>590</v>
      </c>
      <c r="E99" s="16">
        <v>55226118</v>
      </c>
      <c r="F99" s="17" t="s">
        <v>591</v>
      </c>
      <c r="G99" s="309" t="s">
        <v>592</v>
      </c>
      <c r="H99" s="45">
        <v>1</v>
      </c>
      <c r="I99" s="14"/>
      <c r="J99" s="14" t="s">
        <v>35</v>
      </c>
      <c r="K99" s="7">
        <v>42000</v>
      </c>
      <c r="L99" s="57" t="s">
        <v>234</v>
      </c>
      <c r="M99" s="19"/>
      <c r="N99" s="20"/>
      <c r="O99" s="21"/>
      <c r="P99" s="14" t="s">
        <v>28</v>
      </c>
      <c r="Q99" s="14" t="s">
        <v>20</v>
      </c>
      <c r="R99" s="14"/>
      <c r="S99" s="14" t="s">
        <v>593</v>
      </c>
      <c r="T99" s="14" t="s">
        <v>450</v>
      </c>
      <c r="U99" s="47" t="s">
        <v>311</v>
      </c>
      <c r="V99" s="14"/>
      <c r="W99" s="14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</row>
    <row r="100" spans="1:91" ht="14.25" hidden="1" customHeight="1" x14ac:dyDescent="0.25">
      <c r="A100" s="13">
        <v>45750</v>
      </c>
      <c r="B100" s="14" t="s">
        <v>21</v>
      </c>
      <c r="C100" s="14"/>
      <c r="D100" s="15" t="s">
        <v>594</v>
      </c>
      <c r="E100" s="16">
        <v>41945966</v>
      </c>
      <c r="F100" s="17" t="s">
        <v>595</v>
      </c>
      <c r="G100" s="308" t="s">
        <v>596</v>
      </c>
      <c r="H100" s="14"/>
      <c r="I100" s="14">
        <v>182</v>
      </c>
      <c r="J100" s="14" t="s">
        <v>35</v>
      </c>
      <c r="K100" s="7">
        <v>42000</v>
      </c>
      <c r="L100" s="57" t="s">
        <v>234</v>
      </c>
      <c r="M100" s="19"/>
      <c r="N100" s="20"/>
      <c r="O100" s="21"/>
      <c r="P100" s="14" t="s">
        <v>28</v>
      </c>
      <c r="Q100" s="14" t="s">
        <v>20</v>
      </c>
      <c r="R100" s="14"/>
      <c r="S100" s="14" t="s">
        <v>597</v>
      </c>
      <c r="T100" s="14" t="s">
        <v>30</v>
      </c>
      <c r="U100" s="47" t="s">
        <v>311</v>
      </c>
      <c r="V100" s="14"/>
      <c r="W100" s="14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</row>
    <row r="101" spans="1:91" ht="14.25" hidden="1" customHeight="1" x14ac:dyDescent="0.25">
      <c r="A101" s="13">
        <v>45751</v>
      </c>
      <c r="B101" s="14" t="s">
        <v>21</v>
      </c>
      <c r="C101" s="14"/>
      <c r="D101" s="15" t="s">
        <v>598</v>
      </c>
      <c r="E101" s="16">
        <v>24675308</v>
      </c>
      <c r="F101" s="17" t="s">
        <v>599</v>
      </c>
      <c r="G101" s="297" t="s">
        <v>600</v>
      </c>
      <c r="H101" s="14"/>
      <c r="I101" s="14">
        <v>593</v>
      </c>
      <c r="J101" s="14" t="s">
        <v>35</v>
      </c>
      <c r="K101" s="7">
        <v>42000</v>
      </c>
      <c r="L101" s="57" t="s">
        <v>234</v>
      </c>
      <c r="M101" s="19"/>
      <c r="N101" s="20"/>
      <c r="O101" s="21"/>
      <c r="P101" s="14" t="s">
        <v>28</v>
      </c>
      <c r="Q101" s="14" t="s">
        <v>20</v>
      </c>
      <c r="R101" s="14"/>
      <c r="S101" s="14" t="s">
        <v>601</v>
      </c>
      <c r="T101" s="14" t="s">
        <v>151</v>
      </c>
      <c r="U101" s="47" t="s">
        <v>311</v>
      </c>
      <c r="V101" s="14"/>
      <c r="W101" s="14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</row>
    <row r="102" spans="1:91" ht="14.25" hidden="1" customHeight="1" x14ac:dyDescent="0.25">
      <c r="A102" s="13">
        <v>45751</v>
      </c>
      <c r="B102" s="14" t="s">
        <v>21</v>
      </c>
      <c r="C102" s="14"/>
      <c r="D102" s="15" t="s">
        <v>602</v>
      </c>
      <c r="E102" s="16">
        <v>1099683897</v>
      </c>
      <c r="F102" s="17" t="s">
        <v>603</v>
      </c>
      <c r="G102" s="308" t="s">
        <v>604</v>
      </c>
      <c r="H102" s="14"/>
      <c r="I102" s="14">
        <v>816</v>
      </c>
      <c r="J102" s="14" t="s">
        <v>35</v>
      </c>
      <c r="K102" s="7">
        <v>42000</v>
      </c>
      <c r="L102" s="57" t="s">
        <v>234</v>
      </c>
      <c r="M102" s="19"/>
      <c r="N102" s="20"/>
      <c r="O102" s="21"/>
      <c r="P102" s="14" t="s">
        <v>28</v>
      </c>
      <c r="Q102" s="14" t="s">
        <v>20</v>
      </c>
      <c r="R102" s="14"/>
      <c r="S102" s="14" t="s">
        <v>605</v>
      </c>
      <c r="T102" s="14" t="s">
        <v>606</v>
      </c>
      <c r="U102" s="47" t="s">
        <v>311</v>
      </c>
      <c r="V102" s="14"/>
      <c r="W102" s="14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</row>
    <row r="103" spans="1:91" ht="14.25" hidden="1" customHeight="1" x14ac:dyDescent="0.25">
      <c r="A103" s="13">
        <v>45751</v>
      </c>
      <c r="B103" s="14" t="s">
        <v>21</v>
      </c>
      <c r="C103" s="14"/>
      <c r="D103" s="15" t="s">
        <v>607</v>
      </c>
      <c r="E103" s="16">
        <v>24675327</v>
      </c>
      <c r="F103" s="17" t="s">
        <v>608</v>
      </c>
      <c r="G103" s="308" t="s">
        <v>609</v>
      </c>
      <c r="H103" s="14"/>
      <c r="I103" s="14"/>
      <c r="J103" s="14" t="s">
        <v>35</v>
      </c>
      <c r="K103" s="7">
        <v>42000</v>
      </c>
      <c r="L103" s="57" t="s">
        <v>234</v>
      </c>
      <c r="M103" s="19"/>
      <c r="N103" s="20"/>
      <c r="O103" s="21"/>
      <c r="P103" s="14" t="s">
        <v>28</v>
      </c>
      <c r="Q103" s="14" t="s">
        <v>20</v>
      </c>
      <c r="R103" s="14"/>
      <c r="S103" s="14" t="s">
        <v>610</v>
      </c>
      <c r="T103" s="14" t="s">
        <v>30</v>
      </c>
      <c r="U103" s="47" t="s">
        <v>311</v>
      </c>
      <c r="V103" s="14"/>
      <c r="W103" s="14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</row>
    <row r="104" spans="1:91" ht="14.25" hidden="1" customHeight="1" x14ac:dyDescent="0.25">
      <c r="A104" s="13">
        <v>45755</v>
      </c>
      <c r="B104" s="14" t="s">
        <v>21</v>
      </c>
      <c r="C104" s="14" t="s">
        <v>611</v>
      </c>
      <c r="D104" s="15" t="s">
        <v>612</v>
      </c>
      <c r="E104" s="16">
        <v>1193423855</v>
      </c>
      <c r="F104" s="17" t="s">
        <v>613</v>
      </c>
      <c r="G104" s="309" t="s">
        <v>614</v>
      </c>
      <c r="H104" s="45">
        <v>1</v>
      </c>
      <c r="I104" s="14"/>
      <c r="J104" s="14" t="s">
        <v>35</v>
      </c>
      <c r="K104" s="27">
        <v>42000</v>
      </c>
      <c r="L104" s="57" t="s">
        <v>234</v>
      </c>
      <c r="M104" s="19"/>
      <c r="N104" s="20"/>
      <c r="O104" s="21"/>
      <c r="P104" s="14" t="s">
        <v>28</v>
      </c>
      <c r="Q104" s="14" t="s">
        <v>20</v>
      </c>
      <c r="R104" s="14"/>
      <c r="S104" s="14" t="s">
        <v>615</v>
      </c>
      <c r="T104" s="14"/>
      <c r="U104" s="47" t="s">
        <v>311</v>
      </c>
      <c r="V104" s="14"/>
      <c r="W104" s="14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</row>
    <row r="105" spans="1:91" ht="14.25" hidden="1" customHeight="1" x14ac:dyDescent="0.25">
      <c r="A105" s="13">
        <v>45755</v>
      </c>
      <c r="B105" s="14" t="s">
        <v>21</v>
      </c>
      <c r="C105" s="14"/>
      <c r="D105" s="15" t="s">
        <v>616</v>
      </c>
      <c r="E105" s="16">
        <v>1099683730</v>
      </c>
      <c r="F105" s="17" t="s">
        <v>617</v>
      </c>
      <c r="G105" s="308" t="s">
        <v>618</v>
      </c>
      <c r="H105" s="14"/>
      <c r="I105" s="14">
        <v>424</v>
      </c>
      <c r="J105" s="14" t="s">
        <v>35</v>
      </c>
      <c r="K105" s="7">
        <v>42000</v>
      </c>
      <c r="L105" s="57" t="s">
        <v>234</v>
      </c>
      <c r="M105" s="19"/>
      <c r="N105" s="20"/>
      <c r="O105" s="21"/>
      <c r="P105" s="14" t="s">
        <v>28</v>
      </c>
      <c r="Q105" s="14" t="s">
        <v>20</v>
      </c>
      <c r="R105" s="14"/>
      <c r="S105" s="14" t="s">
        <v>619</v>
      </c>
      <c r="T105" s="14" t="s">
        <v>620</v>
      </c>
      <c r="U105" s="47" t="s">
        <v>311</v>
      </c>
      <c r="V105" s="14"/>
      <c r="W105" s="14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</row>
    <row r="106" spans="1:91" ht="14.25" hidden="1" customHeight="1" x14ac:dyDescent="0.25">
      <c r="A106" s="13">
        <v>45756</v>
      </c>
      <c r="B106" s="14" t="s">
        <v>21</v>
      </c>
      <c r="C106" s="14"/>
      <c r="D106" s="15" t="s">
        <v>357</v>
      </c>
      <c r="E106" s="16">
        <v>14193742</v>
      </c>
      <c r="F106" s="17" t="s">
        <v>626</v>
      </c>
      <c r="G106" s="309" t="s">
        <v>627</v>
      </c>
      <c r="H106" s="45">
        <v>1</v>
      </c>
      <c r="I106" s="14"/>
      <c r="J106" s="14" t="s">
        <v>35</v>
      </c>
      <c r="K106" s="7">
        <v>42000</v>
      </c>
      <c r="L106" s="57" t="s">
        <v>234</v>
      </c>
      <c r="M106" s="19"/>
      <c r="N106" s="20"/>
      <c r="O106" s="21"/>
      <c r="P106" s="14" t="s">
        <v>28</v>
      </c>
      <c r="Q106" s="14" t="s">
        <v>20</v>
      </c>
      <c r="R106" s="14"/>
      <c r="S106" s="14" t="s">
        <v>628</v>
      </c>
      <c r="T106" s="14"/>
      <c r="U106" s="47" t="s">
        <v>311</v>
      </c>
      <c r="V106" s="14"/>
      <c r="W106" s="14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</row>
    <row r="107" spans="1:91" ht="14.25" hidden="1" customHeight="1" x14ac:dyDescent="0.25">
      <c r="A107" s="13">
        <v>45761</v>
      </c>
      <c r="B107" s="14" t="s">
        <v>21</v>
      </c>
      <c r="C107" s="14"/>
      <c r="D107" s="15" t="s">
        <v>629</v>
      </c>
      <c r="E107" s="16">
        <v>1109388157</v>
      </c>
      <c r="F107" s="17" t="s">
        <v>630</v>
      </c>
      <c r="G107" s="309" t="s">
        <v>631</v>
      </c>
      <c r="H107" s="45">
        <v>1</v>
      </c>
      <c r="I107" s="14">
        <v>718</v>
      </c>
      <c r="J107" s="14" t="s">
        <v>35</v>
      </c>
      <c r="K107" s="7">
        <v>42000</v>
      </c>
      <c r="L107" s="57" t="s">
        <v>234</v>
      </c>
      <c r="M107" s="19"/>
      <c r="N107" s="20"/>
      <c r="O107" s="21"/>
      <c r="P107" s="14" t="s">
        <v>28</v>
      </c>
      <c r="Q107" s="14" t="s">
        <v>20</v>
      </c>
      <c r="R107" s="14"/>
      <c r="S107" s="14" t="s">
        <v>30</v>
      </c>
      <c r="T107" s="14" t="s">
        <v>632</v>
      </c>
      <c r="U107" s="47" t="s">
        <v>311</v>
      </c>
      <c r="V107" s="14"/>
      <c r="W107" s="14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</row>
    <row r="108" spans="1:91" ht="14.25" hidden="1" customHeight="1" x14ac:dyDescent="0.25">
      <c r="A108" s="13">
        <v>45761</v>
      </c>
      <c r="B108" s="14" t="s">
        <v>21</v>
      </c>
      <c r="C108" s="14"/>
      <c r="D108" s="15" t="s">
        <v>633</v>
      </c>
      <c r="E108" s="16">
        <v>41930786</v>
      </c>
      <c r="F108" s="17" t="s">
        <v>634</v>
      </c>
      <c r="G108" s="297" t="s">
        <v>635</v>
      </c>
      <c r="H108" s="14"/>
      <c r="I108" s="14">
        <v>729</v>
      </c>
      <c r="J108" s="14" t="s">
        <v>35</v>
      </c>
      <c r="K108" s="27">
        <v>42000</v>
      </c>
      <c r="L108" s="57" t="s">
        <v>234</v>
      </c>
      <c r="M108" s="19"/>
      <c r="N108" s="20"/>
      <c r="O108" s="21"/>
      <c r="P108" s="14" t="s">
        <v>28</v>
      </c>
      <c r="Q108" s="14" t="s">
        <v>20</v>
      </c>
      <c r="R108" s="14"/>
      <c r="S108" s="14" t="s">
        <v>67</v>
      </c>
      <c r="T108" s="14" t="s">
        <v>636</v>
      </c>
      <c r="U108" s="47" t="s">
        <v>311</v>
      </c>
      <c r="V108" s="14"/>
      <c r="W108" s="14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</row>
    <row r="109" spans="1:91" ht="14.25" hidden="1" customHeight="1" x14ac:dyDescent="0.25">
      <c r="A109" s="13">
        <v>45763</v>
      </c>
      <c r="B109" s="14" t="s">
        <v>21</v>
      </c>
      <c r="C109" s="14"/>
      <c r="D109" s="15" t="s">
        <v>641</v>
      </c>
      <c r="E109" s="16">
        <v>24675942</v>
      </c>
      <c r="F109" s="17" t="s">
        <v>642</v>
      </c>
      <c r="G109" s="308" t="s">
        <v>643</v>
      </c>
      <c r="H109" s="14"/>
      <c r="I109" s="14">
        <v>720</v>
      </c>
      <c r="J109" s="14" t="s">
        <v>35</v>
      </c>
      <c r="K109" s="7">
        <v>42000</v>
      </c>
      <c r="L109" s="57" t="s">
        <v>234</v>
      </c>
      <c r="M109" s="19"/>
      <c r="N109" s="20"/>
      <c r="O109" s="21"/>
      <c r="P109" s="14" t="s">
        <v>28</v>
      </c>
      <c r="Q109" s="14" t="s">
        <v>20</v>
      </c>
      <c r="R109" s="14"/>
      <c r="S109" s="14" t="s">
        <v>67</v>
      </c>
      <c r="T109" s="14" t="s">
        <v>644</v>
      </c>
      <c r="U109" s="47" t="s">
        <v>311</v>
      </c>
      <c r="V109" s="14"/>
      <c r="W109" s="14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</row>
    <row r="110" spans="1:91" ht="14.25" hidden="1" customHeight="1" x14ac:dyDescent="0.25">
      <c r="A110" s="13">
        <v>45768</v>
      </c>
      <c r="B110" s="14" t="s">
        <v>21</v>
      </c>
      <c r="C110" s="14"/>
      <c r="D110" s="15" t="s">
        <v>645</v>
      </c>
      <c r="E110" s="16">
        <v>94285849</v>
      </c>
      <c r="F110" s="17" t="s">
        <v>646</v>
      </c>
      <c r="G110" s="308" t="s">
        <v>647</v>
      </c>
      <c r="H110" s="14"/>
      <c r="I110" s="14">
        <v>722</v>
      </c>
      <c r="J110" s="15" t="s">
        <v>188</v>
      </c>
      <c r="K110" s="7">
        <v>57000</v>
      </c>
      <c r="L110" s="57" t="s">
        <v>234</v>
      </c>
      <c r="M110" s="19"/>
      <c r="N110" s="20"/>
      <c r="O110" s="21"/>
      <c r="P110" s="14" t="s">
        <v>28</v>
      </c>
      <c r="Q110" s="14" t="s">
        <v>20</v>
      </c>
      <c r="R110" s="14"/>
      <c r="S110" s="14" t="s">
        <v>43</v>
      </c>
      <c r="T110" s="14" t="s">
        <v>648</v>
      </c>
      <c r="U110" s="47" t="s">
        <v>311</v>
      </c>
      <c r="V110" s="14"/>
      <c r="W110" s="14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</row>
    <row r="111" spans="1:91" ht="14.25" hidden="1" customHeight="1" x14ac:dyDescent="0.25">
      <c r="A111" s="13">
        <v>45771</v>
      </c>
      <c r="B111" s="14" t="s">
        <v>21</v>
      </c>
      <c r="C111" s="14"/>
      <c r="D111" s="15" t="s">
        <v>649</v>
      </c>
      <c r="E111" s="16">
        <v>1099684193</v>
      </c>
      <c r="F111" s="17">
        <v>3218996514</v>
      </c>
      <c r="G111" s="309" t="s">
        <v>650</v>
      </c>
      <c r="H111" s="45">
        <v>1</v>
      </c>
      <c r="I111" s="14">
        <v>727</v>
      </c>
      <c r="J111" s="14" t="s">
        <v>35</v>
      </c>
      <c r="K111" s="7">
        <v>42000</v>
      </c>
      <c r="L111" s="57" t="s">
        <v>234</v>
      </c>
      <c r="M111" s="19"/>
      <c r="N111" s="20"/>
      <c r="O111" s="21"/>
      <c r="P111" s="14" t="s">
        <v>28</v>
      </c>
      <c r="Q111" s="14" t="s">
        <v>20</v>
      </c>
      <c r="R111" s="14"/>
      <c r="S111" s="14" t="s">
        <v>30</v>
      </c>
      <c r="T111" s="14" t="s">
        <v>651</v>
      </c>
      <c r="U111" s="47" t="s">
        <v>311</v>
      </c>
      <c r="V111" s="14"/>
      <c r="W111" s="14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</row>
    <row r="112" spans="1:91" ht="14.25" hidden="1" customHeight="1" x14ac:dyDescent="0.25">
      <c r="A112" s="13">
        <v>45773</v>
      </c>
      <c r="B112" s="14" t="s">
        <v>21</v>
      </c>
      <c r="C112" s="14"/>
      <c r="D112" s="15" t="s">
        <v>652</v>
      </c>
      <c r="E112" s="16">
        <v>1099683444</v>
      </c>
      <c r="F112" s="17" t="s">
        <v>653</v>
      </c>
      <c r="G112" s="309" t="s">
        <v>654</v>
      </c>
      <c r="H112" s="45">
        <v>1</v>
      </c>
      <c r="I112" s="14"/>
      <c r="J112" s="14" t="s">
        <v>35</v>
      </c>
      <c r="K112" s="7">
        <v>42000</v>
      </c>
      <c r="L112" s="57" t="s">
        <v>234</v>
      </c>
      <c r="M112" s="19"/>
      <c r="N112" s="20"/>
      <c r="O112" s="21"/>
      <c r="P112" s="14" t="s">
        <v>28</v>
      </c>
      <c r="Q112" s="14" t="s">
        <v>20</v>
      </c>
      <c r="R112" s="14"/>
      <c r="S112" s="14" t="s">
        <v>30</v>
      </c>
      <c r="T112" s="14" t="s">
        <v>655</v>
      </c>
      <c r="U112" s="47" t="s">
        <v>311</v>
      </c>
      <c r="V112" s="14"/>
      <c r="W112" s="14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</row>
    <row r="113" spans="1:91" ht="14.25" hidden="1" customHeight="1" x14ac:dyDescent="0.25">
      <c r="A113" s="13">
        <v>45776</v>
      </c>
      <c r="B113" s="14" t="s">
        <v>21</v>
      </c>
      <c r="C113" s="14" t="s">
        <v>453</v>
      </c>
      <c r="D113" s="15" t="s">
        <v>656</v>
      </c>
      <c r="E113" s="16">
        <v>1005089936</v>
      </c>
      <c r="F113" s="17" t="s">
        <v>657</v>
      </c>
      <c r="G113" s="309" t="s">
        <v>658</v>
      </c>
      <c r="H113" s="45">
        <v>1</v>
      </c>
      <c r="I113" s="14"/>
      <c r="J113" s="14" t="s">
        <v>35</v>
      </c>
      <c r="K113" s="7">
        <v>42000</v>
      </c>
      <c r="L113" s="57" t="s">
        <v>234</v>
      </c>
      <c r="M113" s="14"/>
      <c r="N113" s="7"/>
      <c r="O113" s="21"/>
      <c r="P113" s="14" t="s">
        <v>28</v>
      </c>
      <c r="Q113" s="14" t="s">
        <v>20</v>
      </c>
      <c r="R113" s="14"/>
      <c r="S113" s="14" t="s">
        <v>198</v>
      </c>
      <c r="T113" s="14" t="s">
        <v>659</v>
      </c>
      <c r="U113" s="47" t="s">
        <v>311</v>
      </c>
      <c r="V113" s="14"/>
      <c r="W113" s="14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</row>
    <row r="114" spans="1:91" ht="14.25" hidden="1" customHeight="1" x14ac:dyDescent="0.25">
      <c r="A114" s="13">
        <v>45778</v>
      </c>
      <c r="B114" s="14" t="s">
        <v>21</v>
      </c>
      <c r="C114" s="14"/>
      <c r="D114" s="15" t="s">
        <v>660</v>
      </c>
      <c r="E114" s="16">
        <v>1042000781</v>
      </c>
      <c r="F114" s="17">
        <v>3205988434</v>
      </c>
      <c r="G114" s="308" t="s">
        <v>661</v>
      </c>
      <c r="H114" s="14"/>
      <c r="I114" s="14">
        <v>723</v>
      </c>
      <c r="J114" s="14" t="s">
        <v>35</v>
      </c>
      <c r="K114" s="7">
        <v>42000</v>
      </c>
      <c r="L114" s="57" t="s">
        <v>234</v>
      </c>
      <c r="M114" s="19"/>
      <c r="N114" s="20"/>
      <c r="O114" s="21"/>
      <c r="P114" s="14" t="s">
        <v>28</v>
      </c>
      <c r="Q114" s="14" t="s">
        <v>20</v>
      </c>
      <c r="R114" s="14"/>
      <c r="S114" s="14" t="s">
        <v>67</v>
      </c>
      <c r="T114" s="14" t="s">
        <v>662</v>
      </c>
      <c r="U114" s="47" t="s">
        <v>311</v>
      </c>
      <c r="V114" s="14"/>
      <c r="W114" s="14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</row>
    <row r="115" spans="1:91" ht="14.25" hidden="1" customHeight="1" x14ac:dyDescent="0.25">
      <c r="A115" s="13">
        <v>45780</v>
      </c>
      <c r="B115" s="14" t="s">
        <v>21</v>
      </c>
      <c r="C115" s="14"/>
      <c r="D115" s="15" t="s">
        <v>668</v>
      </c>
      <c r="E115" s="16">
        <v>9726555</v>
      </c>
      <c r="F115" s="17" t="s">
        <v>669</v>
      </c>
      <c r="G115" s="308" t="s">
        <v>670</v>
      </c>
      <c r="H115" s="14"/>
      <c r="I115" s="14">
        <v>88</v>
      </c>
      <c r="J115" s="14" t="s">
        <v>35</v>
      </c>
      <c r="K115" s="7">
        <v>42000</v>
      </c>
      <c r="L115" s="57" t="s">
        <v>234</v>
      </c>
      <c r="M115" s="19"/>
      <c r="N115" s="20"/>
      <c r="O115" s="21"/>
      <c r="P115" s="14" t="s">
        <v>28</v>
      </c>
      <c r="Q115" s="14" t="s">
        <v>20</v>
      </c>
      <c r="R115" s="14"/>
      <c r="S115" s="14" t="s">
        <v>671</v>
      </c>
      <c r="T115" s="14" t="s">
        <v>30</v>
      </c>
      <c r="U115" s="47" t="s">
        <v>311</v>
      </c>
      <c r="V115" s="14"/>
      <c r="W115" s="14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</row>
    <row r="116" spans="1:91" ht="14.25" hidden="1" customHeight="1" x14ac:dyDescent="0.25">
      <c r="A116" s="13">
        <v>45784</v>
      </c>
      <c r="B116" s="14" t="s">
        <v>21</v>
      </c>
      <c r="C116" s="14"/>
      <c r="D116" s="15" t="s">
        <v>672</v>
      </c>
      <c r="E116" s="16">
        <v>1099684144</v>
      </c>
      <c r="F116" s="17" t="s">
        <v>673</v>
      </c>
      <c r="G116" s="308" t="s">
        <v>674</v>
      </c>
      <c r="H116" s="14"/>
      <c r="I116" s="14">
        <v>734</v>
      </c>
      <c r="J116" s="14" t="s">
        <v>35</v>
      </c>
      <c r="K116" s="7">
        <v>42000</v>
      </c>
      <c r="L116" s="57" t="s">
        <v>234</v>
      </c>
      <c r="M116" s="19"/>
      <c r="N116" s="20"/>
      <c r="O116" s="21"/>
      <c r="P116" s="14" t="s">
        <v>28</v>
      </c>
      <c r="Q116" s="14" t="s">
        <v>20</v>
      </c>
      <c r="R116" s="14"/>
      <c r="S116" s="14" t="s">
        <v>675</v>
      </c>
      <c r="T116" s="14" t="s">
        <v>30</v>
      </c>
      <c r="U116" s="47" t="s">
        <v>311</v>
      </c>
      <c r="V116" s="14"/>
      <c r="W116" s="14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</row>
    <row r="117" spans="1:91" ht="14.25" hidden="1" customHeight="1" x14ac:dyDescent="0.25">
      <c r="A117" s="13">
        <v>45785</v>
      </c>
      <c r="B117" s="14" t="s">
        <v>21</v>
      </c>
      <c r="C117" s="14"/>
      <c r="D117" s="15" t="s">
        <v>676</v>
      </c>
      <c r="E117" s="36">
        <v>1094888608</v>
      </c>
      <c r="F117" s="17" t="s">
        <v>677</v>
      </c>
      <c r="G117" s="297" t="s">
        <v>678</v>
      </c>
      <c r="H117" s="14"/>
      <c r="I117" s="14"/>
      <c r="J117" s="14" t="s">
        <v>35</v>
      </c>
      <c r="K117" s="7">
        <v>42000</v>
      </c>
      <c r="L117" s="57" t="s">
        <v>234</v>
      </c>
      <c r="M117" s="19"/>
      <c r="N117" s="20"/>
      <c r="O117" s="21"/>
      <c r="P117" s="14" t="s">
        <v>28</v>
      </c>
      <c r="Q117" s="14" t="s">
        <v>20</v>
      </c>
      <c r="R117" s="14"/>
      <c r="S117" s="14" t="s">
        <v>679</v>
      </c>
      <c r="T117" s="14"/>
      <c r="U117" s="47" t="s">
        <v>311</v>
      </c>
      <c r="V117" s="14"/>
      <c r="W117" s="14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</row>
    <row r="118" spans="1:91" ht="14.25" hidden="1" customHeight="1" x14ac:dyDescent="0.25">
      <c r="A118" s="13">
        <v>45785</v>
      </c>
      <c r="B118" s="14" t="s">
        <v>21</v>
      </c>
      <c r="C118" s="14"/>
      <c r="D118" s="15" t="s">
        <v>680</v>
      </c>
      <c r="E118" s="16">
        <v>1005095834</v>
      </c>
      <c r="F118" s="17">
        <v>3144181383</v>
      </c>
      <c r="G118" s="308" t="s">
        <v>681</v>
      </c>
      <c r="H118" s="14"/>
      <c r="I118" s="14">
        <v>735</v>
      </c>
      <c r="J118" s="14" t="s">
        <v>35</v>
      </c>
      <c r="K118" s="7">
        <v>42000</v>
      </c>
      <c r="L118" s="57" t="s">
        <v>234</v>
      </c>
      <c r="M118" s="19"/>
      <c r="N118" s="20"/>
      <c r="O118" s="21"/>
      <c r="P118" s="14" t="s">
        <v>28</v>
      </c>
      <c r="Q118" s="14" t="s">
        <v>20</v>
      </c>
      <c r="R118" s="14"/>
      <c r="S118" s="14" t="s">
        <v>682</v>
      </c>
      <c r="T118" s="14" t="s">
        <v>683</v>
      </c>
      <c r="U118" s="47" t="s">
        <v>311</v>
      </c>
      <c r="V118" s="14"/>
      <c r="W118" s="14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</row>
    <row r="119" spans="1:91" ht="14.25" hidden="1" customHeight="1" x14ac:dyDescent="0.25">
      <c r="A119" s="13">
        <v>45786</v>
      </c>
      <c r="B119" s="14" t="s">
        <v>21</v>
      </c>
      <c r="C119" s="14"/>
      <c r="D119" s="15" t="s">
        <v>684</v>
      </c>
      <c r="E119" s="16">
        <v>1104674761</v>
      </c>
      <c r="F119" s="17" t="s">
        <v>685</v>
      </c>
      <c r="G119" s="308" t="s">
        <v>674</v>
      </c>
      <c r="H119" s="14"/>
      <c r="I119" s="14"/>
      <c r="J119" s="14" t="s">
        <v>35</v>
      </c>
      <c r="K119" s="7">
        <v>42000</v>
      </c>
      <c r="L119" s="57" t="s">
        <v>234</v>
      </c>
      <c r="M119" s="19"/>
      <c r="N119" s="20"/>
      <c r="O119" s="21"/>
      <c r="P119" s="14" t="s">
        <v>28</v>
      </c>
      <c r="Q119" s="14" t="s">
        <v>20</v>
      </c>
      <c r="R119" s="14"/>
      <c r="S119" s="14" t="s">
        <v>686</v>
      </c>
      <c r="T119" s="14" t="s">
        <v>236</v>
      </c>
      <c r="U119" s="47" t="s">
        <v>311</v>
      </c>
      <c r="V119" s="14"/>
      <c r="W119" s="14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</row>
    <row r="120" spans="1:91" ht="14.25" hidden="1" customHeight="1" x14ac:dyDescent="0.25">
      <c r="A120" s="13">
        <v>45791</v>
      </c>
      <c r="B120" s="14" t="s">
        <v>21</v>
      </c>
      <c r="C120" s="14"/>
      <c r="D120" s="15" t="s">
        <v>687</v>
      </c>
      <c r="E120" s="16">
        <v>9802021</v>
      </c>
      <c r="F120" s="17" t="s">
        <v>688</v>
      </c>
      <c r="G120" s="309" t="s">
        <v>689</v>
      </c>
      <c r="H120" s="45">
        <v>1</v>
      </c>
      <c r="I120" s="14">
        <v>740</v>
      </c>
      <c r="J120" s="14" t="s">
        <v>35</v>
      </c>
      <c r="K120" s="7">
        <v>42000</v>
      </c>
      <c r="L120" s="57" t="s">
        <v>234</v>
      </c>
      <c r="M120" s="19"/>
      <c r="N120" s="20"/>
      <c r="O120" s="21"/>
      <c r="P120" s="14" t="s">
        <v>28</v>
      </c>
      <c r="Q120" s="14" t="s">
        <v>20</v>
      </c>
      <c r="R120" s="14"/>
      <c r="S120" s="14" t="s">
        <v>690</v>
      </c>
      <c r="T120" s="14" t="s">
        <v>107</v>
      </c>
      <c r="U120" s="47" t="s">
        <v>311</v>
      </c>
      <c r="V120" s="14"/>
      <c r="W120" s="14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</row>
    <row r="121" spans="1:91" ht="14.25" hidden="1" customHeight="1" x14ac:dyDescent="0.25">
      <c r="A121" s="13">
        <v>45797</v>
      </c>
      <c r="B121" s="14" t="s">
        <v>21</v>
      </c>
      <c r="C121" s="14"/>
      <c r="D121" s="15" t="s">
        <v>695</v>
      </c>
      <c r="E121" s="16">
        <v>1144201085</v>
      </c>
      <c r="F121" s="17" t="s">
        <v>696</v>
      </c>
      <c r="G121" s="309" t="s">
        <v>697</v>
      </c>
      <c r="H121" s="45">
        <v>1</v>
      </c>
      <c r="I121" s="14">
        <v>743</v>
      </c>
      <c r="J121" s="14" t="s">
        <v>35</v>
      </c>
      <c r="K121" s="7">
        <v>42000</v>
      </c>
      <c r="L121" s="57" t="s">
        <v>234</v>
      </c>
      <c r="M121" s="19"/>
      <c r="N121" s="20"/>
      <c r="O121" s="21"/>
      <c r="P121" s="14" t="s">
        <v>28</v>
      </c>
      <c r="Q121" s="14" t="s">
        <v>20</v>
      </c>
      <c r="R121" s="14"/>
      <c r="S121" s="14" t="s">
        <v>698</v>
      </c>
      <c r="T121" s="14" t="s">
        <v>699</v>
      </c>
      <c r="U121" s="47" t="s">
        <v>311</v>
      </c>
      <c r="V121" s="14"/>
      <c r="W121" s="14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</row>
    <row r="122" spans="1:91" ht="14.25" hidden="1" customHeight="1" x14ac:dyDescent="0.25">
      <c r="A122" s="13">
        <v>45798</v>
      </c>
      <c r="B122" s="14" t="s">
        <v>21</v>
      </c>
      <c r="C122" s="14"/>
      <c r="D122" s="15" t="s">
        <v>700</v>
      </c>
      <c r="E122" s="16">
        <v>1135939355</v>
      </c>
      <c r="F122" s="17" t="s">
        <v>701</v>
      </c>
      <c r="G122" s="308" t="s">
        <v>702</v>
      </c>
      <c r="H122" s="14"/>
      <c r="I122" s="14">
        <v>744</v>
      </c>
      <c r="J122" s="14" t="s">
        <v>35</v>
      </c>
      <c r="K122" s="7">
        <v>42000</v>
      </c>
      <c r="L122" s="57" t="s">
        <v>234</v>
      </c>
      <c r="M122" s="19"/>
      <c r="N122" s="20"/>
      <c r="O122" s="21"/>
      <c r="P122" s="14" t="s">
        <v>28</v>
      </c>
      <c r="Q122" s="14" t="s">
        <v>20</v>
      </c>
      <c r="R122" s="14"/>
      <c r="S122" s="14" t="s">
        <v>703</v>
      </c>
      <c r="T122" s="14" t="s">
        <v>267</v>
      </c>
      <c r="U122" s="47" t="s">
        <v>311</v>
      </c>
      <c r="V122" s="14"/>
      <c r="W122" s="14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</row>
    <row r="123" spans="1:91" ht="14.25" hidden="1" customHeight="1" x14ac:dyDescent="0.25">
      <c r="A123" s="13">
        <v>45803</v>
      </c>
      <c r="B123" s="14" t="s">
        <v>21</v>
      </c>
      <c r="C123" s="14"/>
      <c r="D123" s="15" t="s">
        <v>704</v>
      </c>
      <c r="E123" s="16">
        <v>1098576102</v>
      </c>
      <c r="F123" s="17" t="s">
        <v>705</v>
      </c>
      <c r="G123" s="297" t="s">
        <v>706</v>
      </c>
      <c r="H123" s="14"/>
      <c r="I123" s="14">
        <v>283</v>
      </c>
      <c r="J123" s="14" t="s">
        <v>35</v>
      </c>
      <c r="K123" s="7">
        <v>42000</v>
      </c>
      <c r="L123" s="57" t="s">
        <v>234</v>
      </c>
      <c r="M123" s="19"/>
      <c r="N123" s="20"/>
      <c r="O123" s="21"/>
      <c r="P123" s="14" t="s">
        <v>28</v>
      </c>
      <c r="Q123" s="14" t="s">
        <v>20</v>
      </c>
      <c r="R123" s="14"/>
      <c r="S123" s="14" t="s">
        <v>707</v>
      </c>
      <c r="T123" s="14" t="s">
        <v>198</v>
      </c>
      <c r="U123" s="47" t="s">
        <v>311</v>
      </c>
      <c r="V123" s="14"/>
      <c r="W123" s="14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</row>
    <row r="124" spans="1:91" ht="14.25" hidden="1" customHeight="1" x14ac:dyDescent="0.25">
      <c r="A124" s="13">
        <v>45803</v>
      </c>
      <c r="B124" s="14" t="s">
        <v>21</v>
      </c>
      <c r="C124" s="14"/>
      <c r="D124" s="15" t="s">
        <v>708</v>
      </c>
      <c r="E124" s="16">
        <v>1088537322</v>
      </c>
      <c r="F124" s="17">
        <v>3117108337</v>
      </c>
      <c r="G124" s="297" t="s">
        <v>709</v>
      </c>
      <c r="H124" s="14"/>
      <c r="I124" s="14"/>
      <c r="J124" s="14" t="s">
        <v>35</v>
      </c>
      <c r="K124" s="7">
        <v>42000</v>
      </c>
      <c r="L124" s="57" t="s">
        <v>234</v>
      </c>
      <c r="M124" s="19"/>
      <c r="N124" s="20"/>
      <c r="O124" s="21"/>
      <c r="P124" s="14" t="s">
        <v>28</v>
      </c>
      <c r="Q124" s="14" t="s">
        <v>20</v>
      </c>
      <c r="R124" s="14"/>
      <c r="S124" s="14" t="s">
        <v>710</v>
      </c>
      <c r="T124" s="14" t="s">
        <v>711</v>
      </c>
      <c r="U124" s="47" t="s">
        <v>311</v>
      </c>
      <c r="V124" s="14"/>
      <c r="W124" s="14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</row>
    <row r="125" spans="1:91" ht="14.25" hidden="1" customHeight="1" x14ac:dyDescent="0.25">
      <c r="A125" s="13">
        <v>45803</v>
      </c>
      <c r="B125" s="14" t="s">
        <v>21</v>
      </c>
      <c r="C125" s="14"/>
      <c r="D125" s="15" t="s">
        <v>712</v>
      </c>
      <c r="E125" s="16">
        <v>9801719</v>
      </c>
      <c r="F125" s="17" t="s">
        <v>713</v>
      </c>
      <c r="G125" s="308" t="s">
        <v>714</v>
      </c>
      <c r="H125" s="14"/>
      <c r="I125" s="14">
        <v>689</v>
      </c>
      <c r="J125" s="14" t="s">
        <v>35</v>
      </c>
      <c r="K125" s="7">
        <v>42000</v>
      </c>
      <c r="L125" s="57" t="s">
        <v>234</v>
      </c>
      <c r="M125" s="19"/>
      <c r="N125" s="20"/>
      <c r="O125" s="21"/>
      <c r="P125" s="13">
        <v>45995</v>
      </c>
      <c r="Q125" s="14" t="s">
        <v>20</v>
      </c>
      <c r="R125" s="14"/>
      <c r="S125" s="14" t="s">
        <v>715</v>
      </c>
      <c r="T125" s="14" t="s">
        <v>716</v>
      </c>
      <c r="U125" s="47" t="s">
        <v>311</v>
      </c>
      <c r="V125" s="14"/>
      <c r="W125" s="14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</row>
    <row r="126" spans="1:91" ht="14.25" hidden="1" customHeight="1" x14ac:dyDescent="0.25">
      <c r="A126" s="13">
        <v>45803</v>
      </c>
      <c r="B126" s="14" t="s">
        <v>21</v>
      </c>
      <c r="C126" s="14"/>
      <c r="D126" s="15" t="s">
        <v>717</v>
      </c>
      <c r="E126" s="16">
        <v>1099684152</v>
      </c>
      <c r="F126" s="17" t="s">
        <v>718</v>
      </c>
      <c r="G126" s="308" t="s">
        <v>719</v>
      </c>
      <c r="H126" s="14"/>
      <c r="I126" s="14">
        <v>746</v>
      </c>
      <c r="J126" s="14" t="s">
        <v>35</v>
      </c>
      <c r="K126" s="27">
        <v>42000</v>
      </c>
      <c r="L126" s="57" t="s">
        <v>234</v>
      </c>
      <c r="M126" s="19"/>
      <c r="N126" s="20"/>
      <c r="O126" s="21"/>
      <c r="P126" s="14" t="s">
        <v>28</v>
      </c>
      <c r="Q126" s="14" t="s">
        <v>20</v>
      </c>
      <c r="R126" s="14"/>
      <c r="S126" s="14" t="s">
        <v>720</v>
      </c>
      <c r="T126" s="14" t="s">
        <v>67</v>
      </c>
      <c r="U126" s="47" t="s">
        <v>311</v>
      </c>
      <c r="V126" s="14"/>
      <c r="W126" s="14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</row>
    <row r="127" spans="1:91" ht="14.25" hidden="1" customHeight="1" x14ac:dyDescent="0.25">
      <c r="A127" s="13">
        <v>45808</v>
      </c>
      <c r="B127" s="14" t="s">
        <v>21</v>
      </c>
      <c r="C127" s="14"/>
      <c r="D127" s="15" t="s">
        <v>724</v>
      </c>
      <c r="E127" s="16">
        <v>1099682785</v>
      </c>
      <c r="F127" s="17" t="s">
        <v>725</v>
      </c>
      <c r="G127" s="308" t="s">
        <v>726</v>
      </c>
      <c r="H127" s="14"/>
      <c r="I127" s="14">
        <v>749</v>
      </c>
      <c r="J127" s="14" t="s">
        <v>35</v>
      </c>
      <c r="K127" s="7">
        <v>42000</v>
      </c>
      <c r="L127" s="57" t="s">
        <v>234</v>
      </c>
      <c r="M127" s="19"/>
      <c r="N127" s="20"/>
      <c r="O127" s="21"/>
      <c r="P127" s="14" t="s">
        <v>28</v>
      </c>
      <c r="Q127" s="14" t="s">
        <v>20</v>
      </c>
      <c r="R127" s="14"/>
      <c r="S127" s="14" t="s">
        <v>151</v>
      </c>
      <c r="T127" s="14" t="s">
        <v>727</v>
      </c>
      <c r="U127" s="47" t="s">
        <v>311</v>
      </c>
      <c r="V127" s="14"/>
      <c r="W127" s="14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</row>
    <row r="128" spans="1:91" ht="14.25" hidden="1" customHeight="1" x14ac:dyDescent="0.25">
      <c r="A128" s="13">
        <v>45811</v>
      </c>
      <c r="B128" s="14" t="s">
        <v>21</v>
      </c>
      <c r="C128" s="14"/>
      <c r="D128" s="15" t="s">
        <v>728</v>
      </c>
      <c r="E128" s="16">
        <v>1005367479</v>
      </c>
      <c r="F128" s="17" t="s">
        <v>729</v>
      </c>
      <c r="G128" s="308" t="s">
        <v>730</v>
      </c>
      <c r="H128" s="14"/>
      <c r="I128" s="14">
        <v>751</v>
      </c>
      <c r="J128" s="14" t="s">
        <v>35</v>
      </c>
      <c r="K128" s="7">
        <v>42000</v>
      </c>
      <c r="L128" s="57" t="s">
        <v>234</v>
      </c>
      <c r="M128" s="19"/>
      <c r="N128" s="20"/>
      <c r="O128" s="21"/>
      <c r="P128" s="14" t="s">
        <v>28</v>
      </c>
      <c r="Q128" s="14" t="s">
        <v>20</v>
      </c>
      <c r="R128" s="14"/>
      <c r="S128" s="14" t="s">
        <v>497</v>
      </c>
      <c r="T128" s="14" t="s">
        <v>731</v>
      </c>
      <c r="U128" s="32" t="s">
        <v>732</v>
      </c>
      <c r="V128" s="14"/>
      <c r="W128" s="14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</row>
    <row r="129" spans="1:91" ht="14.25" hidden="1" customHeight="1" x14ac:dyDescent="0.25">
      <c r="A129" s="13">
        <v>45812</v>
      </c>
      <c r="B129" s="14" t="s">
        <v>21</v>
      </c>
      <c r="C129" s="14"/>
      <c r="D129" s="15" t="s">
        <v>733</v>
      </c>
      <c r="E129" s="16">
        <v>1099683960</v>
      </c>
      <c r="F129" s="17" t="s">
        <v>734</v>
      </c>
      <c r="G129" s="297" t="s">
        <v>735</v>
      </c>
      <c r="H129" s="14"/>
      <c r="I129" s="14"/>
      <c r="J129" s="14" t="s">
        <v>35</v>
      </c>
      <c r="K129" s="27">
        <v>42000</v>
      </c>
      <c r="L129" s="57" t="s">
        <v>234</v>
      </c>
      <c r="M129" s="19"/>
      <c r="N129" s="20"/>
      <c r="O129" s="21"/>
      <c r="P129" s="14" t="s">
        <v>28</v>
      </c>
      <c r="Q129" s="14" t="s">
        <v>20</v>
      </c>
      <c r="R129" s="14"/>
      <c r="S129" s="14" t="s">
        <v>67</v>
      </c>
      <c r="T129" s="14" t="s">
        <v>736</v>
      </c>
      <c r="U129" s="32" t="s">
        <v>737</v>
      </c>
      <c r="V129" s="14"/>
      <c r="W129" s="14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</row>
    <row r="130" spans="1:91" ht="14.25" hidden="1" customHeight="1" x14ac:dyDescent="0.25">
      <c r="A130" s="13">
        <v>45815</v>
      </c>
      <c r="B130" s="14" t="s">
        <v>21</v>
      </c>
      <c r="C130" s="14"/>
      <c r="D130" s="15" t="s">
        <v>738</v>
      </c>
      <c r="E130" s="16">
        <v>24675303</v>
      </c>
      <c r="F130" s="17" t="s">
        <v>739</v>
      </c>
      <c r="G130" s="309" t="s">
        <v>740</v>
      </c>
      <c r="H130" s="45">
        <v>1</v>
      </c>
      <c r="I130" s="14">
        <v>752</v>
      </c>
      <c r="J130" s="14" t="s">
        <v>35</v>
      </c>
      <c r="K130" s="7">
        <v>42000</v>
      </c>
      <c r="L130" s="57" t="s">
        <v>234</v>
      </c>
      <c r="M130" s="19"/>
      <c r="N130" s="20"/>
      <c r="O130" s="21"/>
      <c r="P130" s="14" t="s">
        <v>28</v>
      </c>
      <c r="Q130" s="14" t="s">
        <v>20</v>
      </c>
      <c r="R130" s="14"/>
      <c r="S130" s="14" t="s">
        <v>30</v>
      </c>
      <c r="T130" s="14" t="s">
        <v>741</v>
      </c>
      <c r="U130" s="32" t="s">
        <v>742</v>
      </c>
      <c r="V130" s="14"/>
      <c r="W130" s="14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</row>
    <row r="131" spans="1:91" ht="14.25" hidden="1" customHeight="1" x14ac:dyDescent="0.25">
      <c r="A131" s="13">
        <v>45818</v>
      </c>
      <c r="B131" s="14" t="s">
        <v>21</v>
      </c>
      <c r="C131" s="14"/>
      <c r="D131" s="15" t="s">
        <v>743</v>
      </c>
      <c r="E131" s="16">
        <v>1099683559</v>
      </c>
      <c r="F131" s="17">
        <v>3116651723</v>
      </c>
      <c r="G131" s="297" t="s">
        <v>744</v>
      </c>
      <c r="H131" s="14"/>
      <c r="I131" s="14"/>
      <c r="J131" s="14" t="s">
        <v>35</v>
      </c>
      <c r="K131" s="7">
        <v>42000</v>
      </c>
      <c r="L131" s="57" t="s">
        <v>234</v>
      </c>
      <c r="M131" s="19"/>
      <c r="N131" s="20"/>
      <c r="O131" s="21"/>
      <c r="P131" s="14" t="s">
        <v>28</v>
      </c>
      <c r="Q131" s="14" t="s">
        <v>20</v>
      </c>
      <c r="R131" s="14"/>
      <c r="S131" s="14" t="s">
        <v>36</v>
      </c>
      <c r="T131" s="14" t="s">
        <v>745</v>
      </c>
      <c r="U131" s="32" t="s">
        <v>746</v>
      </c>
      <c r="V131" s="14"/>
      <c r="W131" s="14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</row>
    <row r="132" spans="1:91" ht="14.25" hidden="1" customHeight="1" x14ac:dyDescent="0.25">
      <c r="A132" s="13">
        <v>45825</v>
      </c>
      <c r="B132" s="14" t="s">
        <v>21</v>
      </c>
      <c r="C132" s="14"/>
      <c r="D132" s="15" t="s">
        <v>747</v>
      </c>
      <c r="E132" s="16">
        <v>1099682702</v>
      </c>
      <c r="F132" s="17" t="s">
        <v>748</v>
      </c>
      <c r="G132" s="308" t="s">
        <v>749</v>
      </c>
      <c r="H132" s="14"/>
      <c r="I132" s="14">
        <v>373</v>
      </c>
      <c r="J132" s="14" t="s">
        <v>35</v>
      </c>
      <c r="K132" s="7">
        <v>42000</v>
      </c>
      <c r="L132" s="57" t="s">
        <v>234</v>
      </c>
      <c r="M132" s="19"/>
      <c r="N132" s="20"/>
      <c r="O132" s="21"/>
      <c r="P132" s="14" t="s">
        <v>28</v>
      </c>
      <c r="Q132" s="14" t="s">
        <v>20</v>
      </c>
      <c r="R132" s="14"/>
      <c r="S132" s="14" t="s">
        <v>36</v>
      </c>
      <c r="T132" s="14" t="s">
        <v>750</v>
      </c>
      <c r="U132" s="32" t="s">
        <v>751</v>
      </c>
      <c r="V132" s="14"/>
      <c r="W132" s="14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</row>
    <row r="133" spans="1:91" ht="14.25" hidden="1" customHeight="1" x14ac:dyDescent="0.25">
      <c r="A133" s="13">
        <v>45827</v>
      </c>
      <c r="B133" s="14" t="s">
        <v>21</v>
      </c>
      <c r="C133" s="14"/>
      <c r="D133" s="15" t="s">
        <v>752</v>
      </c>
      <c r="E133" s="16">
        <v>4426899</v>
      </c>
      <c r="F133" s="17" t="s">
        <v>753</v>
      </c>
      <c r="G133" s="308" t="s">
        <v>754</v>
      </c>
      <c r="H133" s="14"/>
      <c r="I133" s="14"/>
      <c r="J133" s="14" t="s">
        <v>35</v>
      </c>
      <c r="K133" s="27">
        <v>42000</v>
      </c>
      <c r="L133" s="57" t="s">
        <v>234</v>
      </c>
      <c r="M133" s="19"/>
      <c r="N133" s="20"/>
      <c r="O133" s="21"/>
      <c r="P133" s="14" t="s">
        <v>28</v>
      </c>
      <c r="Q133" s="14" t="s">
        <v>20</v>
      </c>
      <c r="R133" s="14"/>
      <c r="S133" s="14" t="s">
        <v>755</v>
      </c>
      <c r="T133" s="14" t="s">
        <v>756</v>
      </c>
      <c r="U133" s="32" t="s">
        <v>757</v>
      </c>
      <c r="V133" s="14"/>
      <c r="W133" s="14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</row>
    <row r="134" spans="1:91" ht="14.25" hidden="1" customHeight="1" x14ac:dyDescent="0.25">
      <c r="A134" s="13">
        <v>45827</v>
      </c>
      <c r="B134" s="14" t="s">
        <v>21</v>
      </c>
      <c r="C134" s="14"/>
      <c r="D134" s="15" t="s">
        <v>758</v>
      </c>
      <c r="E134" s="16">
        <v>1041893991</v>
      </c>
      <c r="F134" s="17">
        <v>3208594039</v>
      </c>
      <c r="G134" s="308" t="s">
        <v>759</v>
      </c>
      <c r="H134" s="14"/>
      <c r="I134" s="14">
        <v>754</v>
      </c>
      <c r="J134" s="14" t="s">
        <v>35</v>
      </c>
      <c r="K134" s="7">
        <v>42000</v>
      </c>
      <c r="L134" s="57" t="s">
        <v>234</v>
      </c>
      <c r="M134" s="19"/>
      <c r="N134" s="20"/>
      <c r="O134" s="21"/>
      <c r="P134" s="14" t="s">
        <v>28</v>
      </c>
      <c r="Q134" s="14" t="s">
        <v>20</v>
      </c>
      <c r="R134" s="14"/>
      <c r="S134" s="14" t="s">
        <v>760</v>
      </c>
      <c r="T134" s="14" t="s">
        <v>683</v>
      </c>
      <c r="U134" s="32" t="s">
        <v>761</v>
      </c>
      <c r="V134" s="14"/>
      <c r="W134" s="14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</row>
    <row r="135" spans="1:91" ht="14.25" hidden="1" customHeight="1" x14ac:dyDescent="0.25">
      <c r="A135" s="13">
        <v>45827</v>
      </c>
      <c r="B135" s="14" t="s">
        <v>21</v>
      </c>
      <c r="C135" s="14"/>
      <c r="D135" s="15" t="s">
        <v>762</v>
      </c>
      <c r="E135" s="16">
        <v>24675960</v>
      </c>
      <c r="F135" s="17" t="s">
        <v>763</v>
      </c>
      <c r="G135" s="308" t="s">
        <v>764</v>
      </c>
      <c r="H135" s="14"/>
      <c r="I135" s="14">
        <v>755</v>
      </c>
      <c r="J135" s="14" t="s">
        <v>35</v>
      </c>
      <c r="K135" s="7">
        <v>42000</v>
      </c>
      <c r="L135" s="57" t="s">
        <v>234</v>
      </c>
      <c r="M135" s="19"/>
      <c r="N135" s="20"/>
      <c r="O135" s="21"/>
      <c r="P135" s="14" t="s">
        <v>28</v>
      </c>
      <c r="Q135" s="14" t="s">
        <v>20</v>
      </c>
      <c r="R135" s="14"/>
      <c r="S135" s="14" t="s">
        <v>765</v>
      </c>
      <c r="T135" s="14" t="s">
        <v>43</v>
      </c>
      <c r="U135" s="32" t="s">
        <v>766</v>
      </c>
      <c r="V135" s="14"/>
      <c r="W135" s="14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</row>
    <row r="136" spans="1:91" ht="14.25" hidden="1" customHeight="1" x14ac:dyDescent="0.25">
      <c r="A136" s="13">
        <v>45828</v>
      </c>
      <c r="B136" s="14" t="s">
        <v>21</v>
      </c>
      <c r="C136" s="14"/>
      <c r="D136" s="15" t="s">
        <v>767</v>
      </c>
      <c r="E136" s="16">
        <v>1000759202</v>
      </c>
      <c r="F136" s="17" t="s">
        <v>768</v>
      </c>
      <c r="G136" s="308" t="s">
        <v>769</v>
      </c>
      <c r="H136" s="14"/>
      <c r="I136" s="14">
        <v>756</v>
      </c>
      <c r="J136" s="14" t="s">
        <v>35</v>
      </c>
      <c r="K136" s="7">
        <v>42000</v>
      </c>
      <c r="L136" s="57" t="s">
        <v>234</v>
      </c>
      <c r="M136" s="19"/>
      <c r="N136" s="20"/>
      <c r="O136" s="21"/>
      <c r="P136" s="14" t="s">
        <v>28</v>
      </c>
      <c r="Q136" s="14" t="s">
        <v>20</v>
      </c>
      <c r="R136" s="14"/>
      <c r="S136" s="14" t="s">
        <v>770</v>
      </c>
      <c r="T136" s="14" t="s">
        <v>771</v>
      </c>
      <c r="U136" s="32" t="s">
        <v>772</v>
      </c>
      <c r="V136" s="14"/>
      <c r="W136" s="14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</row>
    <row r="137" spans="1:91" ht="14.25" hidden="1" customHeight="1" x14ac:dyDescent="0.25">
      <c r="A137" s="13">
        <v>45832</v>
      </c>
      <c r="B137" s="14" t="s">
        <v>21</v>
      </c>
      <c r="C137" s="14"/>
      <c r="D137" s="15" t="s">
        <v>773</v>
      </c>
      <c r="E137" s="16">
        <v>1094971003</v>
      </c>
      <c r="F137" s="17" t="s">
        <v>774</v>
      </c>
      <c r="G137" s="309" t="s">
        <v>775</v>
      </c>
      <c r="H137" s="45">
        <v>1</v>
      </c>
      <c r="I137" s="14">
        <v>845</v>
      </c>
      <c r="J137" s="14" t="s">
        <v>35</v>
      </c>
      <c r="K137" s="27">
        <v>42000</v>
      </c>
      <c r="L137" s="57" t="s">
        <v>234</v>
      </c>
      <c r="M137" s="19"/>
      <c r="N137" s="20"/>
      <c r="O137" s="21"/>
      <c r="P137" s="14" t="s">
        <v>28</v>
      </c>
      <c r="Q137" s="14" t="s">
        <v>20</v>
      </c>
      <c r="R137" s="14"/>
      <c r="S137" s="14" t="s">
        <v>776</v>
      </c>
      <c r="T137" s="14" t="s">
        <v>30</v>
      </c>
      <c r="U137" s="32" t="s">
        <v>777</v>
      </c>
      <c r="V137" s="14"/>
      <c r="W137" s="14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</row>
    <row r="138" spans="1:91" ht="14.25" hidden="1" customHeight="1" x14ac:dyDescent="0.25">
      <c r="A138" s="13">
        <v>45833</v>
      </c>
      <c r="B138" s="14" t="s">
        <v>21</v>
      </c>
      <c r="C138" s="14"/>
      <c r="D138" s="15" t="s">
        <v>778</v>
      </c>
      <c r="E138" s="16">
        <v>24673616</v>
      </c>
      <c r="F138" s="17" t="s">
        <v>779</v>
      </c>
      <c r="G138" s="308" t="s">
        <v>780</v>
      </c>
      <c r="H138" s="14"/>
      <c r="I138" s="14">
        <v>20</v>
      </c>
      <c r="J138" s="14" t="s">
        <v>35</v>
      </c>
      <c r="K138" s="7">
        <v>42000</v>
      </c>
      <c r="L138" s="57" t="s">
        <v>234</v>
      </c>
      <c r="M138" s="19"/>
      <c r="N138" s="20"/>
      <c r="O138" s="21"/>
      <c r="P138" s="14" t="s">
        <v>28</v>
      </c>
      <c r="Q138" s="14" t="s">
        <v>20</v>
      </c>
      <c r="R138" s="14"/>
      <c r="S138" s="14" t="s">
        <v>781</v>
      </c>
      <c r="T138" s="14"/>
      <c r="U138" s="32" t="s">
        <v>782</v>
      </c>
      <c r="V138" s="14"/>
      <c r="W138" s="14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</row>
    <row r="139" spans="1:91" ht="14.25" hidden="1" customHeight="1" x14ac:dyDescent="0.25">
      <c r="A139" s="59">
        <v>45837</v>
      </c>
      <c r="B139" s="14" t="s">
        <v>21</v>
      </c>
      <c r="C139" s="14"/>
      <c r="D139" s="15" t="s">
        <v>783</v>
      </c>
      <c r="E139" s="16">
        <v>9801559</v>
      </c>
      <c r="F139" s="17" t="s">
        <v>784</v>
      </c>
      <c r="G139" s="309" t="s">
        <v>785</v>
      </c>
      <c r="H139" s="45">
        <v>1</v>
      </c>
      <c r="I139" s="14">
        <v>42</v>
      </c>
      <c r="J139" s="14" t="s">
        <v>35</v>
      </c>
      <c r="K139" s="7">
        <v>42000</v>
      </c>
      <c r="L139" s="57" t="s">
        <v>234</v>
      </c>
      <c r="M139" s="19"/>
      <c r="N139" s="20"/>
      <c r="O139" s="21"/>
      <c r="P139" s="14" t="s">
        <v>28</v>
      </c>
      <c r="Q139" s="14" t="s">
        <v>20</v>
      </c>
      <c r="R139" s="14"/>
      <c r="S139" s="14" t="s">
        <v>786</v>
      </c>
      <c r="T139" s="14" t="s">
        <v>787</v>
      </c>
      <c r="U139" s="32" t="s">
        <v>788</v>
      </c>
      <c r="V139" s="14"/>
      <c r="W139" s="14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</row>
    <row r="140" spans="1:91" ht="14.25" hidden="1" customHeight="1" x14ac:dyDescent="0.25">
      <c r="A140" s="13">
        <v>45837</v>
      </c>
      <c r="B140" s="14" t="s">
        <v>21</v>
      </c>
      <c r="C140" s="14"/>
      <c r="D140" s="15" t="s">
        <v>789</v>
      </c>
      <c r="E140" s="16">
        <v>1099683292</v>
      </c>
      <c r="F140" s="17" t="s">
        <v>790</v>
      </c>
      <c r="G140" s="308" t="s">
        <v>791</v>
      </c>
      <c r="H140" s="14"/>
      <c r="I140" s="14">
        <v>834</v>
      </c>
      <c r="J140" s="15" t="s">
        <v>188</v>
      </c>
      <c r="K140" s="7">
        <v>57000</v>
      </c>
      <c r="L140" s="57" t="s">
        <v>234</v>
      </c>
      <c r="M140" s="19"/>
      <c r="N140" s="20"/>
      <c r="O140" s="21"/>
      <c r="P140" s="14" t="s">
        <v>28</v>
      </c>
      <c r="Q140" s="14" t="s">
        <v>20</v>
      </c>
      <c r="R140" s="14"/>
      <c r="S140" s="14" t="s">
        <v>792</v>
      </c>
      <c r="T140" s="14" t="s">
        <v>793</v>
      </c>
      <c r="U140" s="32" t="s">
        <v>794</v>
      </c>
      <c r="V140" s="14"/>
      <c r="W140" s="14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</row>
    <row r="141" spans="1:91" ht="14.25" hidden="1" customHeight="1" x14ac:dyDescent="0.25">
      <c r="A141" s="13">
        <v>45840</v>
      </c>
      <c r="B141" s="14" t="s">
        <v>21</v>
      </c>
      <c r="C141" s="14"/>
      <c r="D141" s="15" t="s">
        <v>795</v>
      </c>
      <c r="E141" s="16">
        <v>1098311300</v>
      </c>
      <c r="F141" s="17" t="s">
        <v>796</v>
      </c>
      <c r="G141" s="308" t="s">
        <v>797</v>
      </c>
      <c r="H141" s="14"/>
      <c r="I141" s="14"/>
      <c r="J141" s="14" t="s">
        <v>35</v>
      </c>
      <c r="K141" s="7">
        <v>42000</v>
      </c>
      <c r="L141" s="57" t="s">
        <v>234</v>
      </c>
      <c r="M141" s="19"/>
      <c r="N141" s="20"/>
      <c r="O141" s="21"/>
      <c r="P141" s="14" t="s">
        <v>28</v>
      </c>
      <c r="Q141" s="14" t="s">
        <v>20</v>
      </c>
      <c r="R141" s="14"/>
      <c r="S141" s="14" t="s">
        <v>107</v>
      </c>
      <c r="T141" s="14" t="s">
        <v>798</v>
      </c>
      <c r="U141" s="32" t="s">
        <v>799</v>
      </c>
      <c r="V141" s="14"/>
      <c r="W141" s="14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</row>
    <row r="142" spans="1:91" ht="14.25" hidden="1" customHeight="1" x14ac:dyDescent="0.25">
      <c r="A142" s="13">
        <v>45841</v>
      </c>
      <c r="B142" s="14" t="s">
        <v>21</v>
      </c>
      <c r="C142" s="14"/>
      <c r="D142" s="15" t="s">
        <v>800</v>
      </c>
      <c r="E142" s="16">
        <v>18387846</v>
      </c>
      <c r="F142" s="17" t="s">
        <v>801</v>
      </c>
      <c r="G142" s="297" t="s">
        <v>802</v>
      </c>
      <c r="H142" s="14"/>
      <c r="I142" s="14"/>
      <c r="J142" s="15" t="s">
        <v>188</v>
      </c>
      <c r="K142" s="7">
        <v>57000</v>
      </c>
      <c r="L142" s="57" t="s">
        <v>234</v>
      </c>
      <c r="M142" s="19"/>
      <c r="N142" s="20"/>
      <c r="O142" s="21"/>
      <c r="P142" s="14" t="s">
        <v>28</v>
      </c>
      <c r="Q142" s="14" t="s">
        <v>20</v>
      </c>
      <c r="R142" s="14"/>
      <c r="S142" s="14" t="s">
        <v>30</v>
      </c>
      <c r="T142" s="14" t="s">
        <v>803</v>
      </c>
      <c r="U142" s="32" t="s">
        <v>804</v>
      </c>
      <c r="V142" s="14"/>
      <c r="W142" s="14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</row>
    <row r="143" spans="1:91" ht="14.25" hidden="1" customHeight="1" x14ac:dyDescent="0.25">
      <c r="A143" s="13">
        <v>45842</v>
      </c>
      <c r="B143" s="14" t="s">
        <v>21</v>
      </c>
      <c r="C143" s="14"/>
      <c r="D143" s="15" t="s">
        <v>805</v>
      </c>
      <c r="E143" s="16">
        <v>1099683040</v>
      </c>
      <c r="F143" s="17" t="s">
        <v>806</v>
      </c>
      <c r="G143" s="297" t="s">
        <v>807</v>
      </c>
      <c r="H143" s="14"/>
      <c r="I143" s="14"/>
      <c r="J143" s="14" t="s">
        <v>35</v>
      </c>
      <c r="K143" s="7">
        <v>42000</v>
      </c>
      <c r="L143" s="57" t="s">
        <v>234</v>
      </c>
      <c r="M143" s="19"/>
      <c r="N143" s="20"/>
      <c r="O143" s="21"/>
      <c r="P143" s="14" t="s">
        <v>28</v>
      </c>
      <c r="Q143" s="14" t="s">
        <v>20</v>
      </c>
      <c r="R143" s="14"/>
      <c r="S143" s="14" t="s">
        <v>107</v>
      </c>
      <c r="T143" s="14" t="s">
        <v>808</v>
      </c>
      <c r="U143" s="32" t="s">
        <v>809</v>
      </c>
      <c r="V143" s="14"/>
      <c r="W143" s="14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</row>
    <row r="144" spans="1:91" ht="14.25" hidden="1" customHeight="1" x14ac:dyDescent="0.25">
      <c r="A144" s="13">
        <v>45842</v>
      </c>
      <c r="B144" s="14" t="s">
        <v>21</v>
      </c>
      <c r="C144" s="14"/>
      <c r="D144" s="15" t="s">
        <v>810</v>
      </c>
      <c r="E144" s="16">
        <v>1117805488</v>
      </c>
      <c r="F144" s="17" t="s">
        <v>811</v>
      </c>
      <c r="G144" s="309" t="s">
        <v>812</v>
      </c>
      <c r="H144" s="45">
        <v>1</v>
      </c>
      <c r="I144" s="14">
        <v>77</v>
      </c>
      <c r="J144" s="14" t="s">
        <v>35</v>
      </c>
      <c r="K144" s="7">
        <v>42000</v>
      </c>
      <c r="L144" s="57" t="s">
        <v>234</v>
      </c>
      <c r="M144" s="19"/>
      <c r="N144" s="20"/>
      <c r="O144" s="21"/>
      <c r="P144" s="14" t="s">
        <v>28</v>
      </c>
      <c r="Q144" s="14" t="s">
        <v>20</v>
      </c>
      <c r="R144" s="14"/>
      <c r="S144" s="14" t="s">
        <v>61</v>
      </c>
      <c r="T144" s="14" t="s">
        <v>813</v>
      </c>
      <c r="U144" s="32" t="s">
        <v>814</v>
      </c>
      <c r="V144" s="14"/>
      <c r="W144" s="14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</row>
    <row r="145" spans="1:91" ht="14.25" hidden="1" customHeight="1" x14ac:dyDescent="0.25">
      <c r="A145" s="13">
        <v>45846</v>
      </c>
      <c r="B145" s="14" t="s">
        <v>21</v>
      </c>
      <c r="C145" s="14" t="s">
        <v>815</v>
      </c>
      <c r="D145" s="15" t="s">
        <v>816</v>
      </c>
      <c r="E145" s="16">
        <v>1120388184</v>
      </c>
      <c r="F145" s="17" t="s">
        <v>817</v>
      </c>
      <c r="G145" s="309" t="s">
        <v>818</v>
      </c>
      <c r="H145" s="45">
        <v>1</v>
      </c>
      <c r="I145" s="14">
        <v>580</v>
      </c>
      <c r="J145" s="14" t="s">
        <v>35</v>
      </c>
      <c r="K145" s="7">
        <v>42000</v>
      </c>
      <c r="L145" s="57" t="s">
        <v>234</v>
      </c>
      <c r="M145" s="19"/>
      <c r="N145" s="20"/>
      <c r="O145" s="21"/>
      <c r="P145" s="14" t="s">
        <v>28</v>
      </c>
      <c r="Q145" s="14" t="s">
        <v>20</v>
      </c>
      <c r="R145" s="14"/>
      <c r="S145" s="14" t="s">
        <v>819</v>
      </c>
      <c r="T145" s="14" t="s">
        <v>820</v>
      </c>
      <c r="U145" s="32" t="s">
        <v>821</v>
      </c>
      <c r="V145" s="14"/>
      <c r="W145" s="14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</row>
    <row r="146" spans="1:91" ht="14.25" hidden="1" customHeight="1" x14ac:dyDescent="0.25">
      <c r="A146" s="13">
        <v>45846</v>
      </c>
      <c r="B146" s="14" t="s">
        <v>21</v>
      </c>
      <c r="C146" s="14"/>
      <c r="D146" s="15" t="s">
        <v>822</v>
      </c>
      <c r="E146" s="16">
        <v>38196681</v>
      </c>
      <c r="F146" s="17" t="s">
        <v>823</v>
      </c>
      <c r="G146" s="309" t="s">
        <v>824</v>
      </c>
      <c r="H146" s="45">
        <v>1</v>
      </c>
      <c r="I146" s="14">
        <v>496</v>
      </c>
      <c r="J146" s="14" t="s">
        <v>35</v>
      </c>
      <c r="K146" s="7">
        <v>42000</v>
      </c>
      <c r="L146" s="57" t="s">
        <v>234</v>
      </c>
      <c r="M146" s="19"/>
      <c r="N146" s="20"/>
      <c r="O146" s="21"/>
      <c r="P146" s="14" t="s">
        <v>28</v>
      </c>
      <c r="Q146" s="14" t="s">
        <v>20</v>
      </c>
      <c r="R146" s="14"/>
      <c r="S146" s="14" t="s">
        <v>30</v>
      </c>
      <c r="T146" s="14" t="s">
        <v>825</v>
      </c>
      <c r="U146" s="32" t="s">
        <v>826</v>
      </c>
      <c r="V146" s="14"/>
      <c r="W146" s="14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</row>
    <row r="147" spans="1:91" ht="14.25" hidden="1" customHeight="1" x14ac:dyDescent="0.25">
      <c r="A147" s="13">
        <v>45846</v>
      </c>
      <c r="B147" s="14" t="s">
        <v>21</v>
      </c>
      <c r="C147" s="14"/>
      <c r="D147" s="15" t="s">
        <v>827</v>
      </c>
      <c r="E147" s="16">
        <v>66963864</v>
      </c>
      <c r="F147" s="17" t="s">
        <v>828</v>
      </c>
      <c r="G147" s="308" t="s">
        <v>829</v>
      </c>
      <c r="H147" s="14"/>
      <c r="I147" s="14"/>
      <c r="J147" s="14" t="s">
        <v>35</v>
      </c>
      <c r="K147" s="7">
        <v>42000</v>
      </c>
      <c r="L147" s="57" t="s">
        <v>234</v>
      </c>
      <c r="M147" s="19"/>
      <c r="N147" s="20"/>
      <c r="O147" s="21"/>
      <c r="P147" s="14" t="s">
        <v>28</v>
      </c>
      <c r="Q147" s="14" t="s">
        <v>20</v>
      </c>
      <c r="R147" s="14"/>
      <c r="S147" s="14" t="s">
        <v>716</v>
      </c>
      <c r="T147" s="14" t="s">
        <v>830</v>
      </c>
      <c r="U147" s="32" t="s">
        <v>831</v>
      </c>
      <c r="V147" s="14"/>
      <c r="W147" s="14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</row>
    <row r="148" spans="1:91" ht="14.25" hidden="1" customHeight="1" x14ac:dyDescent="0.25">
      <c r="A148" s="13">
        <v>45846</v>
      </c>
      <c r="B148" s="14" t="s">
        <v>21</v>
      </c>
      <c r="C148" s="14"/>
      <c r="D148" s="15" t="s">
        <v>832</v>
      </c>
      <c r="E148" s="16">
        <v>1099683507</v>
      </c>
      <c r="F148" s="17" t="s">
        <v>833</v>
      </c>
      <c r="G148" s="308" t="s">
        <v>834</v>
      </c>
      <c r="H148" s="14"/>
      <c r="I148" s="14">
        <v>880</v>
      </c>
      <c r="J148" s="14" t="s">
        <v>35</v>
      </c>
      <c r="K148" s="7">
        <v>42000</v>
      </c>
      <c r="L148" s="57" t="s">
        <v>234</v>
      </c>
      <c r="M148" s="19"/>
      <c r="N148" s="20"/>
      <c r="O148" s="21"/>
      <c r="P148" s="14" t="s">
        <v>28</v>
      </c>
      <c r="Q148" s="14" t="s">
        <v>20</v>
      </c>
      <c r="R148" s="14"/>
      <c r="S148" s="14" t="s">
        <v>792</v>
      </c>
      <c r="T148" s="14" t="s">
        <v>835</v>
      </c>
      <c r="U148" s="32" t="s">
        <v>836</v>
      </c>
      <c r="V148" s="14"/>
      <c r="W148" s="14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</row>
    <row r="149" spans="1:91" ht="14.25" hidden="1" customHeight="1" x14ac:dyDescent="0.25">
      <c r="A149" s="13">
        <v>45853</v>
      </c>
      <c r="B149" s="14" t="s">
        <v>21</v>
      </c>
      <c r="C149" s="14"/>
      <c r="D149" s="15" t="s">
        <v>837</v>
      </c>
      <c r="E149" s="16">
        <v>1005367602</v>
      </c>
      <c r="F149" s="17" t="s">
        <v>838</v>
      </c>
      <c r="G149" s="309" t="s">
        <v>839</v>
      </c>
      <c r="H149" s="45">
        <v>1</v>
      </c>
      <c r="I149" s="14">
        <v>60</v>
      </c>
      <c r="J149" s="15" t="s">
        <v>188</v>
      </c>
      <c r="K149" s="7">
        <v>57000</v>
      </c>
      <c r="L149" s="57" t="s">
        <v>234</v>
      </c>
      <c r="M149" s="19"/>
      <c r="N149" s="20"/>
      <c r="O149" s="21"/>
      <c r="P149" s="14" t="s">
        <v>28</v>
      </c>
      <c r="Q149" s="14" t="s">
        <v>20</v>
      </c>
      <c r="R149" s="14"/>
      <c r="S149" s="14" t="s">
        <v>840</v>
      </c>
      <c r="T149" s="14" t="s">
        <v>61</v>
      </c>
      <c r="U149" s="22" t="s">
        <v>841</v>
      </c>
      <c r="V149" s="14"/>
      <c r="W149" s="14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</row>
    <row r="150" spans="1:91" ht="14.25" hidden="1" customHeight="1" x14ac:dyDescent="0.25">
      <c r="A150" s="13">
        <v>45853</v>
      </c>
      <c r="B150" s="14" t="s">
        <v>21</v>
      </c>
      <c r="C150" s="14"/>
      <c r="D150" s="15" t="s">
        <v>842</v>
      </c>
      <c r="E150" s="16">
        <v>83242625</v>
      </c>
      <c r="F150" s="17" t="s">
        <v>843</v>
      </c>
      <c r="G150" s="308" t="s">
        <v>844</v>
      </c>
      <c r="H150" s="14"/>
      <c r="I150" s="14">
        <v>694</v>
      </c>
      <c r="J150" s="14" t="s">
        <v>35</v>
      </c>
      <c r="K150" s="7">
        <v>42000</v>
      </c>
      <c r="L150" s="57" t="s">
        <v>234</v>
      </c>
      <c r="M150" s="19"/>
      <c r="N150" s="20"/>
      <c r="O150" s="21"/>
      <c r="P150" s="14" t="s">
        <v>28</v>
      </c>
      <c r="Q150" s="14" t="s">
        <v>20</v>
      </c>
      <c r="R150" s="14"/>
      <c r="S150" s="14" t="s">
        <v>845</v>
      </c>
      <c r="T150" s="14" t="s">
        <v>30</v>
      </c>
      <c r="U150" s="22" t="s">
        <v>846</v>
      </c>
      <c r="V150" s="14"/>
      <c r="W150" s="14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</row>
    <row r="151" spans="1:91" ht="14.25" hidden="1" customHeight="1" x14ac:dyDescent="0.25">
      <c r="A151" s="13">
        <v>45853</v>
      </c>
      <c r="B151" s="14" t="s">
        <v>21</v>
      </c>
      <c r="C151" s="14"/>
      <c r="D151" s="15" t="s">
        <v>847</v>
      </c>
      <c r="E151" s="16">
        <v>25330470</v>
      </c>
      <c r="F151" s="17">
        <v>3147515494</v>
      </c>
      <c r="G151" s="308" t="s">
        <v>848</v>
      </c>
      <c r="H151" s="14"/>
      <c r="I151" s="14">
        <v>460</v>
      </c>
      <c r="J151" s="15" t="s">
        <v>188</v>
      </c>
      <c r="K151" s="7">
        <v>57000</v>
      </c>
      <c r="L151" s="57" t="s">
        <v>234</v>
      </c>
      <c r="M151" s="19"/>
      <c r="N151" s="20"/>
      <c r="O151" s="21"/>
      <c r="P151" s="14" t="s">
        <v>28</v>
      </c>
      <c r="Q151" s="14" t="s">
        <v>20</v>
      </c>
      <c r="R151" s="14"/>
      <c r="S151" s="14" t="s">
        <v>849</v>
      </c>
      <c r="T151" s="14" t="s">
        <v>43</v>
      </c>
      <c r="U151" s="22" t="s">
        <v>850</v>
      </c>
      <c r="V151" s="14"/>
      <c r="W151" s="14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</row>
    <row r="152" spans="1:91" ht="14.25" hidden="1" customHeight="1" x14ac:dyDescent="0.25">
      <c r="A152" s="13">
        <v>45857</v>
      </c>
      <c r="B152" s="14" t="s">
        <v>21</v>
      </c>
      <c r="C152" s="14"/>
      <c r="D152" s="15" t="s">
        <v>854</v>
      </c>
      <c r="E152" s="322">
        <v>9801949</v>
      </c>
      <c r="F152" s="17" t="s">
        <v>855</v>
      </c>
      <c r="G152" s="309" t="s">
        <v>856</v>
      </c>
      <c r="H152" s="45">
        <v>1</v>
      </c>
      <c r="I152" s="14"/>
      <c r="J152" s="14" t="s">
        <v>35</v>
      </c>
      <c r="K152" s="7">
        <v>42000</v>
      </c>
      <c r="L152" s="57" t="s">
        <v>234</v>
      </c>
      <c r="M152" s="19"/>
      <c r="N152" s="20"/>
      <c r="O152" s="21"/>
      <c r="P152" s="14" t="s">
        <v>28</v>
      </c>
      <c r="Q152" s="14" t="s">
        <v>20</v>
      </c>
      <c r="R152" s="14"/>
      <c r="S152" s="14" t="s">
        <v>857</v>
      </c>
      <c r="T152" s="14" t="s">
        <v>107</v>
      </c>
      <c r="U152" s="14"/>
      <c r="V152" s="14"/>
      <c r="W152" s="14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</row>
    <row r="153" spans="1:91" ht="14.25" hidden="1" customHeight="1" x14ac:dyDescent="0.25">
      <c r="A153" s="13">
        <v>45857</v>
      </c>
      <c r="B153" s="14" t="s">
        <v>21</v>
      </c>
      <c r="C153" s="14"/>
      <c r="D153" s="15" t="s">
        <v>858</v>
      </c>
      <c r="E153" s="16">
        <v>9802054</v>
      </c>
      <c r="F153" s="17" t="s">
        <v>859</v>
      </c>
      <c r="G153" s="297" t="s">
        <v>860</v>
      </c>
      <c r="H153" s="14"/>
      <c r="I153" s="14">
        <v>905</v>
      </c>
      <c r="J153" s="14" t="s">
        <v>35</v>
      </c>
      <c r="K153" s="27">
        <v>42000</v>
      </c>
      <c r="L153" s="57" t="s">
        <v>234</v>
      </c>
      <c r="M153" s="19"/>
      <c r="N153" s="20"/>
      <c r="O153" s="21"/>
      <c r="P153" s="14" t="s">
        <v>28</v>
      </c>
      <c r="Q153" s="14" t="s">
        <v>20</v>
      </c>
      <c r="R153" s="14"/>
      <c r="S153" s="14" t="s">
        <v>861</v>
      </c>
      <c r="T153" s="14" t="s">
        <v>151</v>
      </c>
      <c r="U153" s="22" t="s">
        <v>862</v>
      </c>
      <c r="V153" s="14"/>
      <c r="W153" s="14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</row>
    <row r="154" spans="1:91" ht="14.25" hidden="1" customHeight="1" x14ac:dyDescent="0.25">
      <c r="A154" s="13">
        <v>45857</v>
      </c>
      <c r="B154" s="14" t="s">
        <v>21</v>
      </c>
      <c r="C154" s="14"/>
      <c r="D154" s="15" t="s">
        <v>863</v>
      </c>
      <c r="E154" s="16">
        <v>1099683002</v>
      </c>
      <c r="F154" s="17" t="s">
        <v>864</v>
      </c>
      <c r="G154" s="297" t="s">
        <v>853</v>
      </c>
      <c r="H154" s="14"/>
      <c r="I154" s="14">
        <v>906</v>
      </c>
      <c r="J154" s="14" t="s">
        <v>35</v>
      </c>
      <c r="K154" s="7">
        <v>42000</v>
      </c>
      <c r="L154" s="57" t="s">
        <v>234</v>
      </c>
      <c r="M154" s="19"/>
      <c r="N154" s="20"/>
      <c r="O154" s="21"/>
      <c r="P154" s="14" t="s">
        <v>28</v>
      </c>
      <c r="Q154" s="14" t="s">
        <v>20</v>
      </c>
      <c r="R154" s="14"/>
      <c r="S154" s="14" t="s">
        <v>865</v>
      </c>
      <c r="T154" s="14" t="s">
        <v>198</v>
      </c>
      <c r="U154" s="22" t="s">
        <v>866</v>
      </c>
      <c r="V154" s="14"/>
      <c r="W154" s="14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</row>
    <row r="155" spans="1:91" ht="14.25" hidden="1" customHeight="1" x14ac:dyDescent="0.25">
      <c r="A155" s="13">
        <v>45859</v>
      </c>
      <c r="B155" s="14" t="s">
        <v>21</v>
      </c>
      <c r="C155" s="14"/>
      <c r="D155" s="15" t="s">
        <v>867</v>
      </c>
      <c r="E155" s="16">
        <v>24673813</v>
      </c>
      <c r="F155" s="17" t="s">
        <v>868</v>
      </c>
      <c r="G155" s="308" t="s">
        <v>869</v>
      </c>
      <c r="H155" s="14"/>
      <c r="I155" s="14">
        <v>908</v>
      </c>
      <c r="J155" s="14" t="s">
        <v>35</v>
      </c>
      <c r="K155" s="27">
        <v>42000</v>
      </c>
      <c r="L155" s="57" t="s">
        <v>234</v>
      </c>
      <c r="M155" s="19"/>
      <c r="N155" s="20"/>
      <c r="O155" s="21"/>
      <c r="P155" s="14" t="s">
        <v>28</v>
      </c>
      <c r="Q155" s="14" t="s">
        <v>20</v>
      </c>
      <c r="R155" s="14"/>
      <c r="S155" s="14" t="s">
        <v>870</v>
      </c>
      <c r="T155" s="14" t="s">
        <v>126</v>
      </c>
      <c r="U155" s="22" t="s">
        <v>871</v>
      </c>
      <c r="V155" s="14"/>
      <c r="W155" s="14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</row>
    <row r="156" spans="1:91" ht="14.25" hidden="1" customHeight="1" x14ac:dyDescent="0.25">
      <c r="A156" s="13">
        <v>45859</v>
      </c>
      <c r="B156" s="14" t="s">
        <v>21</v>
      </c>
      <c r="C156" s="14"/>
      <c r="D156" s="15" t="s">
        <v>872</v>
      </c>
      <c r="E156" s="16">
        <v>1099682257</v>
      </c>
      <c r="F156" s="17">
        <v>3212030330</v>
      </c>
      <c r="G156" s="308" t="s">
        <v>873</v>
      </c>
      <c r="H156" s="14"/>
      <c r="I156" s="14"/>
      <c r="J156" s="14" t="s">
        <v>35</v>
      </c>
      <c r="K156" s="7">
        <v>42000</v>
      </c>
      <c r="L156" s="57" t="s">
        <v>234</v>
      </c>
      <c r="M156" s="19"/>
      <c r="N156" s="20"/>
      <c r="O156" s="21"/>
      <c r="P156" s="14" t="s">
        <v>28</v>
      </c>
      <c r="Q156" s="14" t="s">
        <v>20</v>
      </c>
      <c r="R156" s="14"/>
      <c r="S156" s="14" t="s">
        <v>874</v>
      </c>
      <c r="T156" s="14" t="s">
        <v>107</v>
      </c>
      <c r="U156" s="22" t="s">
        <v>875</v>
      </c>
      <c r="V156" s="14"/>
      <c r="W156" s="14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</row>
    <row r="157" spans="1:91" ht="14.25" hidden="1" customHeight="1" x14ac:dyDescent="0.25">
      <c r="A157" s="13">
        <v>45866</v>
      </c>
      <c r="B157" s="14" t="s">
        <v>21</v>
      </c>
      <c r="C157" s="14"/>
      <c r="D157" s="15" t="s">
        <v>876</v>
      </c>
      <c r="E157" s="16">
        <v>9802034</v>
      </c>
      <c r="F157" s="17" t="s">
        <v>877</v>
      </c>
      <c r="G157" s="297" t="s">
        <v>878</v>
      </c>
      <c r="H157" s="14"/>
      <c r="I157" s="14">
        <v>762</v>
      </c>
      <c r="J157" s="14" t="s">
        <v>35</v>
      </c>
      <c r="K157" s="7">
        <v>42000</v>
      </c>
      <c r="L157" s="57" t="s">
        <v>234</v>
      </c>
      <c r="M157" s="19"/>
      <c r="N157" s="20"/>
      <c r="O157" s="21"/>
      <c r="P157" s="14" t="s">
        <v>28</v>
      </c>
      <c r="Q157" s="14" t="s">
        <v>20</v>
      </c>
      <c r="R157" s="14"/>
      <c r="S157" s="14" t="s">
        <v>879</v>
      </c>
      <c r="T157" s="14" t="s">
        <v>126</v>
      </c>
      <c r="U157" s="22" t="s">
        <v>880</v>
      </c>
      <c r="V157" s="14"/>
      <c r="W157" s="14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</row>
    <row r="158" spans="1:91" ht="14.25" hidden="1" customHeight="1" x14ac:dyDescent="0.25">
      <c r="A158" s="13">
        <v>45866</v>
      </c>
      <c r="B158" s="14" t="s">
        <v>21</v>
      </c>
      <c r="C158" s="14"/>
      <c r="D158" s="15" t="s">
        <v>881</v>
      </c>
      <c r="E158" s="16">
        <v>24675815</v>
      </c>
      <c r="F158" s="17" t="s">
        <v>882</v>
      </c>
      <c r="G158" s="308" t="s">
        <v>883</v>
      </c>
      <c r="H158" s="14"/>
      <c r="I158" s="14">
        <v>763</v>
      </c>
      <c r="J158" s="14" t="s">
        <v>35</v>
      </c>
      <c r="K158" s="7">
        <v>42000</v>
      </c>
      <c r="L158" s="57" t="s">
        <v>234</v>
      </c>
      <c r="M158" s="19"/>
      <c r="N158" s="20"/>
      <c r="O158" s="21"/>
      <c r="P158" s="14" t="s">
        <v>28</v>
      </c>
      <c r="Q158" s="14" t="s">
        <v>20</v>
      </c>
      <c r="R158" s="14"/>
      <c r="S158" s="14" t="s">
        <v>126</v>
      </c>
      <c r="T158" s="14" t="s">
        <v>884</v>
      </c>
      <c r="U158" s="22" t="s">
        <v>885</v>
      </c>
      <c r="V158" s="14"/>
      <c r="W158" s="14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</row>
    <row r="159" spans="1:91" ht="14.25" hidden="1" customHeight="1" x14ac:dyDescent="0.25">
      <c r="A159" s="13">
        <v>45867</v>
      </c>
      <c r="B159" s="14" t="s">
        <v>21</v>
      </c>
      <c r="C159" s="308" t="s">
        <v>5479</v>
      </c>
      <c r="D159" s="15" t="s">
        <v>886</v>
      </c>
      <c r="E159" s="16">
        <v>1097401962</v>
      </c>
      <c r="F159" s="17" t="s">
        <v>887</v>
      </c>
      <c r="G159" s="309" t="s">
        <v>888</v>
      </c>
      <c r="H159" s="45">
        <v>1</v>
      </c>
      <c r="I159" s="14">
        <v>788</v>
      </c>
      <c r="J159" s="14" t="s">
        <v>35</v>
      </c>
      <c r="K159" s="7">
        <v>42000</v>
      </c>
      <c r="L159" s="57" t="s">
        <v>234</v>
      </c>
      <c r="M159" s="19"/>
      <c r="N159" s="20"/>
      <c r="O159" s="21"/>
      <c r="P159" s="14" t="s">
        <v>28</v>
      </c>
      <c r="Q159" s="14" t="s">
        <v>20</v>
      </c>
      <c r="R159" s="14"/>
      <c r="S159" s="14" t="s">
        <v>67</v>
      </c>
      <c r="T159" s="14" t="s">
        <v>889</v>
      </c>
      <c r="U159" s="22" t="s">
        <v>890</v>
      </c>
      <c r="V159" s="14"/>
      <c r="W159" s="14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</row>
    <row r="160" spans="1:91" ht="14.25" hidden="1" customHeight="1" x14ac:dyDescent="0.25">
      <c r="A160" s="13">
        <v>45868</v>
      </c>
      <c r="B160" s="14" t="s">
        <v>21</v>
      </c>
      <c r="C160" s="14"/>
      <c r="D160" s="15" t="s">
        <v>891</v>
      </c>
      <c r="E160" s="16">
        <v>31791789</v>
      </c>
      <c r="F160" s="17" t="s">
        <v>892</v>
      </c>
      <c r="G160" s="297" t="s">
        <v>893</v>
      </c>
      <c r="H160" s="14"/>
      <c r="I160" s="14">
        <v>789</v>
      </c>
      <c r="J160" s="14" t="s">
        <v>35</v>
      </c>
      <c r="K160" s="7">
        <v>42000</v>
      </c>
      <c r="L160" s="57" t="s">
        <v>234</v>
      </c>
      <c r="M160" s="19"/>
      <c r="N160" s="20"/>
      <c r="O160" s="21"/>
      <c r="P160" s="14" t="s">
        <v>28</v>
      </c>
      <c r="Q160" s="14" t="s">
        <v>20</v>
      </c>
      <c r="R160" s="14"/>
      <c r="S160" s="14" t="s">
        <v>30</v>
      </c>
      <c r="T160" s="14" t="s">
        <v>894</v>
      </c>
      <c r="U160" s="60" t="s">
        <v>895</v>
      </c>
      <c r="V160" s="14"/>
      <c r="W160" s="14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</row>
    <row r="161" spans="1:91" ht="14.25" hidden="1" customHeight="1" x14ac:dyDescent="0.25">
      <c r="A161" s="13">
        <v>45868</v>
      </c>
      <c r="B161" s="14" t="s">
        <v>21</v>
      </c>
      <c r="C161" s="14"/>
      <c r="D161" s="15" t="s">
        <v>896</v>
      </c>
      <c r="E161" s="16">
        <v>24675657</v>
      </c>
      <c r="F161" s="17" t="s">
        <v>897</v>
      </c>
      <c r="G161" s="308" t="s">
        <v>898</v>
      </c>
      <c r="H161" s="14"/>
      <c r="I161" s="14" t="s">
        <v>899</v>
      </c>
      <c r="J161" s="14" t="s">
        <v>35</v>
      </c>
      <c r="K161" s="7">
        <v>42000</v>
      </c>
      <c r="L161" s="57" t="s">
        <v>234</v>
      </c>
      <c r="M161" s="19"/>
      <c r="N161" s="20"/>
      <c r="O161" s="21"/>
      <c r="P161" s="14" t="s">
        <v>28</v>
      </c>
      <c r="Q161" s="14" t="s">
        <v>20</v>
      </c>
      <c r="R161" s="14"/>
      <c r="S161" s="14" t="s">
        <v>217</v>
      </c>
      <c r="T161" s="14" t="s">
        <v>901</v>
      </c>
      <c r="U161" s="22" t="s">
        <v>902</v>
      </c>
      <c r="V161" s="14"/>
      <c r="W161" s="14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</row>
    <row r="162" spans="1:91" ht="14.25" hidden="1" customHeight="1" x14ac:dyDescent="0.25">
      <c r="A162" s="13">
        <v>45869</v>
      </c>
      <c r="B162" s="14" t="s">
        <v>21</v>
      </c>
      <c r="C162" s="14"/>
      <c r="D162" s="15" t="s">
        <v>903</v>
      </c>
      <c r="E162" s="16">
        <v>1007780525</v>
      </c>
      <c r="F162" s="17">
        <v>3205625232</v>
      </c>
      <c r="G162" s="297" t="s">
        <v>904</v>
      </c>
      <c r="H162" s="14"/>
      <c r="I162" s="14">
        <v>545</v>
      </c>
      <c r="J162" s="14" t="s">
        <v>54</v>
      </c>
      <c r="K162" s="7">
        <v>67000</v>
      </c>
      <c r="L162" s="57" t="s">
        <v>234</v>
      </c>
      <c r="M162" s="19"/>
      <c r="N162" s="20"/>
      <c r="O162" s="21"/>
      <c r="P162" s="14" t="s">
        <v>28</v>
      </c>
      <c r="Q162" s="14" t="s">
        <v>20</v>
      </c>
      <c r="R162" s="14"/>
      <c r="S162" s="14" t="s">
        <v>67</v>
      </c>
      <c r="T162" s="14" t="s">
        <v>905</v>
      </c>
      <c r="U162" s="22" t="s">
        <v>906</v>
      </c>
      <c r="V162" s="14"/>
      <c r="W162" s="14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</row>
    <row r="163" spans="1:91" ht="14.25" hidden="1" customHeight="1" x14ac:dyDescent="0.25">
      <c r="A163" s="13">
        <v>45869</v>
      </c>
      <c r="B163" s="14" t="s">
        <v>21</v>
      </c>
      <c r="C163" s="14"/>
      <c r="D163" s="15" t="s">
        <v>907</v>
      </c>
      <c r="E163" s="16">
        <v>14797646</v>
      </c>
      <c r="F163" s="17" t="s">
        <v>908</v>
      </c>
      <c r="G163" s="308" t="s">
        <v>909</v>
      </c>
      <c r="H163" s="14"/>
      <c r="I163" s="14"/>
      <c r="J163" s="14" t="s">
        <v>35</v>
      </c>
      <c r="K163" s="7">
        <v>42000</v>
      </c>
      <c r="L163" s="57" t="s">
        <v>234</v>
      </c>
      <c r="M163" s="19"/>
      <c r="N163" s="20"/>
      <c r="O163" s="21"/>
      <c r="P163" s="14" t="s">
        <v>28</v>
      </c>
      <c r="Q163" s="14" t="s">
        <v>20</v>
      </c>
      <c r="R163" s="14"/>
      <c r="S163" s="14" t="s">
        <v>819</v>
      </c>
      <c r="T163" s="14" t="s">
        <v>910</v>
      </c>
      <c r="U163" s="22" t="s">
        <v>911</v>
      </c>
      <c r="V163" s="14"/>
      <c r="W163" s="14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</row>
    <row r="164" spans="1:91" ht="14.25" hidden="1" customHeight="1" x14ac:dyDescent="0.25">
      <c r="A164" s="13">
        <v>45869</v>
      </c>
      <c r="B164" s="14" t="s">
        <v>21</v>
      </c>
      <c r="C164" s="14"/>
      <c r="D164" s="15" t="s">
        <v>912</v>
      </c>
      <c r="E164" s="16">
        <v>1099683497</v>
      </c>
      <c r="F164" s="17" t="s">
        <v>913</v>
      </c>
      <c r="G164" s="308" t="s">
        <v>914</v>
      </c>
      <c r="H164" s="14"/>
      <c r="I164" s="14"/>
      <c r="J164" s="64" t="s">
        <v>5480</v>
      </c>
      <c r="K164" s="7">
        <v>82000</v>
      </c>
      <c r="L164" s="57" t="s">
        <v>234</v>
      </c>
      <c r="M164" s="19"/>
      <c r="N164" s="20"/>
      <c r="O164" s="21"/>
      <c r="P164" s="14" t="s">
        <v>28</v>
      </c>
      <c r="Q164" s="14" t="s">
        <v>20</v>
      </c>
      <c r="R164" s="14"/>
      <c r="S164" s="14" t="s">
        <v>915</v>
      </c>
      <c r="T164" s="14" t="s">
        <v>916</v>
      </c>
      <c r="U164" s="22" t="s">
        <v>917</v>
      </c>
      <c r="V164" s="14"/>
      <c r="W164" s="14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</row>
    <row r="165" spans="1:91" ht="14.25" hidden="1" customHeight="1" x14ac:dyDescent="0.25">
      <c r="A165" s="13">
        <v>45870</v>
      </c>
      <c r="B165" s="14" t="s">
        <v>21</v>
      </c>
      <c r="C165" s="14"/>
      <c r="D165" s="15" t="s">
        <v>918</v>
      </c>
      <c r="E165" s="16">
        <v>16546018</v>
      </c>
      <c r="F165" s="17">
        <v>3147634791</v>
      </c>
      <c r="G165" s="309" t="s">
        <v>919</v>
      </c>
      <c r="H165" s="45">
        <v>1</v>
      </c>
      <c r="I165" s="14">
        <v>769</v>
      </c>
      <c r="J165" s="14" t="s">
        <v>35</v>
      </c>
      <c r="K165" s="7">
        <v>42000</v>
      </c>
      <c r="L165" s="57" t="s">
        <v>234</v>
      </c>
      <c r="M165" s="19"/>
      <c r="N165" s="20"/>
      <c r="O165" s="21"/>
      <c r="P165" s="14" t="s">
        <v>28</v>
      </c>
      <c r="Q165" s="14" t="s">
        <v>20</v>
      </c>
      <c r="R165" s="14"/>
      <c r="S165" s="14" t="s">
        <v>30</v>
      </c>
      <c r="T165" s="14" t="s">
        <v>920</v>
      </c>
      <c r="U165" s="22" t="s">
        <v>921</v>
      </c>
      <c r="V165" s="14"/>
      <c r="W165" s="14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</row>
    <row r="166" spans="1:91" ht="14.25" hidden="1" customHeight="1" x14ac:dyDescent="0.25">
      <c r="A166" s="13">
        <v>45872</v>
      </c>
      <c r="B166" s="14" t="s">
        <v>419</v>
      </c>
      <c r="C166" s="14"/>
      <c r="D166" s="15" t="s">
        <v>922</v>
      </c>
      <c r="E166" s="16">
        <v>24675335</v>
      </c>
      <c r="F166" s="17" t="s">
        <v>923</v>
      </c>
      <c r="G166" s="308" t="s">
        <v>924</v>
      </c>
      <c r="H166" s="14"/>
      <c r="I166" s="14">
        <v>679</v>
      </c>
      <c r="J166" s="14" t="s">
        <v>35</v>
      </c>
      <c r="K166" s="7">
        <v>42000</v>
      </c>
      <c r="L166" s="57" t="s">
        <v>234</v>
      </c>
      <c r="M166" s="19"/>
      <c r="N166" s="20"/>
      <c r="O166" s="21"/>
      <c r="P166" s="14" t="s">
        <v>28</v>
      </c>
      <c r="Q166" s="14" t="s">
        <v>20</v>
      </c>
      <c r="R166" s="14"/>
      <c r="S166" s="14" t="s">
        <v>925</v>
      </c>
      <c r="T166" s="14" t="s">
        <v>30</v>
      </c>
      <c r="U166" s="22" t="s">
        <v>926</v>
      </c>
      <c r="V166" s="14"/>
      <c r="W166" s="14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</row>
    <row r="167" spans="1:91" ht="14.25" hidden="1" customHeight="1" x14ac:dyDescent="0.25">
      <c r="A167" s="13">
        <v>45872</v>
      </c>
      <c r="B167" s="14" t="s">
        <v>419</v>
      </c>
      <c r="C167" s="14"/>
      <c r="D167" s="15" t="s">
        <v>927</v>
      </c>
      <c r="E167" s="16">
        <v>24675632</v>
      </c>
      <c r="F167" s="17" t="s">
        <v>928</v>
      </c>
      <c r="G167" s="308" t="s">
        <v>929</v>
      </c>
      <c r="H167" s="14"/>
      <c r="I167" s="14"/>
      <c r="J167" s="14" t="s">
        <v>35</v>
      </c>
      <c r="K167" s="7">
        <v>42000</v>
      </c>
      <c r="L167" s="57" t="s">
        <v>234</v>
      </c>
      <c r="M167" s="19"/>
      <c r="N167" s="20"/>
      <c r="O167" s="21"/>
      <c r="P167" s="14" t="s">
        <v>28</v>
      </c>
      <c r="Q167" s="14" t="s">
        <v>20</v>
      </c>
      <c r="R167" s="14"/>
      <c r="S167" s="14"/>
      <c r="T167" s="14"/>
      <c r="U167" s="14"/>
      <c r="V167" s="14"/>
      <c r="W167" s="14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</row>
    <row r="168" spans="1:91" ht="14.25" hidden="1" customHeight="1" x14ac:dyDescent="0.25">
      <c r="A168" s="13">
        <v>45874</v>
      </c>
      <c r="B168" s="14" t="s">
        <v>21</v>
      </c>
      <c r="C168" s="14"/>
      <c r="D168" s="15" t="s">
        <v>930</v>
      </c>
      <c r="E168" s="16">
        <v>1097724951</v>
      </c>
      <c r="F168" s="17" t="s">
        <v>931</v>
      </c>
      <c r="G168" s="309" t="s">
        <v>932</v>
      </c>
      <c r="H168" s="45">
        <v>1</v>
      </c>
      <c r="I168" s="14">
        <v>771</v>
      </c>
      <c r="J168" s="14" t="s">
        <v>35</v>
      </c>
      <c r="K168" s="7">
        <v>42000</v>
      </c>
      <c r="L168" s="57" t="s">
        <v>234</v>
      </c>
      <c r="M168" s="19"/>
      <c r="N168" s="20"/>
      <c r="O168" s="21"/>
      <c r="P168" s="14" t="s">
        <v>28</v>
      </c>
      <c r="Q168" s="14" t="s">
        <v>20</v>
      </c>
      <c r="R168" s="14"/>
      <c r="S168" s="14" t="s">
        <v>933</v>
      </c>
      <c r="T168" s="14" t="s">
        <v>819</v>
      </c>
      <c r="U168" s="22" t="s">
        <v>934</v>
      </c>
      <c r="V168" s="14"/>
      <c r="W168" s="14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</row>
    <row r="169" spans="1:91" ht="14.25" hidden="1" customHeight="1" x14ac:dyDescent="0.25">
      <c r="A169" s="13">
        <v>45874</v>
      </c>
      <c r="B169" s="14" t="s">
        <v>21</v>
      </c>
      <c r="C169" s="14"/>
      <c r="D169" s="15" t="s">
        <v>935</v>
      </c>
      <c r="E169" s="16">
        <v>7507735</v>
      </c>
      <c r="F169" s="17" t="s">
        <v>936</v>
      </c>
      <c r="G169" s="308" t="s">
        <v>937</v>
      </c>
      <c r="H169" s="14"/>
      <c r="I169" s="14">
        <v>800</v>
      </c>
      <c r="J169" s="14" t="s">
        <v>35</v>
      </c>
      <c r="K169" s="7">
        <v>42000</v>
      </c>
      <c r="L169" s="57" t="s">
        <v>234</v>
      </c>
      <c r="M169" s="19"/>
      <c r="N169" s="20"/>
      <c r="O169" s="21"/>
      <c r="P169" s="14" t="s">
        <v>28</v>
      </c>
      <c r="Q169" s="14" t="s">
        <v>20</v>
      </c>
      <c r="R169" s="14"/>
      <c r="S169" s="14" t="s">
        <v>938</v>
      </c>
      <c r="T169" s="14" t="s">
        <v>30</v>
      </c>
      <c r="U169" s="22" t="s">
        <v>939</v>
      </c>
      <c r="V169" s="14"/>
      <c r="W169" s="14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</row>
    <row r="170" spans="1:91" ht="14.25" hidden="1" customHeight="1" x14ac:dyDescent="0.25">
      <c r="A170" s="13">
        <v>45874</v>
      </c>
      <c r="B170" s="14" t="s">
        <v>21</v>
      </c>
      <c r="C170" s="14"/>
      <c r="D170" s="15" t="s">
        <v>940</v>
      </c>
      <c r="E170" s="16">
        <v>4427857</v>
      </c>
      <c r="F170" s="17" t="s">
        <v>941</v>
      </c>
      <c r="G170" s="308" t="s">
        <v>942</v>
      </c>
      <c r="H170" s="14"/>
      <c r="I170" s="14">
        <v>46</v>
      </c>
      <c r="J170" s="14" t="s">
        <v>54</v>
      </c>
      <c r="K170" s="7">
        <v>67000</v>
      </c>
      <c r="L170" s="57" t="s">
        <v>234</v>
      </c>
      <c r="M170" s="19"/>
      <c r="N170" s="20"/>
      <c r="O170" s="21"/>
      <c r="P170" s="14" t="s">
        <v>28</v>
      </c>
      <c r="Q170" s="14" t="s">
        <v>20</v>
      </c>
      <c r="R170" s="14"/>
      <c r="S170" s="14" t="s">
        <v>943</v>
      </c>
      <c r="T170" s="14" t="s">
        <v>944</v>
      </c>
      <c r="U170" s="22" t="s">
        <v>945</v>
      </c>
      <c r="V170" s="14"/>
      <c r="W170" s="14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</row>
    <row r="171" spans="1:91" ht="13.5" hidden="1" customHeight="1" x14ac:dyDescent="0.25">
      <c r="A171" s="13">
        <v>45877</v>
      </c>
      <c r="B171" s="14" t="s">
        <v>21</v>
      </c>
      <c r="C171" s="14"/>
      <c r="D171" s="15" t="s">
        <v>946</v>
      </c>
      <c r="E171" s="16">
        <v>1032252103</v>
      </c>
      <c r="F171" s="17" t="s">
        <v>947</v>
      </c>
      <c r="G171" s="308" t="s">
        <v>948</v>
      </c>
      <c r="H171" s="14"/>
      <c r="I171" s="14">
        <v>773</v>
      </c>
      <c r="J171" s="14" t="s">
        <v>35</v>
      </c>
      <c r="K171" s="7">
        <v>42000</v>
      </c>
      <c r="L171" s="57" t="s">
        <v>234</v>
      </c>
      <c r="M171" s="19"/>
      <c r="N171" s="20"/>
      <c r="O171" s="21"/>
      <c r="P171" s="14" t="s">
        <v>28</v>
      </c>
      <c r="Q171" s="14" t="s">
        <v>20</v>
      </c>
      <c r="R171" s="14"/>
      <c r="S171" s="14" t="s">
        <v>949</v>
      </c>
      <c r="T171" s="14" t="s">
        <v>950</v>
      </c>
      <c r="U171" s="22" t="s">
        <v>951</v>
      </c>
      <c r="V171" s="14"/>
      <c r="W171" s="14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</row>
    <row r="172" spans="1:91" ht="14.25" hidden="1" customHeight="1" x14ac:dyDescent="0.25">
      <c r="A172" s="13">
        <v>45877</v>
      </c>
      <c r="B172" s="14" t="s">
        <v>21</v>
      </c>
      <c r="C172" s="14"/>
      <c r="D172" s="15" t="s">
        <v>952</v>
      </c>
      <c r="E172" s="16">
        <v>1099682753</v>
      </c>
      <c r="F172" s="17"/>
      <c r="G172" s="308" t="s">
        <v>953</v>
      </c>
      <c r="H172" s="14"/>
      <c r="I172" s="14"/>
      <c r="J172" s="14" t="s">
        <v>35</v>
      </c>
      <c r="K172" s="7">
        <v>42000</v>
      </c>
      <c r="L172" s="57" t="s">
        <v>234</v>
      </c>
      <c r="M172" s="19"/>
      <c r="N172" s="20"/>
      <c r="O172" s="21"/>
      <c r="P172" s="14" t="s">
        <v>28</v>
      </c>
      <c r="Q172" s="14" t="s">
        <v>20</v>
      </c>
      <c r="R172" s="14"/>
      <c r="S172" s="14" t="s">
        <v>43</v>
      </c>
      <c r="T172" s="14" t="s">
        <v>954</v>
      </c>
      <c r="U172" s="22" t="s">
        <v>955</v>
      </c>
      <c r="V172" s="14"/>
      <c r="W172" s="14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</row>
    <row r="173" spans="1:91" ht="15" hidden="1" customHeight="1" x14ac:dyDescent="0.25">
      <c r="A173" s="13">
        <v>45879</v>
      </c>
      <c r="B173" s="14" t="s">
        <v>21</v>
      </c>
      <c r="C173" s="14"/>
      <c r="D173" s="15" t="s">
        <v>956</v>
      </c>
      <c r="E173" s="16">
        <v>31421546</v>
      </c>
      <c r="F173" s="17" t="s">
        <v>957</v>
      </c>
      <c r="G173" s="297" t="s">
        <v>958</v>
      </c>
      <c r="H173" s="14"/>
      <c r="I173" s="14">
        <v>775</v>
      </c>
      <c r="J173" s="14" t="s">
        <v>35</v>
      </c>
      <c r="K173" s="7">
        <v>42000</v>
      </c>
      <c r="L173" s="57" t="s">
        <v>234</v>
      </c>
      <c r="M173" s="19"/>
      <c r="N173" s="20"/>
      <c r="O173" s="21"/>
      <c r="P173" s="14" t="s">
        <v>28</v>
      </c>
      <c r="Q173" s="14" t="s">
        <v>20</v>
      </c>
      <c r="R173" s="14"/>
      <c r="S173" s="14" t="s">
        <v>107</v>
      </c>
      <c r="T173" s="14" t="s">
        <v>959</v>
      </c>
      <c r="U173" s="22" t="s">
        <v>960</v>
      </c>
      <c r="V173" s="14"/>
      <c r="W173" s="14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</row>
    <row r="174" spans="1:91" ht="14.25" hidden="1" customHeight="1" x14ac:dyDescent="0.25">
      <c r="A174" s="13">
        <v>45879</v>
      </c>
      <c r="B174" s="14" t="s">
        <v>21</v>
      </c>
      <c r="C174" s="14"/>
      <c r="D174" s="15" t="s">
        <v>961</v>
      </c>
      <c r="E174" s="16">
        <v>24675616</v>
      </c>
      <c r="F174" s="17" t="s">
        <v>962</v>
      </c>
      <c r="G174" s="308" t="s">
        <v>963</v>
      </c>
      <c r="H174" s="14"/>
      <c r="I174" s="14"/>
      <c r="J174" s="14" t="s">
        <v>35</v>
      </c>
      <c r="K174" s="7">
        <v>42000</v>
      </c>
      <c r="L174" s="57" t="s">
        <v>234</v>
      </c>
      <c r="M174" s="19"/>
      <c r="N174" s="20"/>
      <c r="O174" s="21"/>
      <c r="P174" s="14" t="s">
        <v>28</v>
      </c>
      <c r="Q174" s="14" t="s">
        <v>20</v>
      </c>
      <c r="R174" s="14"/>
      <c r="S174" s="14" t="s">
        <v>107</v>
      </c>
      <c r="T174" s="14" t="s">
        <v>964</v>
      </c>
      <c r="U174" s="22" t="s">
        <v>965</v>
      </c>
      <c r="V174" s="14"/>
      <c r="W174" s="14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</row>
    <row r="175" spans="1:91" ht="14.25" hidden="1" customHeight="1" x14ac:dyDescent="0.25">
      <c r="A175" s="13">
        <v>45882</v>
      </c>
      <c r="B175" s="14" t="s">
        <v>21</v>
      </c>
      <c r="C175" s="14"/>
      <c r="D175" s="15" t="s">
        <v>966</v>
      </c>
      <c r="E175" s="16">
        <v>1005367393</v>
      </c>
      <c r="F175" s="17" t="s">
        <v>967</v>
      </c>
      <c r="G175" s="297" t="s">
        <v>968</v>
      </c>
      <c r="H175" s="14"/>
      <c r="I175" s="14">
        <v>390</v>
      </c>
      <c r="J175" s="15" t="s">
        <v>188</v>
      </c>
      <c r="K175" s="7">
        <v>57000</v>
      </c>
      <c r="L175" s="57" t="s">
        <v>234</v>
      </c>
      <c r="M175" s="19"/>
      <c r="N175" s="20"/>
      <c r="O175" s="21"/>
      <c r="P175" s="14" t="s">
        <v>28</v>
      </c>
      <c r="Q175" s="14" t="s">
        <v>20</v>
      </c>
      <c r="R175" s="14"/>
      <c r="S175" s="14" t="s">
        <v>198</v>
      </c>
      <c r="T175" s="14" t="s">
        <v>969</v>
      </c>
      <c r="U175" s="22" t="s">
        <v>970</v>
      </c>
      <c r="V175" s="14"/>
      <c r="W175" s="14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</row>
    <row r="176" spans="1:91" ht="14.25" hidden="1" customHeight="1" x14ac:dyDescent="0.25">
      <c r="A176" s="13">
        <v>45883</v>
      </c>
      <c r="B176" s="14" t="s">
        <v>21</v>
      </c>
      <c r="C176" s="14"/>
      <c r="D176" s="15" t="s">
        <v>940</v>
      </c>
      <c r="E176" s="16">
        <v>4427857</v>
      </c>
      <c r="F176" s="17" t="s">
        <v>941</v>
      </c>
      <c r="G176" s="308" t="s">
        <v>975</v>
      </c>
      <c r="H176" s="14"/>
      <c r="I176" s="14">
        <v>421</v>
      </c>
      <c r="J176" s="15" t="s">
        <v>188</v>
      </c>
      <c r="K176" s="7">
        <v>57000</v>
      </c>
      <c r="L176" s="57" t="s">
        <v>234</v>
      </c>
      <c r="M176" s="19"/>
      <c r="N176" s="20"/>
      <c r="O176" s="21"/>
      <c r="P176" s="14" t="s">
        <v>28</v>
      </c>
      <c r="Q176" s="14" t="s">
        <v>20</v>
      </c>
      <c r="R176" s="14"/>
      <c r="S176" s="14" t="s">
        <v>30</v>
      </c>
      <c r="T176" s="14" t="s">
        <v>976</v>
      </c>
      <c r="U176" s="22" t="s">
        <v>945</v>
      </c>
      <c r="V176" s="14"/>
      <c r="W176" s="14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</row>
    <row r="177" spans="1:91" ht="14.25" hidden="1" customHeight="1" x14ac:dyDescent="0.25">
      <c r="A177" s="13">
        <v>45885</v>
      </c>
      <c r="B177" s="14" t="s">
        <v>21</v>
      </c>
      <c r="C177" s="14"/>
      <c r="D177" s="15" t="s">
        <v>977</v>
      </c>
      <c r="E177" s="16">
        <v>1094923031</v>
      </c>
      <c r="F177" s="17" t="s">
        <v>978</v>
      </c>
      <c r="G177" s="297" t="s">
        <v>979</v>
      </c>
      <c r="H177" s="14"/>
      <c r="I177" s="14">
        <v>236</v>
      </c>
      <c r="J177" s="14" t="s">
        <v>35</v>
      </c>
      <c r="K177" s="7">
        <v>42000</v>
      </c>
      <c r="L177" s="57" t="s">
        <v>234</v>
      </c>
      <c r="M177" s="19"/>
      <c r="N177" s="20"/>
      <c r="O177" s="21"/>
      <c r="P177" s="14" t="s">
        <v>28</v>
      </c>
      <c r="Q177" s="14" t="s">
        <v>20</v>
      </c>
      <c r="R177" s="14"/>
      <c r="S177" s="14" t="s">
        <v>30</v>
      </c>
      <c r="T177" s="14" t="s">
        <v>980</v>
      </c>
      <c r="U177" s="22" t="s">
        <v>981</v>
      </c>
      <c r="V177" s="14"/>
      <c r="W177" s="14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</row>
    <row r="178" spans="1:91" ht="14.25" hidden="1" customHeight="1" x14ac:dyDescent="0.25">
      <c r="A178" s="13">
        <v>45885</v>
      </c>
      <c r="B178" s="14" t="s">
        <v>21</v>
      </c>
      <c r="C178" s="14"/>
      <c r="D178" s="15" t="s">
        <v>982</v>
      </c>
      <c r="E178" s="16">
        <v>1096007765</v>
      </c>
      <c r="F178" s="17" t="s">
        <v>983</v>
      </c>
      <c r="G178" s="308" t="s">
        <v>984</v>
      </c>
      <c r="H178" s="14"/>
      <c r="I178" s="14"/>
      <c r="J178" s="14" t="s">
        <v>35</v>
      </c>
      <c r="K178" s="7">
        <v>42000</v>
      </c>
      <c r="L178" s="57" t="s">
        <v>234</v>
      </c>
      <c r="M178" s="19"/>
      <c r="N178" s="20"/>
      <c r="O178" s="21"/>
      <c r="P178" s="14" t="s">
        <v>28</v>
      </c>
      <c r="Q178" s="14" t="s">
        <v>20</v>
      </c>
      <c r="R178" s="14"/>
      <c r="S178" s="14" t="s">
        <v>67</v>
      </c>
      <c r="T178" s="14" t="s">
        <v>985</v>
      </c>
      <c r="U178" s="22" t="s">
        <v>986</v>
      </c>
      <c r="V178" s="14"/>
      <c r="W178" s="14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</row>
    <row r="179" spans="1:91" ht="14.25" hidden="1" customHeight="1" x14ac:dyDescent="0.25">
      <c r="A179" s="13">
        <v>45885</v>
      </c>
      <c r="B179" s="14" t="s">
        <v>21</v>
      </c>
      <c r="C179" s="14"/>
      <c r="D179" s="15" t="s">
        <v>987</v>
      </c>
      <c r="E179" s="16">
        <v>1099682576</v>
      </c>
      <c r="F179" s="17" t="s">
        <v>988</v>
      </c>
      <c r="G179" s="308" t="s">
        <v>989</v>
      </c>
      <c r="H179" s="14"/>
      <c r="I179" s="14" t="s">
        <v>990</v>
      </c>
      <c r="J179" s="14" t="s">
        <v>35</v>
      </c>
      <c r="K179" s="7">
        <v>42000</v>
      </c>
      <c r="L179" s="57" t="s">
        <v>234</v>
      </c>
      <c r="M179" s="19"/>
      <c r="N179" s="20"/>
      <c r="O179" s="21"/>
      <c r="P179" s="14" t="s">
        <v>28</v>
      </c>
      <c r="Q179" s="14" t="s">
        <v>20</v>
      </c>
      <c r="R179" s="14"/>
      <c r="S179" s="14" t="s">
        <v>991</v>
      </c>
      <c r="T179" s="14" t="s">
        <v>992</v>
      </c>
      <c r="U179" s="22" t="s">
        <v>993</v>
      </c>
      <c r="V179" s="14"/>
      <c r="W179" s="14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</row>
    <row r="180" spans="1:91" ht="14.25" hidden="1" customHeight="1" x14ac:dyDescent="0.25">
      <c r="A180" s="13">
        <v>45888</v>
      </c>
      <c r="B180" s="14" t="s">
        <v>21</v>
      </c>
      <c r="C180" s="14"/>
      <c r="D180" s="328" t="s">
        <v>994</v>
      </c>
      <c r="E180" s="16">
        <v>4427422</v>
      </c>
      <c r="F180" s="17" t="s">
        <v>995</v>
      </c>
      <c r="G180" s="308" t="s">
        <v>996</v>
      </c>
      <c r="H180" s="14"/>
      <c r="I180" s="14">
        <v>774</v>
      </c>
      <c r="J180" s="14" t="s">
        <v>35</v>
      </c>
      <c r="K180" s="7">
        <v>42000</v>
      </c>
      <c r="L180" s="57" t="s">
        <v>234</v>
      </c>
      <c r="M180" s="19"/>
      <c r="N180" s="20"/>
      <c r="O180" s="21"/>
      <c r="P180" s="14" t="s">
        <v>28</v>
      </c>
      <c r="Q180" s="14" t="s">
        <v>20</v>
      </c>
      <c r="R180" s="14"/>
      <c r="S180" s="14" t="s">
        <v>997</v>
      </c>
      <c r="T180" s="14" t="s">
        <v>67</v>
      </c>
      <c r="U180" s="22" t="s">
        <v>998</v>
      </c>
      <c r="V180" s="14"/>
      <c r="W180" s="14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</row>
    <row r="181" spans="1:91" ht="14.25" hidden="1" customHeight="1" x14ac:dyDescent="0.25">
      <c r="A181" s="13">
        <v>45891</v>
      </c>
      <c r="B181" s="14" t="s">
        <v>21</v>
      </c>
      <c r="C181" s="14"/>
      <c r="D181" s="15" t="s">
        <v>999</v>
      </c>
      <c r="E181" s="16">
        <v>1001510538</v>
      </c>
      <c r="F181" s="17" t="s">
        <v>1000</v>
      </c>
      <c r="G181" s="297" t="s">
        <v>1001</v>
      </c>
      <c r="H181" s="14"/>
      <c r="I181" s="14">
        <v>776</v>
      </c>
      <c r="J181" s="14" t="s">
        <v>35</v>
      </c>
      <c r="K181" s="7">
        <v>42000</v>
      </c>
      <c r="L181" s="57" t="s">
        <v>234</v>
      </c>
      <c r="M181" s="19"/>
      <c r="N181" s="20"/>
      <c r="O181" s="21"/>
      <c r="P181" s="14" t="s">
        <v>28</v>
      </c>
      <c r="Q181" s="14" t="s">
        <v>20</v>
      </c>
      <c r="R181" s="14"/>
      <c r="S181" s="14" t="s">
        <v>1002</v>
      </c>
      <c r="T181" s="14" t="s">
        <v>30</v>
      </c>
      <c r="U181" s="22" t="s">
        <v>1003</v>
      </c>
      <c r="V181" s="14"/>
      <c r="W181" s="14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</row>
    <row r="182" spans="1:91" ht="14.25" hidden="1" customHeight="1" x14ac:dyDescent="0.25">
      <c r="A182" s="13">
        <v>45891</v>
      </c>
      <c r="B182" s="14" t="s">
        <v>21</v>
      </c>
      <c r="C182" s="14"/>
      <c r="D182" s="15" t="s">
        <v>1007</v>
      </c>
      <c r="E182" s="16">
        <v>1034777132</v>
      </c>
      <c r="F182" s="17" t="s">
        <v>1008</v>
      </c>
      <c r="G182" s="309" t="s">
        <v>1009</v>
      </c>
      <c r="H182" s="45">
        <v>1</v>
      </c>
      <c r="I182" s="14">
        <v>527</v>
      </c>
      <c r="J182" s="14" t="s">
        <v>54</v>
      </c>
      <c r="K182" s="7">
        <v>67000</v>
      </c>
      <c r="L182" s="57" t="s">
        <v>234</v>
      </c>
      <c r="M182" s="19"/>
      <c r="N182" s="20"/>
      <c r="O182" s="21"/>
      <c r="P182" s="14" t="s">
        <v>28</v>
      </c>
      <c r="Q182" s="14" t="s">
        <v>20</v>
      </c>
      <c r="R182" s="14"/>
      <c r="S182" s="14" t="s">
        <v>1010</v>
      </c>
      <c r="T182" s="14" t="s">
        <v>1011</v>
      </c>
      <c r="U182" s="22" t="s">
        <v>1012</v>
      </c>
      <c r="V182" s="14"/>
      <c r="W182" s="14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</row>
    <row r="183" spans="1:91" ht="14.25" hidden="1" customHeight="1" x14ac:dyDescent="0.25">
      <c r="A183" s="13">
        <v>45894</v>
      </c>
      <c r="B183" s="14" t="s">
        <v>21</v>
      </c>
      <c r="C183" s="14"/>
      <c r="D183" s="15" t="s">
        <v>1017</v>
      </c>
      <c r="E183" s="16">
        <v>1096006490</v>
      </c>
      <c r="F183" s="17" t="s">
        <v>1018</v>
      </c>
      <c r="G183" s="297" t="s">
        <v>1019</v>
      </c>
      <c r="H183" s="14"/>
      <c r="I183" s="14"/>
      <c r="J183" s="14" t="s">
        <v>35</v>
      </c>
      <c r="K183" s="7">
        <v>42000</v>
      </c>
      <c r="L183" s="57" t="s">
        <v>234</v>
      </c>
      <c r="M183" s="19"/>
      <c r="N183" s="20"/>
      <c r="O183" s="21"/>
      <c r="P183" s="14" t="s">
        <v>28</v>
      </c>
      <c r="Q183" s="14" t="s">
        <v>20</v>
      </c>
      <c r="R183" s="14"/>
      <c r="S183" s="14" t="s">
        <v>1020</v>
      </c>
      <c r="T183" s="14" t="s">
        <v>43</v>
      </c>
      <c r="U183" s="22" t="s">
        <v>1021</v>
      </c>
      <c r="V183" s="14"/>
      <c r="W183" s="14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</row>
    <row r="184" spans="1:91" ht="14.25" hidden="1" customHeight="1" x14ac:dyDescent="0.25">
      <c r="A184" s="13">
        <v>45894</v>
      </c>
      <c r="B184" s="14" t="s">
        <v>21</v>
      </c>
      <c r="C184" s="14"/>
      <c r="D184" s="15" t="s">
        <v>1022</v>
      </c>
      <c r="E184" s="16">
        <v>1010110695</v>
      </c>
      <c r="F184" s="17" t="s">
        <v>1023</v>
      </c>
      <c r="G184" s="308" t="s">
        <v>202</v>
      </c>
      <c r="H184" s="14"/>
      <c r="I184" s="14">
        <v>779</v>
      </c>
      <c r="J184" s="14" t="s">
        <v>35</v>
      </c>
      <c r="K184" s="7">
        <v>42000</v>
      </c>
      <c r="L184" s="57" t="s">
        <v>234</v>
      </c>
      <c r="M184" s="19"/>
      <c r="N184" s="20"/>
      <c r="O184" s="21"/>
      <c r="P184" s="14" t="s">
        <v>28</v>
      </c>
      <c r="Q184" s="14" t="s">
        <v>20</v>
      </c>
      <c r="R184" s="14"/>
      <c r="S184" s="14" t="s">
        <v>1024</v>
      </c>
      <c r="T184" s="14" t="s">
        <v>30</v>
      </c>
      <c r="U184" s="22" t="s">
        <v>1025</v>
      </c>
      <c r="V184" s="14"/>
      <c r="W184" s="14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</row>
    <row r="185" spans="1:91" ht="14.25" hidden="1" customHeight="1" x14ac:dyDescent="0.25">
      <c r="A185" s="26">
        <v>45895</v>
      </c>
      <c r="B185" s="15" t="s">
        <v>21</v>
      </c>
      <c r="C185" s="15"/>
      <c r="D185" s="36" t="s">
        <v>1026</v>
      </c>
      <c r="E185" s="36">
        <v>1099682539</v>
      </c>
      <c r="F185" s="36" t="s">
        <v>1027</v>
      </c>
      <c r="G185" s="308" t="s">
        <v>1028</v>
      </c>
      <c r="H185" s="14"/>
      <c r="I185" s="14">
        <v>792</v>
      </c>
      <c r="J185" s="14" t="s">
        <v>35</v>
      </c>
      <c r="K185" s="7">
        <v>42000</v>
      </c>
      <c r="L185" s="57" t="s">
        <v>234</v>
      </c>
      <c r="M185" s="19"/>
      <c r="N185" s="20"/>
      <c r="O185" s="21"/>
      <c r="P185" s="14" t="s">
        <v>28</v>
      </c>
      <c r="Q185" s="14" t="s">
        <v>20</v>
      </c>
      <c r="R185" s="14"/>
      <c r="S185" s="14" t="s">
        <v>1029</v>
      </c>
      <c r="T185" s="14" t="s">
        <v>224</v>
      </c>
      <c r="U185" s="22" t="s">
        <v>1030</v>
      </c>
      <c r="V185" s="14"/>
      <c r="W185" s="14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</row>
    <row r="186" spans="1:91" ht="14.25" hidden="1" customHeight="1" x14ac:dyDescent="0.25">
      <c r="A186" s="13">
        <v>45897</v>
      </c>
      <c r="B186" s="14" t="s">
        <v>21</v>
      </c>
      <c r="C186" s="14"/>
      <c r="D186" s="15" t="s">
        <v>1036</v>
      </c>
      <c r="E186" s="16">
        <v>9801379</v>
      </c>
      <c r="F186" s="17" t="s">
        <v>1037</v>
      </c>
      <c r="G186" s="308" t="s">
        <v>1038</v>
      </c>
      <c r="H186" s="14"/>
      <c r="I186" s="14">
        <v>766</v>
      </c>
      <c r="J186" s="14" t="s">
        <v>35</v>
      </c>
      <c r="K186" s="7">
        <v>42000</v>
      </c>
      <c r="L186" s="57" t="s">
        <v>234</v>
      </c>
      <c r="M186" s="19"/>
      <c r="N186" s="20"/>
      <c r="O186" s="21"/>
      <c r="P186" s="14" t="s">
        <v>28</v>
      </c>
      <c r="Q186" s="14" t="s">
        <v>20</v>
      </c>
      <c r="R186" s="14"/>
      <c r="S186" s="14" t="s">
        <v>1039</v>
      </c>
      <c r="T186" s="14" t="s">
        <v>1040</v>
      </c>
      <c r="U186" s="22" t="s">
        <v>1041</v>
      </c>
      <c r="V186" s="14"/>
      <c r="W186" s="14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</row>
    <row r="187" spans="1:91" ht="14.25" hidden="1" customHeight="1" x14ac:dyDescent="0.25">
      <c r="A187" s="13">
        <v>45899</v>
      </c>
      <c r="B187" s="14" t="s">
        <v>21</v>
      </c>
      <c r="C187" s="14"/>
      <c r="D187" s="15" t="s">
        <v>1042</v>
      </c>
      <c r="E187" s="16">
        <v>1114338489</v>
      </c>
      <c r="F187" s="17" t="s">
        <v>1043</v>
      </c>
      <c r="G187" s="309" t="s">
        <v>1044</v>
      </c>
      <c r="H187" s="45">
        <v>1</v>
      </c>
      <c r="I187" s="14"/>
      <c r="J187" s="14" t="s">
        <v>35</v>
      </c>
      <c r="K187" s="7">
        <v>42000</v>
      </c>
      <c r="L187" s="57" t="s">
        <v>234</v>
      </c>
      <c r="M187" s="19"/>
      <c r="N187" s="20"/>
      <c r="O187" s="21"/>
      <c r="P187" s="14" t="s">
        <v>28</v>
      </c>
      <c r="Q187" s="14" t="s">
        <v>20</v>
      </c>
      <c r="R187" s="14"/>
      <c r="S187" s="14" t="s">
        <v>1045</v>
      </c>
      <c r="T187" s="14" t="s">
        <v>198</v>
      </c>
      <c r="U187" s="22" t="s">
        <v>1046</v>
      </c>
      <c r="V187" s="14"/>
      <c r="W187" s="14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</row>
    <row r="188" spans="1:91" ht="14.25" hidden="1" customHeight="1" x14ac:dyDescent="0.25">
      <c r="A188" s="13">
        <v>45901</v>
      </c>
      <c r="B188" s="14" t="s">
        <v>21</v>
      </c>
      <c r="C188" s="14"/>
      <c r="D188" s="297" t="s">
        <v>1047</v>
      </c>
      <c r="E188" s="24">
        <v>18732165</v>
      </c>
      <c r="F188" s="25" t="s">
        <v>1048</v>
      </c>
      <c r="G188" s="308" t="s">
        <v>308</v>
      </c>
      <c r="H188" s="14"/>
      <c r="I188" s="14"/>
      <c r="J188" s="14" t="s">
        <v>35</v>
      </c>
      <c r="K188" s="7">
        <v>42000</v>
      </c>
      <c r="L188" s="57" t="s">
        <v>234</v>
      </c>
      <c r="M188" s="19"/>
      <c r="N188" s="20"/>
      <c r="O188" s="21"/>
      <c r="P188" s="14" t="s">
        <v>28</v>
      </c>
      <c r="Q188" s="14"/>
      <c r="R188" s="14"/>
      <c r="S188" s="14" t="s">
        <v>1049</v>
      </c>
      <c r="T188" s="14" t="s">
        <v>30</v>
      </c>
      <c r="U188" s="22" t="s">
        <v>1050</v>
      </c>
      <c r="V188" s="14"/>
      <c r="W188" s="14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</row>
    <row r="189" spans="1:91" ht="14.25" hidden="1" customHeight="1" x14ac:dyDescent="0.25">
      <c r="A189" s="13">
        <v>45902</v>
      </c>
      <c r="B189" s="14" t="s">
        <v>21</v>
      </c>
      <c r="C189" s="14"/>
      <c r="D189" s="329" t="s">
        <v>1051</v>
      </c>
      <c r="E189" s="24">
        <v>1097403513</v>
      </c>
      <c r="F189" s="25" t="s">
        <v>1052</v>
      </c>
      <c r="G189" s="308" t="s">
        <v>1053</v>
      </c>
      <c r="H189" s="14"/>
      <c r="I189" s="14"/>
      <c r="J189" s="14" t="s">
        <v>35</v>
      </c>
      <c r="K189" s="7">
        <v>42000</v>
      </c>
      <c r="L189" s="57" t="s">
        <v>234</v>
      </c>
      <c r="M189" s="19"/>
      <c r="N189" s="20"/>
      <c r="O189" s="21"/>
      <c r="P189" s="14" t="s">
        <v>28</v>
      </c>
      <c r="Q189" s="14"/>
      <c r="R189" s="14"/>
      <c r="S189" s="14" t="s">
        <v>1054</v>
      </c>
      <c r="T189" s="14" t="s">
        <v>107</v>
      </c>
      <c r="U189" s="22" t="s">
        <v>1055</v>
      </c>
      <c r="V189" s="14"/>
      <c r="W189" s="14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</row>
    <row r="190" spans="1:91" ht="14.25" hidden="1" customHeight="1" x14ac:dyDescent="0.25">
      <c r="A190" s="13">
        <v>45904</v>
      </c>
      <c r="B190" s="14" t="s">
        <v>21</v>
      </c>
      <c r="C190" s="14"/>
      <c r="D190" s="308" t="s">
        <v>1056</v>
      </c>
      <c r="E190" s="24">
        <v>38872497</v>
      </c>
      <c r="F190" s="25" t="s">
        <v>1057</v>
      </c>
      <c r="G190" s="308" t="s">
        <v>1058</v>
      </c>
      <c r="H190" s="14"/>
      <c r="I190" s="14">
        <v>780</v>
      </c>
      <c r="J190" s="14" t="s">
        <v>35</v>
      </c>
      <c r="K190" s="7">
        <v>42000</v>
      </c>
      <c r="L190" s="57" t="s">
        <v>234</v>
      </c>
      <c r="M190" s="19"/>
      <c r="N190" s="20"/>
      <c r="O190" s="21"/>
      <c r="P190" s="14" t="s">
        <v>28</v>
      </c>
      <c r="Q190" s="14"/>
      <c r="R190" s="14"/>
      <c r="S190" s="14" t="s">
        <v>1059</v>
      </c>
      <c r="T190" s="14" t="s">
        <v>30</v>
      </c>
      <c r="U190" s="22" t="s">
        <v>1060</v>
      </c>
      <c r="V190" s="14"/>
      <c r="W190" s="14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</row>
    <row r="191" spans="1:91" ht="14.25" hidden="1" customHeight="1" x14ac:dyDescent="0.25">
      <c r="A191" s="13">
        <v>45904</v>
      </c>
      <c r="B191" s="14" t="s">
        <v>21</v>
      </c>
      <c r="C191" s="14"/>
      <c r="D191" s="329" t="s">
        <v>1061</v>
      </c>
      <c r="E191" s="24">
        <v>1099682612</v>
      </c>
      <c r="F191" s="25" t="s">
        <v>1062</v>
      </c>
      <c r="G191" s="309" t="s">
        <v>1063</v>
      </c>
      <c r="H191" s="45">
        <v>1</v>
      </c>
      <c r="I191" s="14">
        <v>230</v>
      </c>
      <c r="J191" s="14" t="s">
        <v>35</v>
      </c>
      <c r="K191" s="7">
        <v>42000</v>
      </c>
      <c r="L191" s="57" t="s">
        <v>234</v>
      </c>
      <c r="M191" s="19"/>
      <c r="N191" s="20"/>
      <c r="O191" s="21"/>
      <c r="P191" s="14" t="s">
        <v>28</v>
      </c>
      <c r="Q191" s="14"/>
      <c r="R191" s="14"/>
      <c r="S191" s="14" t="s">
        <v>1064</v>
      </c>
      <c r="T191" s="14" t="s">
        <v>30</v>
      </c>
      <c r="U191" s="22" t="s">
        <v>1065</v>
      </c>
      <c r="V191" s="14"/>
      <c r="W191" s="14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</row>
    <row r="192" spans="1:91" ht="14.25" hidden="1" customHeight="1" x14ac:dyDescent="0.25">
      <c r="A192" s="13">
        <v>45908</v>
      </c>
      <c r="B192" s="14" t="s">
        <v>21</v>
      </c>
      <c r="C192" s="14"/>
      <c r="D192" s="308" t="s">
        <v>1066</v>
      </c>
      <c r="E192" s="24">
        <v>24675890</v>
      </c>
      <c r="F192" s="25" t="s">
        <v>1067</v>
      </c>
      <c r="G192" s="308" t="s">
        <v>1068</v>
      </c>
      <c r="H192" s="14"/>
      <c r="I192" s="14">
        <v>793</v>
      </c>
      <c r="J192" s="14" t="s">
        <v>35</v>
      </c>
      <c r="K192" s="7">
        <v>42000</v>
      </c>
      <c r="L192" s="57" t="s">
        <v>234</v>
      </c>
      <c r="M192" s="19"/>
      <c r="N192" s="20"/>
      <c r="O192" s="21"/>
      <c r="P192" s="14" t="s">
        <v>28</v>
      </c>
      <c r="Q192" s="14"/>
      <c r="R192" s="14"/>
      <c r="S192" s="14" t="s">
        <v>1069</v>
      </c>
      <c r="T192" s="14" t="s">
        <v>126</v>
      </c>
      <c r="U192" s="22" t="s">
        <v>1070</v>
      </c>
      <c r="V192" s="14"/>
      <c r="W192" s="14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</row>
    <row r="193" spans="1:91" ht="14.25" hidden="1" customHeight="1" x14ac:dyDescent="0.25">
      <c r="A193" s="13">
        <v>45909</v>
      </c>
      <c r="B193" s="14" t="s">
        <v>21</v>
      </c>
      <c r="C193" s="14"/>
      <c r="D193" s="308" t="s">
        <v>1071</v>
      </c>
      <c r="E193" s="24">
        <v>24675491</v>
      </c>
      <c r="F193" s="25" t="s">
        <v>1072</v>
      </c>
      <c r="G193" s="308" t="s">
        <v>1073</v>
      </c>
      <c r="H193" s="14"/>
      <c r="I193" s="14">
        <v>795</v>
      </c>
      <c r="J193" s="14" t="s">
        <v>35</v>
      </c>
      <c r="K193" s="7">
        <v>42000</v>
      </c>
      <c r="L193" s="57" t="s">
        <v>234</v>
      </c>
      <c r="M193" s="19"/>
      <c r="N193" s="20"/>
      <c r="O193" s="21"/>
      <c r="P193" s="14" t="s">
        <v>28</v>
      </c>
      <c r="Q193" s="14"/>
      <c r="R193" s="14"/>
      <c r="S193" s="14" t="s">
        <v>1074</v>
      </c>
      <c r="T193" s="14" t="s">
        <v>30</v>
      </c>
      <c r="U193" s="22" t="s">
        <v>1075</v>
      </c>
      <c r="V193" s="14"/>
      <c r="W193" s="14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</row>
    <row r="194" spans="1:91" ht="14.25" hidden="1" customHeight="1" x14ac:dyDescent="0.25">
      <c r="A194" s="13">
        <v>45909</v>
      </c>
      <c r="B194" s="14" t="s">
        <v>21</v>
      </c>
      <c r="C194" s="14"/>
      <c r="D194" s="308" t="s">
        <v>1076</v>
      </c>
      <c r="E194" s="24">
        <v>1099709262</v>
      </c>
      <c r="F194" s="25" t="s">
        <v>1077</v>
      </c>
      <c r="G194" s="308" t="s">
        <v>1078</v>
      </c>
      <c r="H194" s="14"/>
      <c r="I194" s="14"/>
      <c r="J194" s="14" t="s">
        <v>35</v>
      </c>
      <c r="K194" s="7">
        <v>42000</v>
      </c>
      <c r="L194" s="57" t="s">
        <v>234</v>
      </c>
      <c r="M194" s="19"/>
      <c r="N194" s="20"/>
      <c r="O194" s="21"/>
      <c r="P194" s="14" t="s">
        <v>28</v>
      </c>
      <c r="Q194" s="14"/>
      <c r="R194" s="14"/>
      <c r="S194" s="14" t="s">
        <v>1079</v>
      </c>
      <c r="T194" s="14" t="s">
        <v>36</v>
      </c>
      <c r="U194" s="22" t="s">
        <v>1080</v>
      </c>
      <c r="V194" s="14"/>
      <c r="W194" s="14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</row>
    <row r="195" spans="1:91" ht="14.25" hidden="1" customHeight="1" x14ac:dyDescent="0.25">
      <c r="A195" s="13">
        <v>45910</v>
      </c>
      <c r="B195" s="14" t="s">
        <v>21</v>
      </c>
      <c r="C195" s="14"/>
      <c r="D195" s="14" t="s">
        <v>1081</v>
      </c>
      <c r="E195" s="24">
        <v>4428419</v>
      </c>
      <c r="F195" s="25" t="s">
        <v>1082</v>
      </c>
      <c r="G195" s="297" t="s">
        <v>1083</v>
      </c>
      <c r="H195" s="14"/>
      <c r="I195" s="14"/>
      <c r="J195" s="14" t="s">
        <v>35</v>
      </c>
      <c r="K195" s="7">
        <v>42000</v>
      </c>
      <c r="L195" s="57" t="s">
        <v>234</v>
      </c>
      <c r="M195" s="19"/>
      <c r="N195" s="20"/>
      <c r="O195" s="21"/>
      <c r="P195" s="14" t="s">
        <v>28</v>
      </c>
      <c r="Q195" s="14" t="s">
        <v>20</v>
      </c>
      <c r="R195" s="14"/>
      <c r="S195" s="14" t="s">
        <v>1084</v>
      </c>
      <c r="T195" s="14" t="s">
        <v>43</v>
      </c>
      <c r="U195" s="22" t="s">
        <v>1085</v>
      </c>
      <c r="V195" s="14"/>
      <c r="W195" s="14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</row>
    <row r="196" spans="1:91" ht="14.25" hidden="1" customHeight="1" x14ac:dyDescent="0.25">
      <c r="A196" s="13">
        <v>45910</v>
      </c>
      <c r="B196" s="14" t="s">
        <v>21</v>
      </c>
      <c r="C196" s="14"/>
      <c r="D196" s="14" t="s">
        <v>1086</v>
      </c>
      <c r="E196" s="24">
        <v>24673175</v>
      </c>
      <c r="F196" s="25" t="s">
        <v>1087</v>
      </c>
      <c r="G196" s="309" t="s">
        <v>1088</v>
      </c>
      <c r="H196" s="45">
        <v>1</v>
      </c>
      <c r="I196" s="14">
        <v>797</v>
      </c>
      <c r="J196" s="14" t="s">
        <v>35</v>
      </c>
      <c r="K196" s="7">
        <v>42000</v>
      </c>
      <c r="L196" s="57" t="s">
        <v>234</v>
      </c>
      <c r="M196" s="19"/>
      <c r="N196" s="20"/>
      <c r="O196" s="21"/>
      <c r="P196" s="14" t="s">
        <v>28</v>
      </c>
      <c r="Q196" s="14" t="s">
        <v>20</v>
      </c>
      <c r="R196" s="14"/>
      <c r="S196" s="14" t="s">
        <v>1089</v>
      </c>
      <c r="T196" s="14" t="s">
        <v>497</v>
      </c>
      <c r="U196" s="22" t="s">
        <v>1090</v>
      </c>
      <c r="V196" s="14"/>
      <c r="W196" s="14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</row>
    <row r="197" spans="1:91" ht="14.25" hidden="1" customHeight="1" x14ac:dyDescent="0.25">
      <c r="A197" s="13">
        <v>45913</v>
      </c>
      <c r="B197" s="14" t="s">
        <v>21</v>
      </c>
      <c r="C197" s="14"/>
      <c r="D197" s="14" t="s">
        <v>1094</v>
      </c>
      <c r="E197" s="24">
        <v>9801871</v>
      </c>
      <c r="F197" s="25" t="s">
        <v>1095</v>
      </c>
      <c r="G197" s="308" t="s">
        <v>1096</v>
      </c>
      <c r="H197" s="14"/>
      <c r="I197" s="14">
        <v>264</v>
      </c>
      <c r="J197" s="14" t="s">
        <v>35</v>
      </c>
      <c r="K197" s="7">
        <v>42000</v>
      </c>
      <c r="L197" s="57" t="s">
        <v>234</v>
      </c>
      <c r="M197" s="19"/>
      <c r="N197" s="20"/>
      <c r="O197" s="21"/>
      <c r="P197" s="14" t="s">
        <v>28</v>
      </c>
      <c r="Q197" s="14" t="s">
        <v>20</v>
      </c>
      <c r="R197" s="14"/>
      <c r="S197" s="14" t="s">
        <v>1097</v>
      </c>
      <c r="T197" s="14" t="s">
        <v>30</v>
      </c>
      <c r="U197" s="22" t="s">
        <v>1098</v>
      </c>
      <c r="V197" s="14"/>
      <c r="W197" s="14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</row>
    <row r="198" spans="1:91" ht="14.25" hidden="1" customHeight="1" x14ac:dyDescent="0.25">
      <c r="A198" s="13">
        <v>45917</v>
      </c>
      <c r="B198" s="14" t="s">
        <v>21</v>
      </c>
      <c r="C198" s="14"/>
      <c r="D198" s="14" t="s">
        <v>1099</v>
      </c>
      <c r="E198" s="24">
        <v>1092850105</v>
      </c>
      <c r="F198" s="25" t="s">
        <v>1100</v>
      </c>
      <c r="G198" s="308" t="s">
        <v>1101</v>
      </c>
      <c r="H198" s="14"/>
      <c r="I198" s="14"/>
      <c r="J198" s="14" t="s">
        <v>35</v>
      </c>
      <c r="K198" s="7">
        <v>42000</v>
      </c>
      <c r="L198" s="57" t="s">
        <v>234</v>
      </c>
      <c r="M198" s="19"/>
      <c r="N198" s="20"/>
      <c r="O198" s="21"/>
      <c r="P198" s="14" t="s">
        <v>28</v>
      </c>
      <c r="Q198" s="14" t="s">
        <v>20</v>
      </c>
      <c r="R198" s="14"/>
      <c r="S198" s="14" t="s">
        <v>632</v>
      </c>
      <c r="T198" s="14" t="s">
        <v>30</v>
      </c>
      <c r="U198" s="22" t="s">
        <v>1102</v>
      </c>
      <c r="V198" s="14"/>
      <c r="W198" s="14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</row>
    <row r="199" spans="1:91" ht="14.25" hidden="1" customHeight="1" x14ac:dyDescent="0.25">
      <c r="A199" s="13">
        <v>45918</v>
      </c>
      <c r="B199" s="14" t="s">
        <v>21</v>
      </c>
      <c r="C199" s="14"/>
      <c r="D199" s="14" t="s">
        <v>1103</v>
      </c>
      <c r="E199" s="24">
        <v>1094926672</v>
      </c>
      <c r="F199" s="25" t="s">
        <v>1104</v>
      </c>
      <c r="G199" s="309" t="s">
        <v>1105</v>
      </c>
      <c r="H199" s="45">
        <v>1</v>
      </c>
      <c r="I199" s="14">
        <v>641</v>
      </c>
      <c r="J199" s="14" t="s">
        <v>35</v>
      </c>
      <c r="K199" s="7">
        <v>42000</v>
      </c>
      <c r="L199" s="57" t="s">
        <v>234</v>
      </c>
      <c r="M199" s="19"/>
      <c r="N199" s="20"/>
      <c r="O199" s="21"/>
      <c r="P199" s="14" t="s">
        <v>28</v>
      </c>
      <c r="Q199" s="14" t="s">
        <v>20</v>
      </c>
      <c r="R199" s="14"/>
      <c r="S199" s="14" t="s">
        <v>1106</v>
      </c>
      <c r="T199" s="14" t="s">
        <v>716</v>
      </c>
      <c r="U199" s="22" t="s">
        <v>1107</v>
      </c>
      <c r="V199" s="14"/>
      <c r="W199" s="14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</row>
    <row r="200" spans="1:91" ht="14.25" hidden="1" customHeight="1" x14ac:dyDescent="0.25">
      <c r="A200" s="13">
        <v>45919</v>
      </c>
      <c r="B200" s="14" t="s">
        <v>21</v>
      </c>
      <c r="C200" s="14"/>
      <c r="D200" s="14" t="s">
        <v>1112</v>
      </c>
      <c r="E200" s="24">
        <v>1099682091</v>
      </c>
      <c r="F200" s="25" t="s">
        <v>1113</v>
      </c>
      <c r="G200" s="308" t="s">
        <v>1114</v>
      </c>
      <c r="H200" s="14"/>
      <c r="I200" s="14">
        <v>913</v>
      </c>
      <c r="J200" s="14" t="s">
        <v>35</v>
      </c>
      <c r="K200" s="7">
        <v>42000</v>
      </c>
      <c r="L200" s="57" t="s">
        <v>234</v>
      </c>
      <c r="M200" s="19"/>
      <c r="N200" s="20"/>
      <c r="O200" s="21"/>
      <c r="P200" s="14" t="s">
        <v>28</v>
      </c>
      <c r="Q200" s="14" t="s">
        <v>20</v>
      </c>
      <c r="R200" s="14"/>
      <c r="S200" s="14" t="s">
        <v>1115</v>
      </c>
      <c r="T200" s="14" t="s">
        <v>1116</v>
      </c>
      <c r="U200" s="22" t="s">
        <v>1117</v>
      </c>
      <c r="V200" s="14"/>
      <c r="W200" s="14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</row>
    <row r="201" spans="1:91" ht="14.25" customHeight="1" x14ac:dyDescent="0.25">
      <c r="A201" s="13">
        <v>45922</v>
      </c>
      <c r="B201" s="14" t="s">
        <v>21</v>
      </c>
      <c r="C201" s="355" t="s">
        <v>5544</v>
      </c>
      <c r="D201" s="355" t="s">
        <v>1118</v>
      </c>
      <c r="E201" s="24">
        <v>39625921</v>
      </c>
      <c r="F201" s="25" t="s">
        <v>1119</v>
      </c>
      <c r="G201" s="309" t="s">
        <v>1120</v>
      </c>
      <c r="H201" s="45">
        <v>1</v>
      </c>
      <c r="I201" s="14"/>
      <c r="J201" s="15" t="s">
        <v>188</v>
      </c>
      <c r="K201" s="7">
        <v>57000</v>
      </c>
      <c r="L201" s="57" t="s">
        <v>234</v>
      </c>
      <c r="M201" s="19"/>
      <c r="N201" s="20"/>
      <c r="O201" s="21"/>
      <c r="P201" s="14" t="s">
        <v>28</v>
      </c>
      <c r="Q201" s="14" t="s">
        <v>20</v>
      </c>
      <c r="R201" s="14"/>
      <c r="S201" s="14" t="s">
        <v>1121</v>
      </c>
      <c r="T201" s="14" t="s">
        <v>1040</v>
      </c>
      <c r="U201" s="22" t="s">
        <v>1122</v>
      </c>
      <c r="V201" s="14"/>
      <c r="W201" s="14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</row>
    <row r="202" spans="1:91" ht="14.25" hidden="1" customHeight="1" x14ac:dyDescent="0.25">
      <c r="A202" s="13">
        <v>45922</v>
      </c>
      <c r="B202" s="14" t="s">
        <v>21</v>
      </c>
      <c r="C202" s="14"/>
      <c r="D202" s="14" t="s">
        <v>1123</v>
      </c>
      <c r="E202" s="24">
        <v>9800288</v>
      </c>
      <c r="F202" s="25">
        <v>3186173214</v>
      </c>
      <c r="G202" s="308" t="s">
        <v>1124</v>
      </c>
      <c r="H202" s="14"/>
      <c r="I202" s="14">
        <v>914</v>
      </c>
      <c r="J202" s="14" t="s">
        <v>35</v>
      </c>
      <c r="K202" s="7">
        <v>42000</v>
      </c>
      <c r="L202" s="57" t="s">
        <v>234</v>
      </c>
      <c r="M202" s="19"/>
      <c r="N202" s="20"/>
      <c r="O202" s="21"/>
      <c r="P202" s="14" t="s">
        <v>28</v>
      </c>
      <c r="Q202" s="14" t="s">
        <v>20</v>
      </c>
      <c r="R202" s="14"/>
      <c r="S202" s="14" t="s">
        <v>1125</v>
      </c>
      <c r="T202" s="14" t="s">
        <v>30</v>
      </c>
      <c r="U202" s="22" t="s">
        <v>1126</v>
      </c>
      <c r="V202" s="14"/>
      <c r="W202" s="14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</row>
    <row r="203" spans="1:91" ht="14.25" hidden="1" customHeight="1" x14ac:dyDescent="0.25">
      <c r="A203" s="13">
        <v>45922</v>
      </c>
      <c r="B203" s="14" t="s">
        <v>21</v>
      </c>
      <c r="C203" s="14"/>
      <c r="D203" s="14" t="s">
        <v>1127</v>
      </c>
      <c r="E203" s="24">
        <v>24675093</v>
      </c>
      <c r="F203" s="25" t="s">
        <v>1128</v>
      </c>
      <c r="G203" s="308" t="s">
        <v>1129</v>
      </c>
      <c r="H203" s="14"/>
      <c r="I203" s="14"/>
      <c r="J203" s="14" t="s">
        <v>35</v>
      </c>
      <c r="K203" s="7">
        <v>42000</v>
      </c>
      <c r="L203" s="57" t="s">
        <v>234</v>
      </c>
      <c r="M203" s="19"/>
      <c r="N203" s="20"/>
      <c r="O203" s="21"/>
      <c r="P203" s="14" t="s">
        <v>28</v>
      </c>
      <c r="Q203" s="14" t="s">
        <v>20</v>
      </c>
      <c r="R203" s="14"/>
      <c r="S203" s="14" t="s">
        <v>1130</v>
      </c>
      <c r="T203" s="14" t="s">
        <v>716</v>
      </c>
      <c r="U203" s="22" t="s">
        <v>1131</v>
      </c>
      <c r="V203" s="14"/>
      <c r="W203" s="14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</row>
    <row r="204" spans="1:91" ht="14.25" hidden="1" customHeight="1" x14ac:dyDescent="0.25">
      <c r="A204" s="13">
        <v>45925</v>
      </c>
      <c r="B204" s="14" t="s">
        <v>21</v>
      </c>
      <c r="C204" s="14"/>
      <c r="D204" s="14" t="s">
        <v>1132</v>
      </c>
      <c r="E204" s="24">
        <v>24675604</v>
      </c>
      <c r="F204" s="25">
        <v>3203055901</v>
      </c>
      <c r="G204" s="308" t="s">
        <v>1133</v>
      </c>
      <c r="H204" s="14"/>
      <c r="I204" s="14">
        <v>916</v>
      </c>
      <c r="J204" s="14" t="s">
        <v>35</v>
      </c>
      <c r="K204" s="7">
        <v>42000</v>
      </c>
      <c r="L204" s="57" t="s">
        <v>234</v>
      </c>
      <c r="M204" s="19"/>
      <c r="N204" s="20"/>
      <c r="O204" s="21"/>
      <c r="P204" s="14" t="s">
        <v>28</v>
      </c>
      <c r="Q204" s="14" t="s">
        <v>20</v>
      </c>
      <c r="R204" s="14"/>
      <c r="S204" s="14" t="s">
        <v>1134</v>
      </c>
      <c r="T204" s="14" t="s">
        <v>198</v>
      </c>
      <c r="U204" s="22" t="s">
        <v>1135</v>
      </c>
      <c r="V204" s="14"/>
      <c r="W204" s="14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</row>
    <row r="205" spans="1:91" ht="14.25" hidden="1" customHeight="1" x14ac:dyDescent="0.25">
      <c r="A205" s="13">
        <v>45926</v>
      </c>
      <c r="B205" s="14" t="s">
        <v>21</v>
      </c>
      <c r="C205" s="14"/>
      <c r="D205" s="14" t="s">
        <v>1136</v>
      </c>
      <c r="E205" s="24">
        <v>1088326626</v>
      </c>
      <c r="F205" s="25" t="s">
        <v>1137</v>
      </c>
      <c r="G205" s="309" t="s">
        <v>1138</v>
      </c>
      <c r="H205" s="45">
        <v>1</v>
      </c>
      <c r="I205" s="14"/>
      <c r="J205" s="14" t="s">
        <v>35</v>
      </c>
      <c r="K205" s="7">
        <v>42000</v>
      </c>
      <c r="L205" s="57" t="s">
        <v>234</v>
      </c>
      <c r="M205" s="19"/>
      <c r="N205" s="20"/>
      <c r="O205" s="21"/>
      <c r="P205" s="14" t="s">
        <v>28</v>
      </c>
      <c r="Q205" s="14" t="s">
        <v>20</v>
      </c>
      <c r="R205" s="14"/>
      <c r="S205" s="14" t="s">
        <v>1139</v>
      </c>
      <c r="T205" s="14" t="s">
        <v>30</v>
      </c>
      <c r="U205" s="22" t="s">
        <v>1140</v>
      </c>
      <c r="V205" s="14"/>
      <c r="W205" s="14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</row>
    <row r="206" spans="1:91" ht="14.25" hidden="1" customHeight="1" x14ac:dyDescent="0.25">
      <c r="A206" s="13">
        <v>45926</v>
      </c>
      <c r="B206" s="14" t="s">
        <v>21</v>
      </c>
      <c r="C206" s="14"/>
      <c r="D206" s="14" t="s">
        <v>1141</v>
      </c>
      <c r="E206" s="24">
        <v>1099683841</v>
      </c>
      <c r="F206" s="25" t="s">
        <v>1142</v>
      </c>
      <c r="G206" s="308" t="s">
        <v>1143</v>
      </c>
      <c r="H206" s="14"/>
      <c r="I206" s="14">
        <v>701</v>
      </c>
      <c r="J206" s="14" t="s">
        <v>35</v>
      </c>
      <c r="K206" s="7">
        <v>42000</v>
      </c>
      <c r="L206" s="57" t="s">
        <v>234</v>
      </c>
      <c r="M206" s="19"/>
      <c r="N206" s="20"/>
      <c r="O206" s="21"/>
      <c r="P206" s="14" t="s">
        <v>28</v>
      </c>
      <c r="Q206" s="14" t="s">
        <v>20</v>
      </c>
      <c r="R206" s="14"/>
      <c r="S206" s="14" t="s">
        <v>1144</v>
      </c>
      <c r="T206" s="14" t="s">
        <v>224</v>
      </c>
      <c r="U206" s="22" t="s">
        <v>1145</v>
      </c>
      <c r="V206" s="14"/>
      <c r="W206" s="14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</row>
    <row r="207" spans="1:91" ht="14.25" hidden="1" customHeight="1" x14ac:dyDescent="0.25">
      <c r="A207" s="13">
        <v>45928</v>
      </c>
      <c r="B207" s="14" t="s">
        <v>21</v>
      </c>
      <c r="C207" s="14"/>
      <c r="D207" s="14" t="s">
        <v>1151</v>
      </c>
      <c r="E207" s="24">
        <v>24675813</v>
      </c>
      <c r="F207" s="25" t="s">
        <v>1152</v>
      </c>
      <c r="G207" s="308" t="s">
        <v>1153</v>
      </c>
      <c r="H207" s="14"/>
      <c r="I207" s="14"/>
      <c r="J207" s="15" t="s">
        <v>188</v>
      </c>
      <c r="K207" s="7">
        <v>57000</v>
      </c>
      <c r="L207" s="57" t="s">
        <v>234</v>
      </c>
      <c r="M207" s="19"/>
      <c r="N207" s="20"/>
      <c r="O207" s="21"/>
      <c r="P207" s="14" t="s">
        <v>28</v>
      </c>
      <c r="Q207" s="14" t="s">
        <v>20</v>
      </c>
      <c r="R207" s="14"/>
      <c r="S207" s="14" t="s">
        <v>1154</v>
      </c>
      <c r="T207" s="14" t="s">
        <v>1155</v>
      </c>
      <c r="U207" s="22" t="s">
        <v>1156</v>
      </c>
      <c r="V207" s="14"/>
      <c r="W207" s="14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</row>
    <row r="208" spans="1:91" ht="14.25" hidden="1" customHeight="1" x14ac:dyDescent="0.25">
      <c r="A208" s="13">
        <v>46250</v>
      </c>
      <c r="B208" s="14" t="s">
        <v>21</v>
      </c>
      <c r="C208" s="14" t="s">
        <v>5475</v>
      </c>
      <c r="D208" s="15" t="s">
        <v>1157</v>
      </c>
      <c r="E208" s="16">
        <v>1005367247</v>
      </c>
      <c r="F208" s="17" t="s">
        <v>1158</v>
      </c>
      <c r="G208" s="308" t="s">
        <v>1159</v>
      </c>
      <c r="H208" s="14"/>
      <c r="I208" s="14">
        <v>246</v>
      </c>
      <c r="J208" s="14" t="s">
        <v>35</v>
      </c>
      <c r="K208" s="7">
        <v>42000</v>
      </c>
      <c r="L208" s="57" t="s">
        <v>234</v>
      </c>
      <c r="M208" s="14"/>
      <c r="N208" s="7"/>
      <c r="O208" s="21"/>
      <c r="P208" s="14" t="s">
        <v>28</v>
      </c>
      <c r="Q208" s="14" t="s">
        <v>20</v>
      </c>
      <c r="R208" s="14"/>
      <c r="S208" s="14" t="s">
        <v>30</v>
      </c>
      <c r="T208" s="14" t="s">
        <v>1160</v>
      </c>
      <c r="U208" s="22" t="s">
        <v>1161</v>
      </c>
      <c r="V208" s="14"/>
      <c r="W208" s="14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</row>
    <row r="209" spans="1:91" ht="14.25" hidden="1" customHeight="1" x14ac:dyDescent="0.25">
      <c r="A209" s="26"/>
      <c r="B209" s="15"/>
      <c r="C209" s="15"/>
      <c r="D209" s="36" t="s">
        <v>1162</v>
      </c>
      <c r="E209" s="63">
        <v>24674358</v>
      </c>
      <c r="F209" s="36" t="s">
        <v>1163</v>
      </c>
      <c r="G209" s="64" t="s">
        <v>1164</v>
      </c>
      <c r="H209" s="36"/>
      <c r="I209" s="36" t="s">
        <v>1165</v>
      </c>
      <c r="J209" s="14" t="s">
        <v>35</v>
      </c>
      <c r="K209" s="61">
        <v>42000</v>
      </c>
      <c r="L209" s="57" t="s">
        <v>234</v>
      </c>
      <c r="M209" s="64"/>
      <c r="N209" s="65"/>
      <c r="O209" s="66"/>
      <c r="P209" s="15" t="s">
        <v>28</v>
      </c>
      <c r="Q209" s="15" t="s">
        <v>20</v>
      </c>
      <c r="R209" s="15"/>
      <c r="S209" s="36" t="s">
        <v>1166</v>
      </c>
      <c r="T209" s="36" t="s">
        <v>67</v>
      </c>
      <c r="U209" s="53" t="s">
        <v>1167</v>
      </c>
      <c r="V209" s="67" t="s">
        <v>234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</row>
    <row r="210" spans="1:91" ht="14.25" hidden="1" customHeight="1" x14ac:dyDescent="0.25">
      <c r="A210" s="26"/>
      <c r="B210" s="15"/>
      <c r="C210" s="15"/>
      <c r="D210" s="36" t="s">
        <v>1168</v>
      </c>
      <c r="E210" s="36">
        <v>24673567</v>
      </c>
      <c r="F210" s="36" t="s">
        <v>1169</v>
      </c>
      <c r="G210" s="64" t="s">
        <v>1170</v>
      </c>
      <c r="H210" s="36"/>
      <c r="I210" s="36"/>
      <c r="J210" s="14" t="s">
        <v>35</v>
      </c>
      <c r="K210" s="61">
        <v>42000</v>
      </c>
      <c r="L210" s="57" t="s">
        <v>234</v>
      </c>
      <c r="M210" s="64"/>
      <c r="N210" s="65"/>
      <c r="O210" s="66"/>
      <c r="P210" s="15" t="s">
        <v>28</v>
      </c>
      <c r="Q210" s="15" t="s">
        <v>20</v>
      </c>
      <c r="R210" s="15"/>
      <c r="S210" s="36" t="s">
        <v>1171</v>
      </c>
      <c r="T210" s="36" t="s">
        <v>151</v>
      </c>
      <c r="U210" s="53" t="s">
        <v>1172</v>
      </c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</row>
    <row r="211" spans="1:91" ht="14.25" hidden="1" customHeight="1" x14ac:dyDescent="0.25">
      <c r="A211" s="26"/>
      <c r="B211" s="15"/>
      <c r="C211" s="15"/>
      <c r="D211" s="36" t="s">
        <v>1173</v>
      </c>
      <c r="E211" s="36">
        <v>1099683043</v>
      </c>
      <c r="F211" s="36">
        <v>3148705309</v>
      </c>
      <c r="G211" s="64" t="s">
        <v>1174</v>
      </c>
      <c r="H211" s="36"/>
      <c r="I211" s="36">
        <v>452</v>
      </c>
      <c r="J211" s="14" t="s">
        <v>35</v>
      </c>
      <c r="K211" s="61">
        <v>42000</v>
      </c>
      <c r="L211" s="57" t="s">
        <v>234</v>
      </c>
      <c r="M211" s="64"/>
      <c r="N211" s="65"/>
      <c r="O211" s="66"/>
      <c r="P211" s="15" t="s">
        <v>28</v>
      </c>
      <c r="Q211" s="15" t="s">
        <v>20</v>
      </c>
      <c r="R211" s="15"/>
      <c r="S211" s="36" t="s">
        <v>1175</v>
      </c>
      <c r="T211" s="36" t="s">
        <v>286</v>
      </c>
      <c r="U211" s="53" t="s">
        <v>1176</v>
      </c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</row>
    <row r="212" spans="1:91" ht="14.25" hidden="1" customHeight="1" x14ac:dyDescent="0.25">
      <c r="A212" s="26"/>
      <c r="B212" s="15"/>
      <c r="C212" s="15"/>
      <c r="D212" s="36" t="s">
        <v>1181</v>
      </c>
      <c r="E212" s="36">
        <v>24675730</v>
      </c>
      <c r="F212" s="36">
        <v>3202680627</v>
      </c>
      <c r="G212" s="64" t="s">
        <v>1182</v>
      </c>
      <c r="H212" s="36"/>
      <c r="I212" s="36"/>
      <c r="J212" s="14" t="s">
        <v>54</v>
      </c>
      <c r="K212" s="61">
        <v>67000</v>
      </c>
      <c r="L212" s="57" t="s">
        <v>234</v>
      </c>
      <c r="M212" s="64"/>
      <c r="N212" s="65"/>
      <c r="O212" s="66"/>
      <c r="P212" s="15" t="s">
        <v>28</v>
      </c>
      <c r="Q212" s="15" t="s">
        <v>20</v>
      </c>
      <c r="R212" s="15"/>
      <c r="S212" s="36" t="s">
        <v>366</v>
      </c>
      <c r="T212" s="36" t="s">
        <v>1183</v>
      </c>
      <c r="U212" s="53" t="s">
        <v>1184</v>
      </c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</row>
    <row r="213" spans="1:91" ht="14.25" hidden="1" customHeight="1" x14ac:dyDescent="0.25">
      <c r="A213" s="26"/>
      <c r="B213" s="15"/>
      <c r="C213" s="15"/>
      <c r="D213" s="36" t="s">
        <v>1185</v>
      </c>
      <c r="E213" s="36">
        <v>29137220</v>
      </c>
      <c r="F213" s="36">
        <v>3113529839</v>
      </c>
      <c r="G213" s="301" t="s">
        <v>1186</v>
      </c>
      <c r="H213" s="36"/>
      <c r="I213" s="36"/>
      <c r="J213" s="14" t="s">
        <v>35</v>
      </c>
      <c r="K213" s="61">
        <v>42000</v>
      </c>
      <c r="L213" s="57" t="s">
        <v>234</v>
      </c>
      <c r="M213" s="64"/>
      <c r="N213" s="65"/>
      <c r="O213" s="66"/>
      <c r="P213" s="15" t="s">
        <v>28</v>
      </c>
      <c r="Q213" s="15" t="s">
        <v>20</v>
      </c>
      <c r="R213" s="15"/>
      <c r="S213" s="15" t="s">
        <v>1187</v>
      </c>
      <c r="T213" s="15" t="s">
        <v>126</v>
      </c>
      <c r="U213" s="31" t="s">
        <v>1188</v>
      </c>
      <c r="V213" s="14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</row>
    <row r="214" spans="1:91" ht="14.25" hidden="1" customHeight="1" x14ac:dyDescent="0.25">
      <c r="A214" s="26"/>
      <c r="B214" s="15"/>
      <c r="C214" s="15"/>
      <c r="D214" s="36" t="s">
        <v>1189</v>
      </c>
      <c r="E214" s="36">
        <v>24674526</v>
      </c>
      <c r="F214" s="36">
        <v>3127625498</v>
      </c>
      <c r="G214" s="64" t="s">
        <v>1190</v>
      </c>
      <c r="H214" s="68"/>
      <c r="I214" s="68"/>
      <c r="J214" s="14" t="s">
        <v>54</v>
      </c>
      <c r="K214" s="61">
        <v>67000</v>
      </c>
      <c r="L214" s="57" t="s">
        <v>234</v>
      </c>
      <c r="M214" s="64"/>
      <c r="N214" s="65"/>
      <c r="O214" s="66"/>
      <c r="P214" s="15" t="s">
        <v>28</v>
      </c>
      <c r="Q214" s="15" t="s">
        <v>20</v>
      </c>
      <c r="R214" s="15"/>
      <c r="S214" s="36" t="s">
        <v>1191</v>
      </c>
      <c r="T214" s="36" t="s">
        <v>43</v>
      </c>
      <c r="U214" s="53" t="s">
        <v>1192</v>
      </c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</row>
    <row r="215" spans="1:91" ht="14.25" hidden="1" customHeight="1" x14ac:dyDescent="0.25">
      <c r="A215" s="26"/>
      <c r="B215" s="15"/>
      <c r="C215" s="15"/>
      <c r="D215" s="36" t="s">
        <v>1193</v>
      </c>
      <c r="E215" s="36">
        <v>24673621</v>
      </c>
      <c r="F215" s="36">
        <v>3113839918</v>
      </c>
      <c r="G215" s="64" t="s">
        <v>1194</v>
      </c>
      <c r="H215" s="36"/>
      <c r="I215" s="36"/>
      <c r="J215" s="15" t="s">
        <v>188</v>
      </c>
      <c r="K215" s="61">
        <v>57000</v>
      </c>
      <c r="L215" s="57" t="s">
        <v>234</v>
      </c>
      <c r="M215" s="64"/>
      <c r="N215" s="65"/>
      <c r="O215" s="66"/>
      <c r="P215" s="15" t="s">
        <v>28</v>
      </c>
      <c r="Q215" s="15" t="s">
        <v>20</v>
      </c>
      <c r="R215" s="15"/>
      <c r="S215" s="36" t="s">
        <v>1195</v>
      </c>
      <c r="T215" s="36"/>
      <c r="U215" s="47" t="s">
        <v>311</v>
      </c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</row>
    <row r="216" spans="1:91" ht="14.25" hidden="1" customHeight="1" x14ac:dyDescent="0.25">
      <c r="A216" s="26"/>
      <c r="B216" s="15"/>
      <c r="C216" s="15"/>
      <c r="D216" s="36" t="s">
        <v>1196</v>
      </c>
      <c r="E216" s="36">
        <v>24587921</v>
      </c>
      <c r="F216" s="36"/>
      <c r="G216" s="64" t="s">
        <v>1197</v>
      </c>
      <c r="H216" s="36"/>
      <c r="I216" s="36">
        <v>176</v>
      </c>
      <c r="J216" s="15" t="s">
        <v>188</v>
      </c>
      <c r="K216" s="61">
        <v>57000</v>
      </c>
      <c r="L216" s="57" t="s">
        <v>234</v>
      </c>
      <c r="M216" s="64"/>
      <c r="N216" s="65"/>
      <c r="O216" s="66"/>
      <c r="P216" s="15" t="s">
        <v>28</v>
      </c>
      <c r="Q216" s="15" t="s">
        <v>20</v>
      </c>
      <c r="R216" s="15"/>
      <c r="S216" s="36" t="s">
        <v>1198</v>
      </c>
      <c r="T216" s="36" t="s">
        <v>43</v>
      </c>
      <c r="U216" s="53" t="s">
        <v>1199</v>
      </c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</row>
    <row r="217" spans="1:91" ht="14.25" hidden="1" customHeight="1" x14ac:dyDescent="0.25">
      <c r="A217" s="26"/>
      <c r="B217" s="15"/>
      <c r="C217" s="15"/>
      <c r="D217" s="36" t="s">
        <v>1200</v>
      </c>
      <c r="E217" s="36">
        <v>21070698</v>
      </c>
      <c r="F217" s="36" t="s">
        <v>1201</v>
      </c>
      <c r="G217" s="301" t="s">
        <v>1202</v>
      </c>
      <c r="H217" s="36"/>
      <c r="I217" s="36">
        <v>138</v>
      </c>
      <c r="J217" s="14" t="s">
        <v>35</v>
      </c>
      <c r="K217" s="61">
        <v>42000</v>
      </c>
      <c r="L217" s="57" t="s">
        <v>234</v>
      </c>
      <c r="M217" s="64"/>
      <c r="N217" s="65"/>
      <c r="O217" s="66"/>
      <c r="P217" s="15" t="s">
        <v>28</v>
      </c>
      <c r="Q217" s="15" t="s">
        <v>20</v>
      </c>
      <c r="R217" s="15"/>
      <c r="S217" s="36" t="s">
        <v>1203</v>
      </c>
      <c r="T217" s="36" t="s">
        <v>30</v>
      </c>
      <c r="U217" s="53" t="s">
        <v>1204</v>
      </c>
      <c r="V217" s="14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</row>
    <row r="218" spans="1:91" ht="14.25" hidden="1" customHeight="1" x14ac:dyDescent="0.25">
      <c r="A218" s="26"/>
      <c r="B218" s="15"/>
      <c r="C218" s="15"/>
      <c r="D218" s="36" t="s">
        <v>1205</v>
      </c>
      <c r="E218" s="36">
        <v>1099683899</v>
      </c>
      <c r="F218" s="36">
        <v>3126584242</v>
      </c>
      <c r="G218" s="301" t="s">
        <v>1206</v>
      </c>
      <c r="H218" s="36"/>
      <c r="I218" s="36"/>
      <c r="J218" s="15" t="s">
        <v>188</v>
      </c>
      <c r="K218" s="61">
        <v>57000</v>
      </c>
      <c r="L218" s="57" t="s">
        <v>234</v>
      </c>
      <c r="M218" s="64"/>
      <c r="N218" s="65"/>
      <c r="O218" s="66"/>
      <c r="P218" s="15" t="s">
        <v>28</v>
      </c>
      <c r="Q218" s="15" t="s">
        <v>20</v>
      </c>
      <c r="R218" s="15"/>
      <c r="S218" s="15" t="s">
        <v>36</v>
      </c>
      <c r="T218" s="15" t="s">
        <v>1208</v>
      </c>
      <c r="U218" s="70" t="s">
        <v>1209</v>
      </c>
      <c r="V218" s="14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</row>
    <row r="219" spans="1:91" ht="14.25" hidden="1" customHeight="1" x14ac:dyDescent="0.25">
      <c r="A219" s="26"/>
      <c r="B219" s="15"/>
      <c r="C219" s="15"/>
      <c r="D219" s="71" t="s">
        <v>1210</v>
      </c>
      <c r="E219" s="71">
        <v>1099682904</v>
      </c>
      <c r="F219" s="71">
        <v>3128862425</v>
      </c>
      <c r="G219" s="299" t="s">
        <v>1211</v>
      </c>
      <c r="H219" s="71"/>
      <c r="I219" s="71" t="s">
        <v>1212</v>
      </c>
      <c r="J219" s="14" t="s">
        <v>54</v>
      </c>
      <c r="K219" s="61">
        <v>67000</v>
      </c>
      <c r="L219" s="57" t="s">
        <v>234</v>
      </c>
      <c r="M219" s="72"/>
      <c r="N219" s="65"/>
      <c r="O219" s="66"/>
      <c r="P219" s="15" t="s">
        <v>28</v>
      </c>
      <c r="Q219" s="15" t="s">
        <v>20</v>
      </c>
      <c r="R219" s="15"/>
      <c r="S219" s="15" t="s">
        <v>1213</v>
      </c>
      <c r="T219" s="15" t="s">
        <v>30</v>
      </c>
      <c r="U219" s="31" t="s">
        <v>1214</v>
      </c>
      <c r="V219" s="14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</row>
    <row r="220" spans="1:91" ht="14.25" hidden="1" customHeight="1" x14ac:dyDescent="0.25">
      <c r="A220" s="26"/>
      <c r="B220" s="15"/>
      <c r="C220" s="15"/>
      <c r="D220" s="36" t="s">
        <v>1215</v>
      </c>
      <c r="E220" s="36">
        <v>9800745</v>
      </c>
      <c r="F220" s="71" t="s">
        <v>1216</v>
      </c>
      <c r="G220" s="64" t="s">
        <v>1217</v>
      </c>
      <c r="H220" s="68"/>
      <c r="I220" s="68"/>
      <c r="J220" s="14" t="s">
        <v>35</v>
      </c>
      <c r="K220" s="61">
        <v>42000</v>
      </c>
      <c r="L220" s="57" t="s">
        <v>234</v>
      </c>
      <c r="M220" s="64"/>
      <c r="N220" s="65"/>
      <c r="O220" s="66"/>
      <c r="P220" s="15" t="s">
        <v>28</v>
      </c>
      <c r="Q220" s="15" t="s">
        <v>20</v>
      </c>
      <c r="R220" s="15"/>
      <c r="S220" s="36" t="s">
        <v>1218</v>
      </c>
      <c r="T220" s="36" t="s">
        <v>1219</v>
      </c>
      <c r="U220" s="53" t="s">
        <v>1220</v>
      </c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</row>
    <row r="221" spans="1:91" ht="14.25" hidden="1" customHeight="1" x14ac:dyDescent="0.25">
      <c r="A221" s="26"/>
      <c r="B221" s="15"/>
      <c r="C221" s="15"/>
      <c r="D221" s="36" t="s">
        <v>1221</v>
      </c>
      <c r="E221" s="36">
        <v>1099684105</v>
      </c>
      <c r="F221" s="36">
        <v>3108934801</v>
      </c>
      <c r="G221" s="64" t="s">
        <v>1222</v>
      </c>
      <c r="H221" s="68"/>
      <c r="I221" s="68"/>
      <c r="J221" s="14" t="s">
        <v>35</v>
      </c>
      <c r="K221" s="61">
        <v>42000</v>
      </c>
      <c r="L221" s="57" t="s">
        <v>234</v>
      </c>
      <c r="M221" s="64"/>
      <c r="N221" s="65"/>
      <c r="O221" s="66"/>
      <c r="P221" s="15" t="s">
        <v>28</v>
      </c>
      <c r="Q221" s="15" t="s">
        <v>20</v>
      </c>
      <c r="R221" s="15"/>
      <c r="S221" s="36" t="s">
        <v>1223</v>
      </c>
      <c r="T221" s="36" t="s">
        <v>1224</v>
      </c>
      <c r="U221" s="47" t="s">
        <v>311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</row>
    <row r="222" spans="1:91" ht="14.25" hidden="1" customHeight="1" x14ac:dyDescent="0.25">
      <c r="A222" s="26"/>
      <c r="B222" s="15"/>
      <c r="C222" s="15"/>
      <c r="D222" s="36" t="s">
        <v>1225</v>
      </c>
      <c r="E222" s="36">
        <v>9800515</v>
      </c>
      <c r="F222" s="36">
        <v>3117093671</v>
      </c>
      <c r="G222" s="64" t="s">
        <v>1226</v>
      </c>
      <c r="H222" s="68"/>
      <c r="I222" s="68"/>
      <c r="J222" s="15" t="s">
        <v>188</v>
      </c>
      <c r="K222" s="61">
        <v>57000</v>
      </c>
      <c r="L222" s="57" t="s">
        <v>234</v>
      </c>
      <c r="M222" s="64"/>
      <c r="N222" s="65"/>
      <c r="O222" s="66"/>
      <c r="P222" s="15" t="s">
        <v>28</v>
      </c>
      <c r="Q222" s="15" t="s">
        <v>20</v>
      </c>
      <c r="R222" s="15"/>
      <c r="S222" s="36" t="s">
        <v>1227</v>
      </c>
      <c r="T222" s="36" t="s">
        <v>1224</v>
      </c>
      <c r="U222" s="47" t="s">
        <v>311</v>
      </c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</row>
    <row r="223" spans="1:91" ht="14.25" hidden="1" customHeight="1" x14ac:dyDescent="0.25">
      <c r="A223" s="26"/>
      <c r="B223" s="15"/>
      <c r="C223" s="15"/>
      <c r="D223" s="36" t="s">
        <v>1228</v>
      </c>
      <c r="E223" s="36">
        <v>1099683722</v>
      </c>
      <c r="F223" s="36">
        <v>3103882283</v>
      </c>
      <c r="G223" s="310" t="s">
        <v>1229</v>
      </c>
      <c r="H223" s="74">
        <v>1</v>
      </c>
      <c r="I223" s="36"/>
      <c r="J223" s="14" t="s">
        <v>35</v>
      </c>
      <c r="K223" s="61">
        <v>42000</v>
      </c>
      <c r="L223" s="57" t="s">
        <v>234</v>
      </c>
      <c r="M223" s="64"/>
      <c r="N223" s="65"/>
      <c r="O223" s="66"/>
      <c r="P223" s="15" t="s">
        <v>28</v>
      </c>
      <c r="Q223" s="15" t="s">
        <v>20</v>
      </c>
      <c r="R223" s="15"/>
      <c r="S223" s="36" t="s">
        <v>1230</v>
      </c>
      <c r="T223" s="36" t="s">
        <v>217</v>
      </c>
      <c r="U223" s="53" t="s">
        <v>1231</v>
      </c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</row>
    <row r="224" spans="1:91" ht="14.25" hidden="1" customHeight="1" x14ac:dyDescent="0.25">
      <c r="A224" s="26"/>
      <c r="B224" s="15"/>
      <c r="C224" s="15"/>
      <c r="D224" s="36" t="s">
        <v>1232</v>
      </c>
      <c r="E224" s="36">
        <v>24675970</v>
      </c>
      <c r="F224" s="36">
        <v>3145776428</v>
      </c>
      <c r="G224" s="64" t="s">
        <v>1233</v>
      </c>
      <c r="H224" s="36"/>
      <c r="I224" s="36"/>
      <c r="J224" s="14" t="s">
        <v>35</v>
      </c>
      <c r="K224" s="61">
        <v>42000</v>
      </c>
      <c r="L224" s="57" t="s">
        <v>234</v>
      </c>
      <c r="M224" s="64"/>
      <c r="N224" s="65"/>
      <c r="O224" s="66"/>
      <c r="P224" s="15" t="s">
        <v>28</v>
      </c>
      <c r="Q224" s="15" t="s">
        <v>20</v>
      </c>
      <c r="R224" s="15"/>
      <c r="S224" s="36" t="s">
        <v>1234</v>
      </c>
      <c r="T224" s="36" t="s">
        <v>43</v>
      </c>
      <c r="U224" s="47" t="s">
        <v>311</v>
      </c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</row>
    <row r="225" spans="1:91" ht="14.25" hidden="1" customHeight="1" x14ac:dyDescent="0.25">
      <c r="A225" s="26"/>
      <c r="B225" s="15"/>
      <c r="C225" s="15"/>
      <c r="D225" s="36" t="s">
        <v>1235</v>
      </c>
      <c r="E225" s="36">
        <v>24673360</v>
      </c>
      <c r="F225" s="36">
        <v>3128440153</v>
      </c>
      <c r="G225" s="64" t="s">
        <v>1236</v>
      </c>
      <c r="H225" s="68"/>
      <c r="I225" s="68"/>
      <c r="J225" s="14" t="s">
        <v>35</v>
      </c>
      <c r="K225" s="61">
        <v>42000</v>
      </c>
      <c r="L225" s="57" t="s">
        <v>234</v>
      </c>
      <c r="M225" s="64"/>
      <c r="N225" s="65"/>
      <c r="O225" s="66"/>
      <c r="P225" s="15" t="s">
        <v>28</v>
      </c>
      <c r="Q225" s="15" t="s">
        <v>20</v>
      </c>
      <c r="R225" s="15"/>
      <c r="S225" s="36" t="s">
        <v>1237</v>
      </c>
      <c r="T225" s="36" t="s">
        <v>1224</v>
      </c>
      <c r="U225" s="53" t="s">
        <v>1238</v>
      </c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</row>
    <row r="226" spans="1:91" ht="14.25" hidden="1" customHeight="1" x14ac:dyDescent="0.25">
      <c r="A226" s="26"/>
      <c r="B226" s="15"/>
      <c r="C226" s="15"/>
      <c r="D226" s="36" t="s">
        <v>1239</v>
      </c>
      <c r="E226" s="36">
        <v>24675766</v>
      </c>
      <c r="F226" s="36">
        <v>3147965227</v>
      </c>
      <c r="G226" s="64" t="s">
        <v>1240</v>
      </c>
      <c r="H226" s="36"/>
      <c r="I226" s="36"/>
      <c r="J226" s="14" t="s">
        <v>35</v>
      </c>
      <c r="K226" s="61">
        <v>42000</v>
      </c>
      <c r="L226" s="57" t="s">
        <v>234</v>
      </c>
      <c r="M226" s="64"/>
      <c r="N226" s="65"/>
      <c r="O226" s="66"/>
      <c r="P226" s="15" t="s">
        <v>28</v>
      </c>
      <c r="Q226" s="15" t="s">
        <v>20</v>
      </c>
      <c r="R226" s="15"/>
      <c r="S226" s="36" t="s">
        <v>1241</v>
      </c>
      <c r="T226" s="36" t="s">
        <v>1224</v>
      </c>
      <c r="U226" s="47" t="s">
        <v>311</v>
      </c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</row>
    <row r="227" spans="1:91" ht="14.25" hidden="1" customHeight="1" x14ac:dyDescent="0.25">
      <c r="A227" s="26"/>
      <c r="B227" s="15"/>
      <c r="C227" s="15"/>
      <c r="D227" s="36" t="s">
        <v>1242</v>
      </c>
      <c r="E227" s="36">
        <v>1094932175</v>
      </c>
      <c r="F227" s="36">
        <v>3103472485</v>
      </c>
      <c r="G227" s="310" t="s">
        <v>1243</v>
      </c>
      <c r="H227" s="75">
        <v>1</v>
      </c>
      <c r="I227" s="68"/>
      <c r="J227" s="14" t="s">
        <v>54</v>
      </c>
      <c r="K227" s="61">
        <v>67000</v>
      </c>
      <c r="L227" s="57" t="s">
        <v>234</v>
      </c>
      <c r="M227" s="64"/>
      <c r="N227" s="65"/>
      <c r="O227" s="66"/>
      <c r="P227" s="15" t="s">
        <v>28</v>
      </c>
      <c r="Q227" s="15" t="s">
        <v>20</v>
      </c>
      <c r="R227" s="15"/>
      <c r="S227" s="36" t="s">
        <v>1244</v>
      </c>
      <c r="T227" s="36" t="s">
        <v>819</v>
      </c>
      <c r="U227" s="53" t="s">
        <v>1245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</row>
    <row r="228" spans="1:91" ht="14.25" hidden="1" customHeight="1" x14ac:dyDescent="0.25">
      <c r="A228" s="26"/>
      <c r="B228" s="15"/>
      <c r="C228" s="15"/>
      <c r="D228" s="36" t="s">
        <v>1246</v>
      </c>
      <c r="E228" s="36">
        <v>24673901</v>
      </c>
      <c r="F228" s="36">
        <v>3113233835</v>
      </c>
      <c r="G228" s="64" t="s">
        <v>1247</v>
      </c>
      <c r="H228" s="36"/>
      <c r="I228" s="36"/>
      <c r="J228" s="15" t="s">
        <v>188</v>
      </c>
      <c r="K228" s="61">
        <v>57000</v>
      </c>
      <c r="L228" s="57" t="s">
        <v>234</v>
      </c>
      <c r="M228" s="64"/>
      <c r="N228" s="65"/>
      <c r="O228" s="66"/>
      <c r="P228" s="15" t="s">
        <v>28</v>
      </c>
      <c r="Q228" s="15" t="s">
        <v>20</v>
      </c>
      <c r="R228" s="15"/>
      <c r="S228" s="36" t="s">
        <v>1248</v>
      </c>
      <c r="T228" s="36" t="s">
        <v>1224</v>
      </c>
      <c r="U228" s="53" t="s">
        <v>1249</v>
      </c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</row>
    <row r="229" spans="1:91" ht="14.25" hidden="1" customHeight="1" x14ac:dyDescent="0.25">
      <c r="A229" s="26"/>
      <c r="B229" s="15"/>
      <c r="C229" s="15"/>
      <c r="D229" s="36" t="s">
        <v>1250</v>
      </c>
      <c r="E229" s="36">
        <v>9004580311</v>
      </c>
      <c r="F229" s="36">
        <v>3165097528</v>
      </c>
      <c r="G229" s="64" t="s">
        <v>1251</v>
      </c>
      <c r="H229" s="36"/>
      <c r="I229" s="36" t="s">
        <v>1252</v>
      </c>
      <c r="J229" s="14" t="s">
        <v>54</v>
      </c>
      <c r="K229" s="61">
        <v>67830</v>
      </c>
      <c r="L229" s="57" t="s">
        <v>234</v>
      </c>
      <c r="M229" s="64"/>
      <c r="N229" s="65"/>
      <c r="O229" s="66"/>
      <c r="P229" s="15" t="s">
        <v>28</v>
      </c>
      <c r="Q229" s="15" t="s">
        <v>20</v>
      </c>
      <c r="R229" s="15"/>
      <c r="S229" s="36" t="s">
        <v>1253</v>
      </c>
      <c r="T229" s="36" t="s">
        <v>1224</v>
      </c>
      <c r="U229" s="47" t="s">
        <v>311</v>
      </c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</row>
    <row r="230" spans="1:91" ht="14.25" hidden="1" customHeight="1" x14ac:dyDescent="0.25">
      <c r="A230" s="26"/>
      <c r="B230" s="15"/>
      <c r="C230" s="15"/>
      <c r="D230" s="36" t="s">
        <v>1254</v>
      </c>
      <c r="E230" s="36">
        <v>85373021</v>
      </c>
      <c r="F230" s="36">
        <v>3106055761</v>
      </c>
      <c r="G230" s="310" t="s">
        <v>1255</v>
      </c>
      <c r="H230" s="74">
        <v>1</v>
      </c>
      <c r="I230" s="36"/>
      <c r="J230" s="15" t="s">
        <v>188</v>
      </c>
      <c r="K230" s="61">
        <v>57000</v>
      </c>
      <c r="L230" s="57" t="s">
        <v>234</v>
      </c>
      <c r="M230" s="64"/>
      <c r="N230" s="65"/>
      <c r="O230" s="66"/>
      <c r="P230" s="15" t="s">
        <v>28</v>
      </c>
      <c r="Q230" s="15" t="s">
        <v>20</v>
      </c>
      <c r="R230" s="15"/>
      <c r="S230" s="36" t="s">
        <v>1256</v>
      </c>
      <c r="T230" s="36" t="s">
        <v>61</v>
      </c>
      <c r="U230" s="53" t="s">
        <v>1257</v>
      </c>
      <c r="V230" s="14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</row>
    <row r="231" spans="1:91" ht="14.25" hidden="1" customHeight="1" x14ac:dyDescent="0.25">
      <c r="A231" s="26"/>
      <c r="B231" s="15"/>
      <c r="C231" s="15"/>
      <c r="D231" s="71" t="s">
        <v>1258</v>
      </c>
      <c r="E231" s="71">
        <v>1114400994</v>
      </c>
      <c r="F231" s="71" t="s">
        <v>1259</v>
      </c>
      <c r="G231" s="311" t="s">
        <v>1260</v>
      </c>
      <c r="H231" s="76">
        <v>1</v>
      </c>
      <c r="I231" s="71" t="s">
        <v>1261</v>
      </c>
      <c r="J231" s="15" t="s">
        <v>188</v>
      </c>
      <c r="K231" s="61">
        <v>57000</v>
      </c>
      <c r="L231" s="57" t="s">
        <v>234</v>
      </c>
      <c r="M231" s="72"/>
      <c r="N231" s="65"/>
      <c r="O231" s="66"/>
      <c r="P231" s="15" t="s">
        <v>28</v>
      </c>
      <c r="Q231" s="15" t="s">
        <v>20</v>
      </c>
      <c r="R231" s="15"/>
      <c r="S231" s="15" t="s">
        <v>1262</v>
      </c>
      <c r="T231" s="15" t="s">
        <v>366</v>
      </c>
      <c r="U231" s="31" t="s">
        <v>1263</v>
      </c>
      <c r="V231" s="14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</row>
    <row r="232" spans="1:91" ht="14.25" hidden="1" customHeight="1" x14ac:dyDescent="0.25">
      <c r="A232" s="26"/>
      <c r="B232" s="15"/>
      <c r="C232" s="15"/>
      <c r="D232" s="36" t="s">
        <v>1264</v>
      </c>
      <c r="E232" s="36">
        <v>24673518</v>
      </c>
      <c r="F232" s="36">
        <v>3114482102</v>
      </c>
      <c r="G232" s="310" t="s">
        <v>1265</v>
      </c>
      <c r="H232" s="75">
        <v>1</v>
      </c>
      <c r="I232" s="68"/>
      <c r="J232" s="15" t="s">
        <v>188</v>
      </c>
      <c r="K232" s="61">
        <v>57000</v>
      </c>
      <c r="L232" s="57" t="s">
        <v>234</v>
      </c>
      <c r="M232" s="64"/>
      <c r="N232" s="65"/>
      <c r="O232" s="66"/>
      <c r="P232" s="15" t="s">
        <v>28</v>
      </c>
      <c r="Q232" s="15" t="s">
        <v>20</v>
      </c>
      <c r="R232" s="15"/>
      <c r="S232" s="36" t="s">
        <v>1266</v>
      </c>
      <c r="T232" s="36" t="s">
        <v>30</v>
      </c>
      <c r="U232" s="53" t="s">
        <v>1267</v>
      </c>
      <c r="V232" s="14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</row>
    <row r="233" spans="1:91" ht="14.25" hidden="1" customHeight="1" x14ac:dyDescent="0.25">
      <c r="A233" s="26"/>
      <c r="B233" s="15"/>
      <c r="C233" s="15"/>
      <c r="D233" s="36" t="s">
        <v>1268</v>
      </c>
      <c r="E233" s="36">
        <v>18413863</v>
      </c>
      <c r="F233" s="36">
        <v>3112541194</v>
      </c>
      <c r="G233" s="310" t="s">
        <v>1269</v>
      </c>
      <c r="H233" s="74">
        <v>1</v>
      </c>
      <c r="I233" s="36"/>
      <c r="J233" s="14" t="s">
        <v>35</v>
      </c>
      <c r="K233" s="61">
        <v>42000</v>
      </c>
      <c r="L233" s="57" t="s">
        <v>234</v>
      </c>
      <c r="M233" s="64"/>
      <c r="N233" s="65"/>
      <c r="O233" s="66"/>
      <c r="P233" s="15" t="s">
        <v>28</v>
      </c>
      <c r="Q233" s="15" t="s">
        <v>20</v>
      </c>
      <c r="R233" s="15"/>
      <c r="S233" s="36" t="s">
        <v>1270</v>
      </c>
      <c r="T233" s="36" t="s">
        <v>1271</v>
      </c>
      <c r="U233" s="47" t="s">
        <v>311</v>
      </c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</row>
    <row r="234" spans="1:91" ht="14.25" hidden="1" customHeight="1" x14ac:dyDescent="0.25">
      <c r="A234" s="26"/>
      <c r="B234" s="15"/>
      <c r="C234" s="15"/>
      <c r="D234" s="36" t="s">
        <v>1272</v>
      </c>
      <c r="E234" s="36">
        <v>1099683825</v>
      </c>
      <c r="F234" s="36">
        <v>3226602551</v>
      </c>
      <c r="G234" s="64" t="s">
        <v>1273</v>
      </c>
      <c r="H234" s="68"/>
      <c r="I234" s="68" t="s">
        <v>1274</v>
      </c>
      <c r="J234" s="15" t="s">
        <v>188</v>
      </c>
      <c r="K234" s="61">
        <v>57000</v>
      </c>
      <c r="L234" s="57" t="s">
        <v>234</v>
      </c>
      <c r="M234" s="64"/>
      <c r="N234" s="65"/>
      <c r="O234" s="66"/>
      <c r="P234" s="15" t="s">
        <v>28</v>
      </c>
      <c r="Q234" s="15" t="s">
        <v>20</v>
      </c>
      <c r="R234" s="15"/>
      <c r="S234" s="36" t="s">
        <v>1275</v>
      </c>
      <c r="T234" s="36" t="s">
        <v>30</v>
      </c>
      <c r="U234" s="53" t="s">
        <v>1276</v>
      </c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</row>
    <row r="235" spans="1:91" ht="14.25" hidden="1" customHeight="1" x14ac:dyDescent="0.25">
      <c r="A235" s="26"/>
      <c r="B235" s="15"/>
      <c r="C235" s="15"/>
      <c r="D235" s="36" t="s">
        <v>1277</v>
      </c>
      <c r="E235" s="36">
        <v>9800107</v>
      </c>
      <c r="F235" s="36">
        <v>3106823975</v>
      </c>
      <c r="G235" s="64" t="s">
        <v>1278</v>
      </c>
      <c r="H235" s="36"/>
      <c r="I235" s="36"/>
      <c r="J235" s="15" t="s">
        <v>188</v>
      </c>
      <c r="K235" s="61">
        <v>57000</v>
      </c>
      <c r="L235" s="57" t="s">
        <v>234</v>
      </c>
      <c r="M235" s="64"/>
      <c r="N235" s="65"/>
      <c r="O235" s="66"/>
      <c r="P235" s="15" t="s">
        <v>28</v>
      </c>
      <c r="Q235" s="15" t="s">
        <v>20</v>
      </c>
      <c r="R235" s="15"/>
      <c r="S235" s="36" t="s">
        <v>1244</v>
      </c>
      <c r="T235" s="36" t="s">
        <v>36</v>
      </c>
      <c r="U235" s="47" t="s">
        <v>311</v>
      </c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</row>
    <row r="236" spans="1:91" ht="14.25" hidden="1" customHeight="1" x14ac:dyDescent="0.25">
      <c r="A236" s="26"/>
      <c r="B236" s="15"/>
      <c r="C236" s="15"/>
      <c r="D236" s="36" t="s">
        <v>1279</v>
      </c>
      <c r="E236" s="36">
        <v>9801948</v>
      </c>
      <c r="F236" s="36">
        <v>3135700776</v>
      </c>
      <c r="G236" s="64" t="s">
        <v>1280</v>
      </c>
      <c r="H236" s="36"/>
      <c r="I236" s="36"/>
      <c r="J236" s="15" t="s">
        <v>188</v>
      </c>
      <c r="K236" s="61">
        <v>57000</v>
      </c>
      <c r="L236" s="57" t="s">
        <v>234</v>
      </c>
      <c r="M236" s="64"/>
      <c r="N236" s="65"/>
      <c r="O236" s="66"/>
      <c r="P236" s="15" t="s">
        <v>28</v>
      </c>
      <c r="Q236" s="15" t="s">
        <v>20</v>
      </c>
      <c r="R236" s="15"/>
      <c r="S236" s="36" t="s">
        <v>1281</v>
      </c>
      <c r="T236" s="36" t="s">
        <v>949</v>
      </c>
      <c r="U236" s="53" t="s">
        <v>1282</v>
      </c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</row>
    <row r="237" spans="1:91" ht="14.25" hidden="1" customHeight="1" x14ac:dyDescent="0.25">
      <c r="A237" s="26"/>
      <c r="B237" s="15"/>
      <c r="C237" s="15"/>
      <c r="D237" s="36" t="s">
        <v>1283</v>
      </c>
      <c r="E237" s="36">
        <v>24674353</v>
      </c>
      <c r="F237" s="36" t="s">
        <v>1284</v>
      </c>
      <c r="G237" s="310" t="s">
        <v>1285</v>
      </c>
      <c r="H237" s="75">
        <v>1</v>
      </c>
      <c r="I237" s="68" t="s">
        <v>1286</v>
      </c>
      <c r="J237" s="14" t="s">
        <v>35</v>
      </c>
      <c r="K237" s="61">
        <v>42000</v>
      </c>
      <c r="L237" s="57" t="s">
        <v>234</v>
      </c>
      <c r="M237" s="36"/>
      <c r="N237" s="61"/>
      <c r="O237" s="66"/>
      <c r="P237" s="15" t="s">
        <v>28</v>
      </c>
      <c r="Q237" s="15" t="s">
        <v>20</v>
      </c>
      <c r="R237" s="15"/>
      <c r="S237" s="36" t="s">
        <v>1287</v>
      </c>
      <c r="T237" s="36" t="s">
        <v>30</v>
      </c>
      <c r="U237" s="47" t="s">
        <v>311</v>
      </c>
      <c r="V237" s="14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</row>
    <row r="238" spans="1:91" ht="14.25" hidden="1" customHeight="1" x14ac:dyDescent="0.25">
      <c r="A238" s="26"/>
      <c r="B238" s="15"/>
      <c r="C238" s="15"/>
      <c r="D238" s="36" t="s">
        <v>1288</v>
      </c>
      <c r="E238" s="36">
        <v>15528038</v>
      </c>
      <c r="F238" s="36">
        <v>3215758526</v>
      </c>
      <c r="G238" s="310" t="s">
        <v>1289</v>
      </c>
      <c r="H238" s="74">
        <v>1</v>
      </c>
      <c r="I238" s="36" t="s">
        <v>1290</v>
      </c>
      <c r="J238" s="64" t="s">
        <v>5480</v>
      </c>
      <c r="K238" s="61">
        <v>82000</v>
      </c>
      <c r="L238" s="57" t="s">
        <v>234</v>
      </c>
      <c r="M238" s="64"/>
      <c r="N238" s="65"/>
      <c r="O238" s="66"/>
      <c r="P238" s="15" t="s">
        <v>28</v>
      </c>
      <c r="Q238" s="15" t="s">
        <v>20</v>
      </c>
      <c r="R238" s="15"/>
      <c r="S238" s="36" t="s">
        <v>1291</v>
      </c>
      <c r="T238" s="36" t="s">
        <v>30</v>
      </c>
      <c r="U238" s="53" t="s">
        <v>1292</v>
      </c>
      <c r="V238" s="14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</row>
    <row r="239" spans="1:91" ht="14.25" hidden="1" customHeight="1" x14ac:dyDescent="0.25">
      <c r="A239" s="26"/>
      <c r="B239" s="15"/>
      <c r="C239" s="15"/>
      <c r="D239" s="36" t="s">
        <v>1293</v>
      </c>
      <c r="E239" s="36">
        <v>1099682140</v>
      </c>
      <c r="F239" s="36">
        <v>3146146233</v>
      </c>
      <c r="G239" s="64" t="s">
        <v>1294</v>
      </c>
      <c r="H239" s="36"/>
      <c r="I239" s="36"/>
      <c r="J239" s="14" t="s">
        <v>35</v>
      </c>
      <c r="K239" s="61">
        <v>42000</v>
      </c>
      <c r="L239" s="57" t="s">
        <v>234</v>
      </c>
      <c r="M239" s="64"/>
      <c r="N239" s="65"/>
      <c r="O239" s="66"/>
      <c r="P239" s="15" t="s">
        <v>28</v>
      </c>
      <c r="Q239" s="15" t="s">
        <v>20</v>
      </c>
      <c r="R239" s="15"/>
      <c r="S239" s="36" t="s">
        <v>1295</v>
      </c>
      <c r="T239" s="36" t="s">
        <v>1271</v>
      </c>
      <c r="U239" s="53" t="s">
        <v>1296</v>
      </c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</row>
    <row r="240" spans="1:91" ht="14.25" hidden="1" customHeight="1" x14ac:dyDescent="0.25">
      <c r="A240" s="26"/>
      <c r="B240" s="15"/>
      <c r="C240" s="15"/>
      <c r="D240" s="36" t="s">
        <v>1297</v>
      </c>
      <c r="E240" s="36">
        <v>24674100</v>
      </c>
      <c r="F240" s="36"/>
      <c r="G240" s="310" t="s">
        <v>1298</v>
      </c>
      <c r="H240" s="75">
        <v>1</v>
      </c>
      <c r="I240" s="68"/>
      <c r="J240" s="15" t="s">
        <v>188</v>
      </c>
      <c r="K240" s="61">
        <v>57000</v>
      </c>
      <c r="L240" s="57" t="s">
        <v>234</v>
      </c>
      <c r="M240" s="64"/>
      <c r="N240" s="65"/>
      <c r="O240" s="66"/>
      <c r="P240" s="15" t="s">
        <v>28</v>
      </c>
      <c r="Q240" s="15" t="s">
        <v>20</v>
      </c>
      <c r="R240" s="15"/>
      <c r="S240" s="36" t="s">
        <v>1299</v>
      </c>
      <c r="T240" s="36" t="s">
        <v>126</v>
      </c>
      <c r="U240" s="53" t="s">
        <v>1300</v>
      </c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</row>
    <row r="241" spans="1:91" ht="14.25" hidden="1" customHeight="1" x14ac:dyDescent="0.25">
      <c r="A241" s="26"/>
      <c r="B241" s="15"/>
      <c r="C241" s="15"/>
      <c r="D241" s="36" t="s">
        <v>1301</v>
      </c>
      <c r="E241" s="36">
        <v>24675575</v>
      </c>
      <c r="F241" s="36">
        <v>3104506489</v>
      </c>
      <c r="G241" s="301" t="s">
        <v>1302</v>
      </c>
      <c r="H241" s="36"/>
      <c r="I241" s="36"/>
      <c r="J241" s="15" t="s">
        <v>188</v>
      </c>
      <c r="K241" s="61">
        <v>57000</v>
      </c>
      <c r="L241" s="57" t="s">
        <v>234</v>
      </c>
      <c r="M241" s="64"/>
      <c r="N241" s="65"/>
      <c r="O241" s="66"/>
      <c r="P241" s="15" t="s">
        <v>28</v>
      </c>
      <c r="Q241" s="15" t="s">
        <v>20</v>
      </c>
      <c r="R241" s="15"/>
      <c r="S241" s="36" t="s">
        <v>1303</v>
      </c>
      <c r="T241" s="36" t="s">
        <v>1304</v>
      </c>
      <c r="U241" s="53" t="s">
        <v>1305</v>
      </c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</row>
    <row r="242" spans="1:91" ht="14.25" hidden="1" customHeight="1" x14ac:dyDescent="0.25">
      <c r="A242" s="26"/>
      <c r="B242" s="15"/>
      <c r="C242" s="15"/>
      <c r="D242" s="36" t="s">
        <v>1306</v>
      </c>
      <c r="E242" s="36">
        <v>24675314</v>
      </c>
      <c r="F242" s="36">
        <v>3206161541</v>
      </c>
      <c r="G242" s="64" t="s">
        <v>1307</v>
      </c>
      <c r="H242" s="36"/>
      <c r="I242" s="36" t="s">
        <v>1308</v>
      </c>
      <c r="J242" s="15" t="s">
        <v>188</v>
      </c>
      <c r="K242" s="61">
        <v>57000</v>
      </c>
      <c r="L242" s="57" t="s">
        <v>234</v>
      </c>
      <c r="M242" s="64"/>
      <c r="N242" s="65"/>
      <c r="O242" s="66"/>
      <c r="P242" s="15" t="s">
        <v>28</v>
      </c>
      <c r="Q242" s="15" t="s">
        <v>20</v>
      </c>
      <c r="R242" s="15"/>
      <c r="S242" s="36" t="s">
        <v>1309</v>
      </c>
      <c r="T242" s="36" t="s">
        <v>1271</v>
      </c>
      <c r="U242" s="53" t="s">
        <v>1310</v>
      </c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</row>
    <row r="243" spans="1:91" ht="14.25" hidden="1" customHeight="1" x14ac:dyDescent="0.25">
      <c r="A243" s="26"/>
      <c r="B243" s="15"/>
      <c r="C243" s="15"/>
      <c r="D243" s="36" t="s">
        <v>1311</v>
      </c>
      <c r="E243" s="36">
        <v>1007295688</v>
      </c>
      <c r="F243" s="36">
        <v>3145196437</v>
      </c>
      <c r="G243" s="64" t="s">
        <v>324</v>
      </c>
      <c r="H243" s="36"/>
      <c r="I243" s="36" t="s">
        <v>1312</v>
      </c>
      <c r="J243" s="36" t="s">
        <v>1313</v>
      </c>
      <c r="K243" s="61" t="s">
        <v>567</v>
      </c>
      <c r="L243" s="57" t="s">
        <v>234</v>
      </c>
      <c r="M243" s="64"/>
      <c r="N243" s="61"/>
      <c r="O243" s="66"/>
      <c r="P243" s="15" t="s">
        <v>567</v>
      </c>
      <c r="Q243" s="15" t="s">
        <v>20</v>
      </c>
      <c r="R243" s="15"/>
      <c r="S243" s="36" t="s">
        <v>1314</v>
      </c>
      <c r="T243" s="36" t="s">
        <v>126</v>
      </c>
      <c r="U243" s="53" t="s">
        <v>1315</v>
      </c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</row>
    <row r="244" spans="1:91" ht="14.25" hidden="1" customHeight="1" x14ac:dyDescent="0.25">
      <c r="A244" s="26"/>
      <c r="B244" s="15"/>
      <c r="C244" s="15"/>
      <c r="D244" s="36" t="s">
        <v>1316</v>
      </c>
      <c r="E244" s="36">
        <v>1005367628</v>
      </c>
      <c r="F244" s="36" t="s">
        <v>1317</v>
      </c>
      <c r="G244" s="301" t="s">
        <v>1318</v>
      </c>
      <c r="H244" s="36"/>
      <c r="I244" s="36" t="s">
        <v>1319</v>
      </c>
      <c r="J244" s="15" t="s">
        <v>188</v>
      </c>
      <c r="K244" s="61">
        <v>57000</v>
      </c>
      <c r="L244" s="57" t="s">
        <v>234</v>
      </c>
      <c r="M244" s="64"/>
      <c r="N244" s="65"/>
      <c r="O244" s="66"/>
      <c r="P244" s="15" t="s">
        <v>28</v>
      </c>
      <c r="Q244" s="15" t="s">
        <v>20</v>
      </c>
      <c r="R244" s="15"/>
      <c r="S244" s="15" t="s">
        <v>1320</v>
      </c>
      <c r="T244" s="15" t="s">
        <v>1321</v>
      </c>
      <c r="U244" s="31" t="s">
        <v>1322</v>
      </c>
      <c r="V244" s="14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</row>
    <row r="245" spans="1:91" ht="14.25" hidden="1" customHeight="1" x14ac:dyDescent="0.25">
      <c r="A245" s="26"/>
      <c r="B245" s="15"/>
      <c r="C245" s="15"/>
      <c r="D245" s="36" t="s">
        <v>1323</v>
      </c>
      <c r="E245" s="36">
        <v>24675472</v>
      </c>
      <c r="F245" s="36">
        <v>3136685993</v>
      </c>
      <c r="G245" s="310" t="s">
        <v>1324</v>
      </c>
      <c r="H245" s="74">
        <v>1</v>
      </c>
      <c r="I245" s="36">
        <v>92</v>
      </c>
      <c r="J245" s="14" t="s">
        <v>54</v>
      </c>
      <c r="K245" s="61">
        <v>67000</v>
      </c>
      <c r="L245" s="57" t="s">
        <v>234</v>
      </c>
      <c r="M245" s="64"/>
      <c r="N245" s="65"/>
      <c r="O245" s="66"/>
      <c r="P245" s="15" t="s">
        <v>28</v>
      </c>
      <c r="Q245" s="15" t="s">
        <v>20</v>
      </c>
      <c r="R245" s="15"/>
      <c r="S245" s="36" t="s">
        <v>1325</v>
      </c>
      <c r="T245" s="36" t="s">
        <v>1326</v>
      </c>
      <c r="U245" s="53" t="s">
        <v>1327</v>
      </c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</row>
    <row r="246" spans="1:91" ht="14.25" hidden="1" customHeight="1" x14ac:dyDescent="0.25">
      <c r="A246" s="26"/>
      <c r="B246" s="15"/>
      <c r="C246" s="15"/>
      <c r="D246" s="36" t="s">
        <v>1328</v>
      </c>
      <c r="E246" s="77">
        <v>1098684419</v>
      </c>
      <c r="F246" s="36">
        <v>3137856373</v>
      </c>
      <c r="G246" s="64" t="s">
        <v>1329</v>
      </c>
      <c r="H246" s="36"/>
      <c r="I246" s="36" t="s">
        <v>1330</v>
      </c>
      <c r="J246" s="14" t="s">
        <v>35</v>
      </c>
      <c r="K246" s="61">
        <v>42000</v>
      </c>
      <c r="L246" s="57" t="s">
        <v>234</v>
      </c>
      <c r="M246" s="64"/>
      <c r="N246" s="65"/>
      <c r="O246" s="66"/>
      <c r="P246" s="15" t="s">
        <v>28</v>
      </c>
      <c r="Q246" s="15" t="s">
        <v>20</v>
      </c>
      <c r="R246" s="15"/>
      <c r="S246" s="36" t="s">
        <v>1331</v>
      </c>
      <c r="T246" s="36" t="s">
        <v>1271</v>
      </c>
      <c r="U246" s="63" t="s">
        <v>1332</v>
      </c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</row>
    <row r="247" spans="1:91" ht="14.25" hidden="1" customHeight="1" x14ac:dyDescent="0.25">
      <c r="A247" s="26"/>
      <c r="B247" s="15"/>
      <c r="C247" s="15"/>
      <c r="D247" s="36" t="s">
        <v>1333</v>
      </c>
      <c r="E247" s="77">
        <v>67008337</v>
      </c>
      <c r="F247" s="36" t="s">
        <v>1334</v>
      </c>
      <c r="G247" s="310" t="s">
        <v>1335</v>
      </c>
      <c r="H247" s="74">
        <v>1</v>
      </c>
      <c r="I247" s="36" t="s">
        <v>1336</v>
      </c>
      <c r="J247" s="14" t="s">
        <v>35</v>
      </c>
      <c r="K247" s="61">
        <v>42000</v>
      </c>
      <c r="L247" s="57" t="s">
        <v>234</v>
      </c>
      <c r="M247" s="64"/>
      <c r="N247" s="65"/>
      <c r="O247" s="66"/>
      <c r="P247" s="15" t="s">
        <v>28</v>
      </c>
      <c r="Q247" s="15" t="s">
        <v>20</v>
      </c>
      <c r="R247" s="15"/>
      <c r="S247" s="15" t="s">
        <v>1337</v>
      </c>
      <c r="T247" s="15" t="s">
        <v>107</v>
      </c>
      <c r="U247" s="79" t="s">
        <v>1338</v>
      </c>
      <c r="V247" s="14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</row>
    <row r="248" spans="1:91" ht="14.25" hidden="1" customHeight="1" x14ac:dyDescent="0.25">
      <c r="A248" s="26"/>
      <c r="B248" s="15"/>
      <c r="C248" s="15"/>
      <c r="D248" s="15" t="s">
        <v>1339</v>
      </c>
      <c r="E248" s="17">
        <v>9801427</v>
      </c>
      <c r="F248" s="17" t="s">
        <v>1340</v>
      </c>
      <c r="G248" s="309" t="s">
        <v>1341</v>
      </c>
      <c r="H248" s="34">
        <v>1</v>
      </c>
      <c r="I248" s="15" t="s">
        <v>1342</v>
      </c>
      <c r="J248" s="14" t="s">
        <v>35</v>
      </c>
      <c r="K248" s="27">
        <v>42000</v>
      </c>
      <c r="L248" s="57" t="s">
        <v>234</v>
      </c>
      <c r="M248" s="28"/>
      <c r="N248" s="29"/>
      <c r="O248" s="30"/>
      <c r="P248" s="15" t="s">
        <v>28</v>
      </c>
      <c r="Q248" s="15" t="s">
        <v>20</v>
      </c>
      <c r="R248" s="15"/>
      <c r="S248" s="15" t="s">
        <v>1343</v>
      </c>
      <c r="T248" s="15" t="s">
        <v>61</v>
      </c>
      <c r="U248" s="31" t="s">
        <v>1344</v>
      </c>
      <c r="V248" s="14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</row>
    <row r="249" spans="1:91" ht="14.25" hidden="1" customHeight="1" x14ac:dyDescent="0.25">
      <c r="A249" s="26"/>
      <c r="B249" s="15"/>
      <c r="C249" s="15"/>
      <c r="D249" s="36" t="s">
        <v>1345</v>
      </c>
      <c r="E249" s="36">
        <v>24673598</v>
      </c>
      <c r="F249" s="36">
        <v>3142932653</v>
      </c>
      <c r="G249" s="64" t="s">
        <v>1346</v>
      </c>
      <c r="H249" s="36"/>
      <c r="I249" s="36"/>
      <c r="J249" s="14" t="s">
        <v>35</v>
      </c>
      <c r="K249" s="61">
        <v>42000</v>
      </c>
      <c r="L249" s="57" t="s">
        <v>234</v>
      </c>
      <c r="M249" s="64"/>
      <c r="N249" s="65"/>
      <c r="O249" s="66"/>
      <c r="P249" s="15" t="s">
        <v>28</v>
      </c>
      <c r="Q249" s="15" t="s">
        <v>20</v>
      </c>
      <c r="R249" s="15"/>
      <c r="S249" s="36" t="s">
        <v>1347</v>
      </c>
      <c r="T249" s="36" t="s">
        <v>126</v>
      </c>
      <c r="U249" s="53" t="s">
        <v>1348</v>
      </c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</row>
    <row r="250" spans="1:91" ht="14.25" hidden="1" customHeight="1" x14ac:dyDescent="0.25">
      <c r="A250" s="26"/>
      <c r="B250" s="15"/>
      <c r="C250" s="15"/>
      <c r="D250" s="36" t="s">
        <v>1353</v>
      </c>
      <c r="E250" s="36">
        <v>29135735</v>
      </c>
      <c r="F250" s="36">
        <v>3128303542</v>
      </c>
      <c r="G250" s="64" t="s">
        <v>1354</v>
      </c>
      <c r="H250" s="68"/>
      <c r="I250" s="68"/>
      <c r="J250" s="14" t="s">
        <v>35</v>
      </c>
      <c r="K250" s="61">
        <v>42000</v>
      </c>
      <c r="L250" s="57" t="s">
        <v>234</v>
      </c>
      <c r="M250" s="64"/>
      <c r="N250" s="65"/>
      <c r="O250" s="66"/>
      <c r="P250" s="15" t="s">
        <v>28</v>
      </c>
      <c r="Q250" s="15" t="s">
        <v>20</v>
      </c>
      <c r="R250" s="15"/>
      <c r="S250" s="36" t="s">
        <v>1355</v>
      </c>
      <c r="T250" s="36" t="s">
        <v>497</v>
      </c>
      <c r="U250" s="53" t="s">
        <v>1356</v>
      </c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</row>
    <row r="251" spans="1:91" ht="14.25" hidden="1" customHeight="1" x14ac:dyDescent="0.25">
      <c r="A251" s="26"/>
      <c r="B251" s="15"/>
      <c r="C251" s="15"/>
      <c r="D251" s="36" t="s">
        <v>1357</v>
      </c>
      <c r="E251" s="36">
        <v>1099683794</v>
      </c>
      <c r="F251" s="36">
        <v>3127439561</v>
      </c>
      <c r="G251" s="301" t="s">
        <v>1358</v>
      </c>
      <c r="H251" s="36"/>
      <c r="I251" s="36" t="s">
        <v>1359</v>
      </c>
      <c r="J251" s="14" t="s">
        <v>35</v>
      </c>
      <c r="K251" s="61">
        <v>42000</v>
      </c>
      <c r="L251" s="57" t="s">
        <v>234</v>
      </c>
      <c r="M251" s="64"/>
      <c r="N251" s="65"/>
      <c r="O251" s="66"/>
      <c r="P251" s="15" t="s">
        <v>28</v>
      </c>
      <c r="Q251" s="15" t="s">
        <v>20</v>
      </c>
      <c r="R251" s="15"/>
      <c r="S251" s="80" t="s">
        <v>1360</v>
      </c>
      <c r="T251" s="36" t="s">
        <v>1361</v>
      </c>
      <c r="U251" s="47" t="s">
        <v>311</v>
      </c>
      <c r="V251" s="14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</row>
    <row r="252" spans="1:91" ht="14.25" hidden="1" customHeight="1" x14ac:dyDescent="0.25">
      <c r="A252" s="26"/>
      <c r="B252" s="15"/>
      <c r="C252" s="15"/>
      <c r="D252" s="36" t="s">
        <v>1362</v>
      </c>
      <c r="E252" s="36">
        <v>24807824</v>
      </c>
      <c r="F252" s="36" t="s">
        <v>1363</v>
      </c>
      <c r="G252" s="64" t="s">
        <v>1364</v>
      </c>
      <c r="H252" s="36"/>
      <c r="I252" s="36"/>
      <c r="J252" s="14" t="s">
        <v>35</v>
      </c>
      <c r="K252" s="61">
        <v>42000</v>
      </c>
      <c r="L252" s="57" t="s">
        <v>234</v>
      </c>
      <c r="M252" s="36"/>
      <c r="N252" s="61"/>
      <c r="O252" s="66"/>
      <c r="P252" s="15" t="s">
        <v>28</v>
      </c>
      <c r="Q252" s="15" t="s">
        <v>20</v>
      </c>
      <c r="R252" s="15"/>
      <c r="S252" s="36" t="s">
        <v>1365</v>
      </c>
      <c r="T252" s="36" t="s">
        <v>1321</v>
      </c>
      <c r="U252" s="53" t="s">
        <v>1366</v>
      </c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</row>
    <row r="253" spans="1:91" ht="14.25" hidden="1" customHeight="1" x14ac:dyDescent="0.25">
      <c r="A253" s="26"/>
      <c r="B253" s="15"/>
      <c r="C253" s="15"/>
      <c r="D253" s="36" t="s">
        <v>1367</v>
      </c>
      <c r="E253" s="36">
        <v>6210265</v>
      </c>
      <c r="F253" s="36">
        <v>3106212801</v>
      </c>
      <c r="G253" s="301" t="s">
        <v>1368</v>
      </c>
      <c r="H253" s="36"/>
      <c r="I253" s="36"/>
      <c r="J253" s="15" t="s">
        <v>188</v>
      </c>
      <c r="K253" s="61">
        <v>57000</v>
      </c>
      <c r="L253" s="57" t="s">
        <v>234</v>
      </c>
      <c r="M253" s="64"/>
      <c r="N253" s="65"/>
      <c r="O253" s="66"/>
      <c r="P253" s="15" t="s">
        <v>28</v>
      </c>
      <c r="Q253" s="15" t="s">
        <v>20</v>
      </c>
      <c r="R253" s="15"/>
      <c r="S253" s="36" t="s">
        <v>1369</v>
      </c>
      <c r="T253" s="36"/>
      <c r="U253" s="47" t="s">
        <v>311</v>
      </c>
      <c r="V253" s="14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</row>
    <row r="254" spans="1:91" ht="14.25" hidden="1" customHeight="1" x14ac:dyDescent="0.25">
      <c r="A254" s="26"/>
      <c r="B254" s="15"/>
      <c r="C254" s="15"/>
      <c r="D254" s="36" t="s">
        <v>1370</v>
      </c>
      <c r="E254" s="36">
        <v>1007371776</v>
      </c>
      <c r="F254" s="36">
        <v>3135767786</v>
      </c>
      <c r="G254" s="310" t="s">
        <v>1371</v>
      </c>
      <c r="H254" s="75">
        <v>1</v>
      </c>
      <c r="I254" s="68" t="s">
        <v>1372</v>
      </c>
      <c r="J254" s="15" t="s">
        <v>188</v>
      </c>
      <c r="K254" s="61">
        <v>57000</v>
      </c>
      <c r="L254" s="57" t="s">
        <v>234</v>
      </c>
      <c r="M254" s="64"/>
      <c r="N254" s="65"/>
      <c r="O254" s="66"/>
      <c r="P254" s="15" t="s">
        <v>28</v>
      </c>
      <c r="Q254" s="15" t="s">
        <v>20</v>
      </c>
      <c r="R254" s="15"/>
      <c r="S254" s="36" t="s">
        <v>1373</v>
      </c>
      <c r="T254" s="36" t="s">
        <v>224</v>
      </c>
      <c r="U254" s="53" t="s">
        <v>1374</v>
      </c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</row>
    <row r="255" spans="1:91" ht="14.25" hidden="1" customHeight="1" x14ac:dyDescent="0.25">
      <c r="A255" s="26"/>
      <c r="B255" s="15"/>
      <c r="C255" s="15"/>
      <c r="D255" s="36" t="s">
        <v>1375</v>
      </c>
      <c r="E255" s="36">
        <v>1099683074</v>
      </c>
      <c r="F255" s="36">
        <v>3186286052</v>
      </c>
      <c r="G255" s="64" t="s">
        <v>1376</v>
      </c>
      <c r="H255" s="68"/>
      <c r="I255" s="68"/>
      <c r="J255" s="15" t="s">
        <v>188</v>
      </c>
      <c r="K255" s="61">
        <v>57000</v>
      </c>
      <c r="L255" s="57" t="s">
        <v>234</v>
      </c>
      <c r="M255" s="64"/>
      <c r="N255" s="65"/>
      <c r="O255" s="66"/>
      <c r="P255" s="15" t="s">
        <v>28</v>
      </c>
      <c r="Q255" s="15" t="s">
        <v>20</v>
      </c>
      <c r="R255" s="15"/>
      <c r="S255" s="36" t="s">
        <v>1377</v>
      </c>
      <c r="T255" s="36" t="s">
        <v>30</v>
      </c>
      <c r="U255" s="47" t="s">
        <v>311</v>
      </c>
      <c r="V255" s="14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</row>
    <row r="256" spans="1:91" ht="14.25" hidden="1" customHeight="1" x14ac:dyDescent="0.25">
      <c r="A256" s="26"/>
      <c r="B256" s="15"/>
      <c r="C256" s="15"/>
      <c r="D256" s="36" t="s">
        <v>1378</v>
      </c>
      <c r="E256" s="36">
        <v>1099683384</v>
      </c>
      <c r="F256" s="36">
        <v>3104385658</v>
      </c>
      <c r="G256" s="64" t="s">
        <v>1379</v>
      </c>
      <c r="H256" s="68"/>
      <c r="I256" s="68">
        <v>151</v>
      </c>
      <c r="J256" s="15" t="s">
        <v>188</v>
      </c>
      <c r="K256" s="61">
        <v>57000</v>
      </c>
      <c r="L256" s="57" t="s">
        <v>234</v>
      </c>
      <c r="M256" s="64"/>
      <c r="N256" s="65"/>
      <c r="O256" s="66"/>
      <c r="P256" s="15" t="s">
        <v>28</v>
      </c>
      <c r="Q256" s="15" t="s">
        <v>20</v>
      </c>
      <c r="R256" s="15"/>
      <c r="S256" s="36" t="s">
        <v>1291</v>
      </c>
      <c r="T256" s="36" t="s">
        <v>30</v>
      </c>
      <c r="U256" s="53" t="s">
        <v>1380</v>
      </c>
      <c r="V256" s="14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</row>
    <row r="257" spans="1:91" ht="14.25" hidden="1" customHeight="1" x14ac:dyDescent="0.25">
      <c r="A257" s="26"/>
      <c r="B257" s="15"/>
      <c r="C257" s="15"/>
      <c r="D257" s="36" t="s">
        <v>1381</v>
      </c>
      <c r="E257" s="36">
        <v>1099682158</v>
      </c>
      <c r="F257" s="36">
        <v>3183014316</v>
      </c>
      <c r="G257" s="301" t="s">
        <v>1382</v>
      </c>
      <c r="H257" s="36"/>
      <c r="I257" s="36">
        <v>72</v>
      </c>
      <c r="J257" s="14" t="s">
        <v>35</v>
      </c>
      <c r="K257" s="61">
        <v>42000</v>
      </c>
      <c r="L257" s="57" t="s">
        <v>234</v>
      </c>
      <c r="M257" s="64"/>
      <c r="N257" s="65"/>
      <c r="O257" s="66"/>
      <c r="P257" s="15" t="s">
        <v>28</v>
      </c>
      <c r="Q257" s="15" t="s">
        <v>20</v>
      </c>
      <c r="R257" s="15"/>
      <c r="S257" s="36" t="s">
        <v>1383</v>
      </c>
      <c r="T257" s="36" t="s">
        <v>30</v>
      </c>
      <c r="U257" s="53" t="s">
        <v>1384</v>
      </c>
      <c r="V257" s="14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</row>
    <row r="258" spans="1:91" ht="14.25" hidden="1" customHeight="1" x14ac:dyDescent="0.25">
      <c r="A258" s="26"/>
      <c r="B258" s="15"/>
      <c r="C258" s="15"/>
      <c r="D258" s="36" t="s">
        <v>1385</v>
      </c>
      <c r="E258" s="36">
        <v>1097721536</v>
      </c>
      <c r="F258" s="36">
        <v>3146019951</v>
      </c>
      <c r="G258" s="310" t="s">
        <v>1386</v>
      </c>
      <c r="H258" s="74">
        <v>1</v>
      </c>
      <c r="I258" s="36" t="s">
        <v>1387</v>
      </c>
      <c r="J258" s="14" t="s">
        <v>35</v>
      </c>
      <c r="K258" s="61">
        <v>42000</v>
      </c>
      <c r="L258" s="57" t="s">
        <v>234</v>
      </c>
      <c r="M258" s="64"/>
      <c r="N258" s="65"/>
      <c r="O258" s="66"/>
      <c r="P258" s="15" t="s">
        <v>28</v>
      </c>
      <c r="Q258" s="15" t="s">
        <v>20</v>
      </c>
      <c r="R258" s="15"/>
      <c r="S258" s="15" t="s">
        <v>1388</v>
      </c>
      <c r="T258" s="15" t="s">
        <v>267</v>
      </c>
      <c r="U258" s="79" t="s">
        <v>1389</v>
      </c>
      <c r="V258" s="14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</row>
    <row r="259" spans="1:91" ht="14.25" hidden="1" customHeight="1" x14ac:dyDescent="0.25">
      <c r="A259" s="26"/>
      <c r="B259" s="15"/>
      <c r="C259" s="15"/>
      <c r="D259" s="15" t="s">
        <v>1390</v>
      </c>
      <c r="E259" s="17">
        <v>1004158855</v>
      </c>
      <c r="F259" s="17" t="s">
        <v>1391</v>
      </c>
      <c r="G259" s="309" t="s">
        <v>1392</v>
      </c>
      <c r="H259" s="34">
        <v>1</v>
      </c>
      <c r="I259" s="15" t="s">
        <v>1393</v>
      </c>
      <c r="J259" s="14" t="s">
        <v>35</v>
      </c>
      <c r="K259" s="27">
        <v>42000</v>
      </c>
      <c r="L259" s="57" t="s">
        <v>234</v>
      </c>
      <c r="M259" s="28"/>
      <c r="N259" s="29"/>
      <c r="O259" s="30"/>
      <c r="P259" s="15" t="s">
        <v>28</v>
      </c>
      <c r="Q259" s="15" t="s">
        <v>20</v>
      </c>
      <c r="R259" s="15"/>
      <c r="S259" s="15" t="s">
        <v>1394</v>
      </c>
      <c r="T259" s="15" t="s">
        <v>716</v>
      </c>
      <c r="U259" s="31" t="s">
        <v>1395</v>
      </c>
      <c r="V259" s="14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</row>
    <row r="260" spans="1:91" ht="14.25" hidden="1" customHeight="1" x14ac:dyDescent="0.25">
      <c r="A260" s="26"/>
      <c r="B260" s="15"/>
      <c r="C260" s="15"/>
      <c r="D260" s="36" t="s">
        <v>1396</v>
      </c>
      <c r="E260" s="36">
        <v>24675416</v>
      </c>
      <c r="F260" s="36">
        <v>3147637057</v>
      </c>
      <c r="G260" s="301" t="s">
        <v>1397</v>
      </c>
      <c r="H260" s="36"/>
      <c r="I260" s="36"/>
      <c r="J260" s="14" t="s">
        <v>35</v>
      </c>
      <c r="K260" s="61">
        <v>42000</v>
      </c>
      <c r="L260" s="57" t="s">
        <v>234</v>
      </c>
      <c r="M260" s="64"/>
      <c r="N260" s="65"/>
      <c r="O260" s="66"/>
      <c r="P260" s="15" t="s">
        <v>28</v>
      </c>
      <c r="Q260" s="15" t="s">
        <v>20</v>
      </c>
      <c r="R260" s="15"/>
      <c r="S260" s="36" t="s">
        <v>1398</v>
      </c>
      <c r="T260" s="36" t="s">
        <v>126</v>
      </c>
      <c r="U260" s="53" t="s">
        <v>1399</v>
      </c>
      <c r="V260" s="14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</row>
    <row r="261" spans="1:91" ht="14.25" hidden="1" customHeight="1" x14ac:dyDescent="0.25">
      <c r="A261" s="26"/>
      <c r="B261" s="15"/>
      <c r="C261" s="15"/>
      <c r="D261" s="36" t="s">
        <v>1400</v>
      </c>
      <c r="E261" s="36">
        <v>41948066</v>
      </c>
      <c r="F261" s="36">
        <v>3135420536</v>
      </c>
      <c r="G261" s="301" t="s">
        <v>1401</v>
      </c>
      <c r="H261" s="36"/>
      <c r="I261" s="36">
        <v>95</v>
      </c>
      <c r="J261" s="15" t="s">
        <v>188</v>
      </c>
      <c r="K261" s="61">
        <v>57000</v>
      </c>
      <c r="L261" s="57" t="s">
        <v>234</v>
      </c>
      <c r="M261" s="64"/>
      <c r="N261" s="65"/>
      <c r="O261" s="66"/>
      <c r="P261" s="15" t="s">
        <v>28</v>
      </c>
      <c r="Q261" s="15" t="s">
        <v>20</v>
      </c>
      <c r="R261" s="15"/>
      <c r="S261" s="36" t="s">
        <v>1402</v>
      </c>
      <c r="T261" s="36"/>
      <c r="U261" s="53" t="s">
        <v>1403</v>
      </c>
      <c r="V261" s="14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</row>
    <row r="262" spans="1:91" ht="14.25" hidden="1" customHeight="1" x14ac:dyDescent="0.25">
      <c r="A262" s="26"/>
      <c r="B262" s="15"/>
      <c r="C262" s="15"/>
      <c r="D262" s="36" t="s">
        <v>1404</v>
      </c>
      <c r="E262" s="36">
        <v>1105612862</v>
      </c>
      <c r="F262" s="36">
        <v>3007428578</v>
      </c>
      <c r="G262" s="310" t="s">
        <v>1405</v>
      </c>
      <c r="H262" s="74">
        <v>1</v>
      </c>
      <c r="I262" s="36">
        <v>91</v>
      </c>
      <c r="J262" s="14" t="s">
        <v>35</v>
      </c>
      <c r="K262" s="61">
        <v>42000</v>
      </c>
      <c r="L262" s="57" t="s">
        <v>234</v>
      </c>
      <c r="M262" s="64"/>
      <c r="N262" s="65"/>
      <c r="O262" s="66"/>
      <c r="P262" s="15" t="s">
        <v>28</v>
      </c>
      <c r="Q262" s="15" t="s">
        <v>20</v>
      </c>
      <c r="R262" s="15"/>
      <c r="S262" s="36" t="s">
        <v>1406</v>
      </c>
      <c r="T262" s="36" t="s">
        <v>30</v>
      </c>
      <c r="U262" s="53" t="s">
        <v>1407</v>
      </c>
      <c r="V262" s="14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</row>
    <row r="263" spans="1:91" ht="14.25" hidden="1" customHeight="1" x14ac:dyDescent="0.25">
      <c r="A263" s="26"/>
      <c r="B263" s="15"/>
      <c r="C263" s="15"/>
      <c r="D263" s="36" t="s">
        <v>1408</v>
      </c>
      <c r="E263" s="36">
        <v>1099684068</v>
      </c>
      <c r="F263" s="36">
        <v>3125609925</v>
      </c>
      <c r="G263" s="64" t="s">
        <v>1409</v>
      </c>
      <c r="H263" s="68"/>
      <c r="I263" s="68"/>
      <c r="J263" s="15" t="s">
        <v>188</v>
      </c>
      <c r="K263" s="61">
        <v>57000</v>
      </c>
      <c r="L263" s="57" t="s">
        <v>234</v>
      </c>
      <c r="M263" s="64"/>
      <c r="N263" s="65"/>
      <c r="O263" s="30"/>
      <c r="P263" s="26" t="s">
        <v>28</v>
      </c>
      <c r="Q263" s="15" t="s">
        <v>20</v>
      </c>
      <c r="R263" s="15"/>
      <c r="S263" s="36" t="s">
        <v>1410</v>
      </c>
      <c r="T263" s="36" t="s">
        <v>30</v>
      </c>
      <c r="U263" s="53" t="s">
        <v>1411</v>
      </c>
      <c r="V263" s="14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</row>
    <row r="264" spans="1:91" ht="14.25" hidden="1" customHeight="1" x14ac:dyDescent="0.25">
      <c r="A264" s="26"/>
      <c r="B264" s="15"/>
      <c r="C264" s="15"/>
      <c r="D264" s="36" t="s">
        <v>1412</v>
      </c>
      <c r="E264" s="36">
        <v>1094967370</v>
      </c>
      <c r="F264" s="36">
        <v>3235189968</v>
      </c>
      <c r="G264" s="64" t="s">
        <v>1413</v>
      </c>
      <c r="H264" s="36"/>
      <c r="I264" s="36"/>
      <c r="J264" s="14" t="s">
        <v>54</v>
      </c>
      <c r="K264" s="61">
        <v>67000</v>
      </c>
      <c r="L264" s="57" t="s">
        <v>234</v>
      </c>
      <c r="M264" s="64"/>
      <c r="N264" s="65"/>
      <c r="O264" s="66"/>
      <c r="P264" s="15" t="s">
        <v>28</v>
      </c>
      <c r="Q264" s="15" t="s">
        <v>20</v>
      </c>
      <c r="R264" s="15"/>
      <c r="S264" s="36" t="s">
        <v>1414</v>
      </c>
      <c r="T264" s="36" t="s">
        <v>30</v>
      </c>
      <c r="U264" s="53" t="s">
        <v>1415</v>
      </c>
      <c r="V264" s="14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</row>
    <row r="265" spans="1:91" ht="14.25" hidden="1" customHeight="1" x14ac:dyDescent="0.25">
      <c r="A265" s="26"/>
      <c r="B265" s="15"/>
      <c r="C265" s="15"/>
      <c r="D265" s="36" t="s">
        <v>1416</v>
      </c>
      <c r="E265" s="36">
        <v>1097394848</v>
      </c>
      <c r="F265" s="36">
        <v>3136608837</v>
      </c>
      <c r="G265" s="64" t="s">
        <v>1417</v>
      </c>
      <c r="H265" s="36"/>
      <c r="I265" s="36"/>
      <c r="J265" s="14" t="s">
        <v>35</v>
      </c>
      <c r="K265" s="61">
        <v>42000</v>
      </c>
      <c r="L265" s="57" t="s">
        <v>234</v>
      </c>
      <c r="M265" s="64"/>
      <c r="N265" s="65"/>
      <c r="O265" s="66"/>
      <c r="P265" s="15" t="s">
        <v>28</v>
      </c>
      <c r="Q265" s="15" t="s">
        <v>20</v>
      </c>
      <c r="R265" s="15"/>
      <c r="S265" s="36" t="s">
        <v>1418</v>
      </c>
      <c r="T265" s="36" t="s">
        <v>30</v>
      </c>
      <c r="U265" s="53" t="s">
        <v>1419</v>
      </c>
      <c r="V265" s="14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</row>
    <row r="266" spans="1:91" ht="14.25" hidden="1" customHeight="1" x14ac:dyDescent="0.25">
      <c r="A266" s="26"/>
      <c r="B266" s="15"/>
      <c r="C266" s="15"/>
      <c r="D266" s="36" t="s">
        <v>1420</v>
      </c>
      <c r="E266" s="36">
        <v>1099684249</v>
      </c>
      <c r="F266" s="36">
        <v>3136081723</v>
      </c>
      <c r="G266" s="310" t="s">
        <v>1421</v>
      </c>
      <c r="H266" s="75">
        <v>1</v>
      </c>
      <c r="I266" s="68">
        <v>226</v>
      </c>
      <c r="J266" s="81" t="s">
        <v>1313</v>
      </c>
      <c r="K266" s="61">
        <v>20000</v>
      </c>
      <c r="L266" s="57" t="s">
        <v>234</v>
      </c>
      <c r="M266" s="64"/>
      <c r="N266" s="82"/>
      <c r="O266" s="66"/>
      <c r="P266" s="15" t="s">
        <v>28</v>
      </c>
      <c r="Q266" s="15" t="s">
        <v>20</v>
      </c>
      <c r="R266" s="15"/>
      <c r="S266" s="36" t="s">
        <v>1422</v>
      </c>
      <c r="T266" s="36"/>
      <c r="U266" s="47" t="s">
        <v>311</v>
      </c>
      <c r="V266" s="14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</row>
    <row r="267" spans="1:91" ht="14.25" hidden="1" customHeight="1" x14ac:dyDescent="0.25">
      <c r="A267" s="26"/>
      <c r="B267" s="15"/>
      <c r="C267" s="15"/>
      <c r="D267" s="63" t="s">
        <v>1423</v>
      </c>
      <c r="E267" s="63">
        <v>24673394</v>
      </c>
      <c r="F267" s="63">
        <v>3137993705</v>
      </c>
      <c r="G267" s="312" t="s">
        <v>1424</v>
      </c>
      <c r="H267" s="83">
        <v>1</v>
      </c>
      <c r="I267" s="63"/>
      <c r="J267" s="14" t="s">
        <v>35</v>
      </c>
      <c r="K267" s="78">
        <v>42000</v>
      </c>
      <c r="L267" s="57" t="s">
        <v>234</v>
      </c>
      <c r="M267" s="84"/>
      <c r="N267" s="85"/>
      <c r="O267" s="30"/>
      <c r="P267" s="15" t="s">
        <v>28</v>
      </c>
      <c r="Q267" s="15" t="s">
        <v>20</v>
      </c>
      <c r="R267" s="15"/>
      <c r="S267" s="15" t="s">
        <v>107</v>
      </c>
      <c r="T267" s="15" t="s">
        <v>1425</v>
      </c>
      <c r="U267" s="70" t="s">
        <v>1426</v>
      </c>
      <c r="V267" s="14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</row>
    <row r="268" spans="1:91" ht="14.25" hidden="1" customHeight="1" x14ac:dyDescent="0.25">
      <c r="A268" s="26"/>
      <c r="B268" s="15"/>
      <c r="C268" s="15"/>
      <c r="D268" s="36" t="s">
        <v>1427</v>
      </c>
      <c r="E268" s="36">
        <v>1005367695</v>
      </c>
      <c r="F268" s="36">
        <v>3216480205</v>
      </c>
      <c r="G268" s="301" t="s">
        <v>1428</v>
      </c>
      <c r="H268" s="36"/>
      <c r="I268" s="36">
        <v>194</v>
      </c>
      <c r="J268" s="14" t="s">
        <v>35</v>
      </c>
      <c r="K268" s="61">
        <v>42000</v>
      </c>
      <c r="L268" s="57" t="s">
        <v>234</v>
      </c>
      <c r="M268" s="64"/>
      <c r="N268" s="65"/>
      <c r="O268" s="66"/>
      <c r="P268" s="15" t="s">
        <v>28</v>
      </c>
      <c r="Q268" s="15" t="s">
        <v>20</v>
      </c>
      <c r="R268" s="15"/>
      <c r="S268" s="36" t="s">
        <v>1429</v>
      </c>
      <c r="T268" s="36" t="s">
        <v>1430</v>
      </c>
      <c r="U268" s="47" t="s">
        <v>311</v>
      </c>
      <c r="V268" s="14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</row>
    <row r="269" spans="1:91" ht="14.25" hidden="1" customHeight="1" x14ac:dyDescent="0.25">
      <c r="A269" s="26"/>
      <c r="B269" s="15"/>
      <c r="C269" s="15"/>
      <c r="D269" s="36" t="s">
        <v>1431</v>
      </c>
      <c r="E269" s="36">
        <v>24480710</v>
      </c>
      <c r="F269" s="36">
        <v>3218750347</v>
      </c>
      <c r="G269" s="64" t="s">
        <v>1432</v>
      </c>
      <c r="H269" s="36"/>
      <c r="I269" s="36"/>
      <c r="J269" s="14" t="s">
        <v>54</v>
      </c>
      <c r="K269" s="61">
        <v>67000</v>
      </c>
      <c r="L269" s="57" t="s">
        <v>234</v>
      </c>
      <c r="M269" s="64"/>
      <c r="N269" s="65"/>
      <c r="O269" s="66"/>
      <c r="P269" s="15" t="s">
        <v>28</v>
      </c>
      <c r="Q269" s="15" t="s">
        <v>20</v>
      </c>
      <c r="R269" s="15"/>
      <c r="S269" s="36" t="s">
        <v>1433</v>
      </c>
      <c r="T269" s="36" t="s">
        <v>224</v>
      </c>
      <c r="U269" s="47" t="s">
        <v>311</v>
      </c>
      <c r="V269" s="14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</row>
    <row r="270" spans="1:91" ht="14.25" hidden="1" customHeight="1" x14ac:dyDescent="0.25">
      <c r="A270" s="26"/>
      <c r="B270" s="15"/>
      <c r="C270" s="15"/>
      <c r="D270" s="36" t="s">
        <v>1434</v>
      </c>
      <c r="E270" s="77">
        <v>801003622</v>
      </c>
      <c r="F270" s="36">
        <v>3226733474</v>
      </c>
      <c r="G270" s="64" t="s">
        <v>1435</v>
      </c>
      <c r="H270" s="36"/>
      <c r="I270" s="36"/>
      <c r="J270" s="64" t="s">
        <v>5480</v>
      </c>
      <c r="K270" s="61">
        <v>97580</v>
      </c>
      <c r="L270" s="57" t="s">
        <v>234</v>
      </c>
      <c r="M270" s="64"/>
      <c r="N270" s="65"/>
      <c r="O270" s="66"/>
      <c r="P270" s="15" t="s">
        <v>28</v>
      </c>
      <c r="Q270" s="15" t="s">
        <v>20</v>
      </c>
      <c r="R270" s="15"/>
      <c r="S270" s="36" t="s">
        <v>1436</v>
      </c>
      <c r="T270" s="36"/>
      <c r="U270" s="53" t="s">
        <v>1437</v>
      </c>
      <c r="V270" s="14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</row>
    <row r="271" spans="1:91" ht="14.25" hidden="1" customHeight="1" x14ac:dyDescent="0.25">
      <c r="A271" s="26"/>
      <c r="B271" s="15"/>
      <c r="C271" s="15"/>
      <c r="D271" s="36" t="s">
        <v>1438</v>
      </c>
      <c r="E271" s="77">
        <v>1088017362</v>
      </c>
      <c r="F271" s="36">
        <v>3205627801</v>
      </c>
      <c r="G271" s="310" t="s">
        <v>1439</v>
      </c>
      <c r="H271" s="74">
        <v>1</v>
      </c>
      <c r="I271" s="36">
        <v>217</v>
      </c>
      <c r="J271" s="14" t="s">
        <v>35</v>
      </c>
      <c r="K271" s="61">
        <v>42000</v>
      </c>
      <c r="L271" s="57" t="s">
        <v>234</v>
      </c>
      <c r="M271" s="64"/>
      <c r="N271" s="65"/>
      <c r="O271" s="66"/>
      <c r="P271" s="15" t="s">
        <v>28</v>
      </c>
      <c r="Q271" s="15" t="s">
        <v>20</v>
      </c>
      <c r="R271" s="15"/>
      <c r="S271" s="36" t="s">
        <v>1440</v>
      </c>
      <c r="T271" s="36" t="s">
        <v>30</v>
      </c>
      <c r="U271" s="53" t="s">
        <v>1441</v>
      </c>
      <c r="V271" s="14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</row>
    <row r="272" spans="1:91" ht="14.25" hidden="1" customHeight="1" x14ac:dyDescent="0.25">
      <c r="A272" s="26"/>
      <c r="B272" s="15"/>
      <c r="C272" s="337" t="s">
        <v>5544</v>
      </c>
      <c r="D272" s="338" t="s">
        <v>1442</v>
      </c>
      <c r="E272" s="36">
        <v>24675974</v>
      </c>
      <c r="F272" s="36" t="s">
        <v>1443</v>
      </c>
      <c r="G272" s="310" t="s">
        <v>1444</v>
      </c>
      <c r="H272" s="74">
        <v>1</v>
      </c>
      <c r="I272" s="36" t="s">
        <v>1445</v>
      </c>
      <c r="J272" s="14" t="s">
        <v>35</v>
      </c>
      <c r="K272" s="61">
        <v>42000</v>
      </c>
      <c r="L272" s="57" t="s">
        <v>234</v>
      </c>
      <c r="M272" s="64"/>
      <c r="N272" s="65"/>
      <c r="O272" s="66"/>
      <c r="P272" s="15" t="s">
        <v>28</v>
      </c>
      <c r="Q272" s="15" t="s">
        <v>20</v>
      </c>
      <c r="R272" s="15"/>
      <c r="S272" s="15" t="s">
        <v>1446</v>
      </c>
      <c r="T272" s="15" t="s">
        <v>30</v>
      </c>
      <c r="U272" s="31" t="s">
        <v>1447</v>
      </c>
      <c r="V272" s="14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</row>
    <row r="273" spans="1:91" ht="14.25" hidden="1" customHeight="1" x14ac:dyDescent="0.25">
      <c r="A273" s="26"/>
      <c r="B273" s="15"/>
      <c r="C273" s="15"/>
      <c r="D273" s="15" t="s">
        <v>1448</v>
      </c>
      <c r="E273" s="17">
        <v>1099682051</v>
      </c>
      <c r="F273" s="36">
        <v>3226933015</v>
      </c>
      <c r="G273" s="64" t="s">
        <v>1449</v>
      </c>
      <c r="H273" s="36"/>
      <c r="I273" s="36" t="s">
        <v>1450</v>
      </c>
      <c r="J273" s="14" t="s">
        <v>35</v>
      </c>
      <c r="K273" s="61">
        <v>42000</v>
      </c>
      <c r="L273" s="57" t="s">
        <v>234</v>
      </c>
      <c r="M273" s="64"/>
      <c r="N273" s="65"/>
      <c r="O273" s="66"/>
      <c r="P273" s="15" t="s">
        <v>28</v>
      </c>
      <c r="Q273" s="15" t="s">
        <v>20</v>
      </c>
      <c r="R273" s="15"/>
      <c r="S273" s="15" t="s">
        <v>1451</v>
      </c>
      <c r="T273" s="36"/>
      <c r="U273" s="47" t="s">
        <v>311</v>
      </c>
      <c r="V273" s="14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</row>
    <row r="274" spans="1:91" ht="14.25" hidden="1" customHeight="1" x14ac:dyDescent="0.25">
      <c r="A274" s="26"/>
      <c r="B274" s="15"/>
      <c r="C274" s="15"/>
      <c r="D274" s="36" t="s">
        <v>1452</v>
      </c>
      <c r="E274" s="36">
        <v>1099682505</v>
      </c>
      <c r="F274" s="36">
        <v>3205763219</v>
      </c>
      <c r="G274" s="310" t="s">
        <v>1453</v>
      </c>
      <c r="H274" s="75">
        <v>1</v>
      </c>
      <c r="I274" s="68"/>
      <c r="J274" s="15" t="s">
        <v>188</v>
      </c>
      <c r="K274" s="61">
        <v>57000</v>
      </c>
      <c r="L274" s="57" t="s">
        <v>234</v>
      </c>
      <c r="M274" s="64"/>
      <c r="N274" s="65"/>
      <c r="O274" s="66"/>
      <c r="P274" s="15" t="s">
        <v>28</v>
      </c>
      <c r="Q274" s="15" t="s">
        <v>20</v>
      </c>
      <c r="R274" s="15"/>
      <c r="S274" s="36" t="s">
        <v>1454</v>
      </c>
      <c r="T274" s="36" t="s">
        <v>67</v>
      </c>
      <c r="U274" s="47" t="s">
        <v>311</v>
      </c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</row>
    <row r="275" spans="1:91" ht="14.25" hidden="1" customHeight="1" x14ac:dyDescent="0.25">
      <c r="A275" s="26"/>
      <c r="B275" s="15"/>
      <c r="C275" s="15"/>
      <c r="D275" s="36" t="s">
        <v>1455</v>
      </c>
      <c r="E275" s="36">
        <v>24672273</v>
      </c>
      <c r="F275" s="36">
        <v>3113701927</v>
      </c>
      <c r="G275" s="301" t="s">
        <v>1456</v>
      </c>
      <c r="H275" s="36"/>
      <c r="I275" s="36"/>
      <c r="J275" s="15" t="s">
        <v>188</v>
      </c>
      <c r="K275" s="61">
        <v>57000</v>
      </c>
      <c r="L275" s="57" t="s">
        <v>234</v>
      </c>
      <c r="M275" s="64"/>
      <c r="N275" s="65"/>
      <c r="O275" s="66"/>
      <c r="P275" s="15" t="s">
        <v>28</v>
      </c>
      <c r="Q275" s="15" t="s">
        <v>20</v>
      </c>
      <c r="R275" s="26"/>
      <c r="S275" s="36" t="s">
        <v>1457</v>
      </c>
      <c r="T275" s="36" t="s">
        <v>30</v>
      </c>
      <c r="U275" s="86" t="s">
        <v>1458</v>
      </c>
      <c r="V275" s="14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</row>
    <row r="276" spans="1:91" ht="14.25" hidden="1" customHeight="1" x14ac:dyDescent="0.25">
      <c r="A276" s="26"/>
      <c r="B276" s="15"/>
      <c r="C276" s="15"/>
      <c r="D276" s="36" t="s">
        <v>1459</v>
      </c>
      <c r="E276" s="36">
        <v>24673872</v>
      </c>
      <c r="F276" s="36">
        <v>3146714419</v>
      </c>
      <c r="G276" s="64" t="s">
        <v>1460</v>
      </c>
      <c r="H276" s="36"/>
      <c r="I276" s="36"/>
      <c r="J276" s="14" t="s">
        <v>35</v>
      </c>
      <c r="K276" s="61">
        <v>42000</v>
      </c>
      <c r="L276" s="57" t="s">
        <v>234</v>
      </c>
      <c r="M276" s="64"/>
      <c r="N276" s="65"/>
      <c r="O276" s="66"/>
      <c r="P276" s="15" t="s">
        <v>28</v>
      </c>
      <c r="Q276" s="15" t="s">
        <v>20</v>
      </c>
      <c r="R276" s="15"/>
      <c r="S276" s="36" t="s">
        <v>1461</v>
      </c>
      <c r="T276" s="36" t="s">
        <v>1461</v>
      </c>
      <c r="U276" s="47" t="s">
        <v>311</v>
      </c>
      <c r="V276" s="14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</row>
    <row r="277" spans="1:91" ht="14.25" hidden="1" customHeight="1" x14ac:dyDescent="0.25">
      <c r="A277" s="26"/>
      <c r="B277" s="15"/>
      <c r="C277" s="15"/>
      <c r="D277" s="36" t="s">
        <v>1462</v>
      </c>
      <c r="E277" s="36">
        <v>34672554</v>
      </c>
      <c r="F277" s="36">
        <v>3183980700</v>
      </c>
      <c r="G277" s="64" t="s">
        <v>1463</v>
      </c>
      <c r="H277" s="36"/>
      <c r="I277" s="36"/>
      <c r="J277" s="14" t="s">
        <v>35</v>
      </c>
      <c r="K277" s="61">
        <v>42000</v>
      </c>
      <c r="L277" s="57" t="s">
        <v>234</v>
      </c>
      <c r="M277" s="64"/>
      <c r="N277" s="65"/>
      <c r="O277" s="66"/>
      <c r="P277" s="15" t="s">
        <v>28</v>
      </c>
      <c r="Q277" s="15" t="s">
        <v>20</v>
      </c>
      <c r="R277" s="15"/>
      <c r="S277" s="36" t="s">
        <v>1464</v>
      </c>
      <c r="T277" s="36" t="s">
        <v>30</v>
      </c>
      <c r="U277" s="53" t="s">
        <v>1465</v>
      </c>
      <c r="V277" s="14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</row>
    <row r="278" spans="1:91" ht="14.25" hidden="1" customHeight="1" x14ac:dyDescent="0.25">
      <c r="A278" s="26"/>
      <c r="B278" s="15"/>
      <c r="C278" s="15"/>
      <c r="D278" s="36" t="s">
        <v>1466</v>
      </c>
      <c r="E278" s="36">
        <v>24674371</v>
      </c>
      <c r="F278" s="36">
        <v>3117797410</v>
      </c>
      <c r="G278" s="64" t="s">
        <v>1467</v>
      </c>
      <c r="H278" s="36"/>
      <c r="I278" s="36" t="s">
        <v>1468</v>
      </c>
      <c r="J278" s="14" t="s">
        <v>35</v>
      </c>
      <c r="K278" s="61">
        <v>42000</v>
      </c>
      <c r="L278" s="57" t="s">
        <v>234</v>
      </c>
      <c r="M278" s="64"/>
      <c r="N278" s="65"/>
      <c r="O278" s="66"/>
      <c r="P278" s="15" t="s">
        <v>28</v>
      </c>
      <c r="Q278" s="15" t="s">
        <v>20</v>
      </c>
      <c r="R278" s="15"/>
      <c r="S278" s="36" t="s">
        <v>1469</v>
      </c>
      <c r="T278" s="36" t="s">
        <v>1470</v>
      </c>
      <c r="U278" s="53" t="s">
        <v>1471</v>
      </c>
      <c r="V278" s="14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</row>
    <row r="279" spans="1:91" ht="14.25" hidden="1" customHeight="1" x14ac:dyDescent="0.25">
      <c r="A279" s="26"/>
      <c r="B279" s="15"/>
      <c r="C279" s="15"/>
      <c r="D279" s="36" t="s">
        <v>1472</v>
      </c>
      <c r="E279" s="36">
        <v>1099682743</v>
      </c>
      <c r="F279" s="36">
        <v>3117093671</v>
      </c>
      <c r="G279" s="64" t="s">
        <v>1473</v>
      </c>
      <c r="H279" s="36"/>
      <c r="I279" s="36" t="s">
        <v>1474</v>
      </c>
      <c r="J279" s="14" t="s">
        <v>54</v>
      </c>
      <c r="K279" s="61">
        <v>67000</v>
      </c>
      <c r="L279" s="57" t="s">
        <v>234</v>
      </c>
      <c r="M279" s="64"/>
      <c r="N279" s="65"/>
      <c r="O279" s="66"/>
      <c r="P279" s="15" t="s">
        <v>28</v>
      </c>
      <c r="Q279" s="15" t="s">
        <v>20</v>
      </c>
      <c r="R279" s="15"/>
      <c r="S279" s="36" t="s">
        <v>1475</v>
      </c>
      <c r="T279" s="36" t="s">
        <v>1224</v>
      </c>
      <c r="U279" s="53" t="s">
        <v>1476</v>
      </c>
      <c r="V279" s="14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</row>
    <row r="280" spans="1:91" ht="14.25" hidden="1" customHeight="1" x14ac:dyDescent="0.25">
      <c r="A280" s="26"/>
      <c r="B280" s="15"/>
      <c r="C280" s="15"/>
      <c r="D280" s="36" t="s">
        <v>1477</v>
      </c>
      <c r="E280" s="36">
        <v>30235436</v>
      </c>
      <c r="F280" s="36">
        <v>3136053384</v>
      </c>
      <c r="G280" s="64" t="s">
        <v>1478</v>
      </c>
      <c r="H280" s="36"/>
      <c r="I280" s="36"/>
      <c r="J280" s="14" t="s">
        <v>35</v>
      </c>
      <c r="K280" s="61">
        <v>42000</v>
      </c>
      <c r="L280" s="57" t="s">
        <v>234</v>
      </c>
      <c r="M280" s="64"/>
      <c r="N280" s="65"/>
      <c r="O280" s="66"/>
      <c r="P280" s="15" t="s">
        <v>28</v>
      </c>
      <c r="Q280" s="15" t="s">
        <v>20</v>
      </c>
      <c r="R280" s="15"/>
      <c r="S280" s="36" t="s">
        <v>1479</v>
      </c>
      <c r="T280" s="36" t="s">
        <v>36</v>
      </c>
      <c r="U280" s="47" t="s">
        <v>311</v>
      </c>
      <c r="V280" s="14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</row>
    <row r="281" spans="1:91" ht="14.25" hidden="1" customHeight="1" x14ac:dyDescent="0.25">
      <c r="A281" s="26"/>
      <c r="B281" s="15"/>
      <c r="C281" s="15"/>
      <c r="D281" s="36" t="s">
        <v>1480</v>
      </c>
      <c r="E281" s="36">
        <v>1099683499</v>
      </c>
      <c r="F281" s="36">
        <v>3104238796</v>
      </c>
      <c r="G281" s="310" t="s">
        <v>1481</v>
      </c>
      <c r="H281" s="74">
        <v>1</v>
      </c>
      <c r="I281" s="36"/>
      <c r="J281" s="14" t="s">
        <v>35</v>
      </c>
      <c r="K281" s="61">
        <v>42000</v>
      </c>
      <c r="L281" s="57" t="s">
        <v>234</v>
      </c>
      <c r="M281" s="64"/>
      <c r="N281" s="65"/>
      <c r="O281" s="66"/>
      <c r="P281" s="15" t="s">
        <v>28</v>
      </c>
      <c r="Q281" s="15" t="s">
        <v>20</v>
      </c>
      <c r="R281" s="15"/>
      <c r="S281" s="15" t="s">
        <v>107</v>
      </c>
      <c r="T281" s="15" t="s">
        <v>1482</v>
      </c>
      <c r="U281" s="47" t="s">
        <v>311</v>
      </c>
      <c r="V281" s="14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</row>
    <row r="282" spans="1:91" ht="14.25" hidden="1" customHeight="1" x14ac:dyDescent="0.25">
      <c r="A282" s="26"/>
      <c r="B282" s="15"/>
      <c r="C282" s="15"/>
      <c r="D282" s="36" t="s">
        <v>1487</v>
      </c>
      <c r="E282" s="36">
        <v>98009032</v>
      </c>
      <c r="F282" s="36"/>
      <c r="G282" s="64" t="s">
        <v>1488</v>
      </c>
      <c r="H282" s="36"/>
      <c r="I282" s="36"/>
      <c r="J282" s="36" t="s">
        <v>567</v>
      </c>
      <c r="K282" s="61" t="s">
        <v>567</v>
      </c>
      <c r="L282" s="57" t="s">
        <v>234</v>
      </c>
      <c r="M282" s="64"/>
      <c r="N282" s="61"/>
      <c r="O282" s="66"/>
      <c r="P282" s="15" t="s">
        <v>28</v>
      </c>
      <c r="Q282" s="15" t="s">
        <v>20</v>
      </c>
      <c r="R282" s="15"/>
      <c r="S282" s="36" t="s">
        <v>567</v>
      </c>
      <c r="T282" s="36" t="s">
        <v>567</v>
      </c>
      <c r="U282" s="53" t="s">
        <v>1489</v>
      </c>
      <c r="V282" s="14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</row>
    <row r="283" spans="1:91" ht="14.25" hidden="1" customHeight="1" x14ac:dyDescent="0.25">
      <c r="A283" s="26"/>
      <c r="B283" s="15"/>
      <c r="C283" s="15"/>
      <c r="D283" s="36" t="s">
        <v>1490</v>
      </c>
      <c r="E283" s="77">
        <v>1094946883</v>
      </c>
      <c r="F283" s="36">
        <v>3176821727</v>
      </c>
      <c r="G283" s="301" t="s">
        <v>1491</v>
      </c>
      <c r="H283" s="68"/>
      <c r="I283" s="68"/>
      <c r="J283" s="14" t="s">
        <v>35</v>
      </c>
      <c r="K283" s="61">
        <v>42000</v>
      </c>
      <c r="L283" s="57" t="s">
        <v>234</v>
      </c>
      <c r="M283" s="64"/>
      <c r="N283" s="65"/>
      <c r="O283" s="66"/>
      <c r="P283" s="15" t="s">
        <v>28</v>
      </c>
      <c r="Q283" s="15" t="s">
        <v>20</v>
      </c>
      <c r="R283" s="15"/>
      <c r="S283" s="36" t="s">
        <v>1492</v>
      </c>
      <c r="T283" s="36" t="s">
        <v>1271</v>
      </c>
      <c r="U283" s="53" t="s">
        <v>1493</v>
      </c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</row>
    <row r="284" spans="1:91" ht="14.25" hidden="1" customHeight="1" x14ac:dyDescent="0.25">
      <c r="A284" s="26"/>
      <c r="B284" s="15"/>
      <c r="C284" s="15"/>
      <c r="D284" s="15" t="s">
        <v>676</v>
      </c>
      <c r="E284" s="17">
        <v>1094888608</v>
      </c>
      <c r="F284" s="17" t="s">
        <v>677</v>
      </c>
      <c r="G284" s="309" t="s">
        <v>1494</v>
      </c>
      <c r="H284" s="34">
        <v>1</v>
      </c>
      <c r="I284" s="15"/>
      <c r="J284" s="14" t="s">
        <v>35</v>
      </c>
      <c r="K284" s="61">
        <v>42000</v>
      </c>
      <c r="L284" s="57" t="s">
        <v>234</v>
      </c>
      <c r="M284" s="64"/>
      <c r="N284" s="65"/>
      <c r="O284" s="66"/>
      <c r="P284" s="15" t="s">
        <v>28</v>
      </c>
      <c r="Q284" s="15" t="s">
        <v>20</v>
      </c>
      <c r="R284" s="15"/>
      <c r="S284" s="14" t="s">
        <v>1495</v>
      </c>
      <c r="T284" s="14" t="s">
        <v>30</v>
      </c>
      <c r="U284" s="47" t="s">
        <v>311</v>
      </c>
      <c r="V284" s="14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</row>
    <row r="285" spans="1:91" ht="14.25" hidden="1" customHeight="1" x14ac:dyDescent="0.25">
      <c r="A285" s="26"/>
      <c r="B285" s="15"/>
      <c r="C285" s="15"/>
      <c r="D285" s="36" t="s">
        <v>1496</v>
      </c>
      <c r="E285" s="36">
        <v>24675664</v>
      </c>
      <c r="F285" s="36">
        <v>3117361334</v>
      </c>
      <c r="G285" s="64" t="s">
        <v>1497</v>
      </c>
      <c r="H285" s="36"/>
      <c r="I285" s="36">
        <v>55</v>
      </c>
      <c r="J285" s="14" t="s">
        <v>35</v>
      </c>
      <c r="K285" s="61">
        <v>42000</v>
      </c>
      <c r="L285" s="57" t="s">
        <v>234</v>
      </c>
      <c r="M285" s="64"/>
      <c r="N285" s="65"/>
      <c r="O285" s="66"/>
      <c r="P285" s="15" t="s">
        <v>28</v>
      </c>
      <c r="Q285" s="15" t="s">
        <v>20</v>
      </c>
      <c r="R285" s="15"/>
      <c r="S285" s="36" t="s">
        <v>1498</v>
      </c>
      <c r="T285" s="36" t="s">
        <v>30</v>
      </c>
      <c r="U285" s="53" t="s">
        <v>1499</v>
      </c>
      <c r="V285" s="14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</row>
    <row r="286" spans="1:91" ht="14.25" hidden="1" customHeight="1" x14ac:dyDescent="0.25">
      <c r="A286" s="26"/>
      <c r="B286" s="15"/>
      <c r="C286" s="15"/>
      <c r="D286" s="36" t="s">
        <v>1500</v>
      </c>
      <c r="E286" s="36">
        <v>24674172</v>
      </c>
      <c r="F286" s="36">
        <v>3128832807</v>
      </c>
      <c r="G286" s="310" t="s">
        <v>1501</v>
      </c>
      <c r="H286" s="74">
        <v>1</v>
      </c>
      <c r="I286" s="36"/>
      <c r="J286" s="14" t="s">
        <v>35</v>
      </c>
      <c r="K286" s="61">
        <v>42000</v>
      </c>
      <c r="L286" s="57" t="s">
        <v>234</v>
      </c>
      <c r="M286" s="28"/>
      <c r="N286" s="29"/>
      <c r="O286" s="30"/>
      <c r="P286" s="15" t="s">
        <v>28</v>
      </c>
      <c r="Q286" s="15" t="s">
        <v>20</v>
      </c>
      <c r="R286" s="15"/>
      <c r="S286" s="36" t="s">
        <v>1502</v>
      </c>
      <c r="T286" s="36" t="s">
        <v>30</v>
      </c>
      <c r="U286" s="53" t="s">
        <v>1503</v>
      </c>
      <c r="V286" s="14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</row>
    <row r="287" spans="1:91" ht="14.25" hidden="1" customHeight="1" x14ac:dyDescent="0.25">
      <c r="A287" s="26"/>
      <c r="B287" s="15"/>
      <c r="C287" s="15"/>
      <c r="D287" s="36" t="s">
        <v>1504</v>
      </c>
      <c r="E287" s="36">
        <v>4427737</v>
      </c>
      <c r="F287" s="36">
        <v>3128556754</v>
      </c>
      <c r="G287" s="64" t="s">
        <v>1505</v>
      </c>
      <c r="H287" s="36"/>
      <c r="I287" s="36"/>
      <c r="J287" s="14" t="s">
        <v>35</v>
      </c>
      <c r="K287" s="61">
        <v>42000</v>
      </c>
      <c r="L287" s="57" t="s">
        <v>234</v>
      </c>
      <c r="M287" s="64"/>
      <c r="N287" s="65"/>
      <c r="O287" s="66"/>
      <c r="P287" s="15" t="s">
        <v>28</v>
      </c>
      <c r="Q287" s="15" t="s">
        <v>20</v>
      </c>
      <c r="R287" s="15"/>
      <c r="S287" s="36" t="s">
        <v>1506</v>
      </c>
      <c r="T287" s="36" t="s">
        <v>497</v>
      </c>
      <c r="U287" s="53" t="s">
        <v>1507</v>
      </c>
      <c r="V287" s="14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</row>
    <row r="288" spans="1:91" ht="14.25" hidden="1" customHeight="1" x14ac:dyDescent="0.25">
      <c r="A288" s="26"/>
      <c r="B288" s="15"/>
      <c r="C288" s="15"/>
      <c r="D288" s="36" t="s">
        <v>1508</v>
      </c>
      <c r="E288" s="36">
        <v>1099682353</v>
      </c>
      <c r="F288" s="36">
        <v>3135128262</v>
      </c>
      <c r="G288" s="64" t="s">
        <v>1509</v>
      </c>
      <c r="H288" s="36"/>
      <c r="I288" s="36"/>
      <c r="J288" s="14" t="s">
        <v>35</v>
      </c>
      <c r="K288" s="61">
        <v>42000</v>
      </c>
      <c r="L288" s="57" t="s">
        <v>234</v>
      </c>
      <c r="M288" s="64"/>
      <c r="N288" s="65"/>
      <c r="O288" s="66"/>
      <c r="P288" s="15" t="s">
        <v>28</v>
      </c>
      <c r="Q288" s="15" t="s">
        <v>20</v>
      </c>
      <c r="R288" s="15"/>
      <c r="S288" s="36" t="s">
        <v>1510</v>
      </c>
      <c r="T288" s="36" t="s">
        <v>1511</v>
      </c>
      <c r="U288" s="47" t="s">
        <v>311</v>
      </c>
      <c r="V288" s="14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</row>
    <row r="289" spans="1:91" ht="14.25" hidden="1" customHeight="1" x14ac:dyDescent="0.25">
      <c r="A289" s="26"/>
      <c r="B289" s="15"/>
      <c r="C289" s="15"/>
      <c r="D289" s="36" t="s">
        <v>1512</v>
      </c>
      <c r="E289" s="36">
        <v>1099683484</v>
      </c>
      <c r="F289" s="36">
        <v>3212442255</v>
      </c>
      <c r="G289" s="310" t="s">
        <v>1513</v>
      </c>
      <c r="H289" s="74">
        <v>1</v>
      </c>
      <c r="I289" s="36" t="s">
        <v>1514</v>
      </c>
      <c r="J289" s="14" t="s">
        <v>35</v>
      </c>
      <c r="K289" s="61">
        <v>42000</v>
      </c>
      <c r="L289" s="57" t="s">
        <v>234</v>
      </c>
      <c r="M289" s="64"/>
      <c r="N289" s="65"/>
      <c r="O289" s="66"/>
      <c r="P289" s="15" t="s">
        <v>28</v>
      </c>
      <c r="Q289" s="15" t="s">
        <v>20</v>
      </c>
      <c r="R289" s="15"/>
      <c r="S289" s="15" t="s">
        <v>1515</v>
      </c>
      <c r="T289" s="15" t="s">
        <v>30</v>
      </c>
      <c r="U289" s="79" t="s">
        <v>1516</v>
      </c>
      <c r="V289" s="14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</row>
    <row r="290" spans="1:91" ht="14.25" hidden="1" customHeight="1" x14ac:dyDescent="0.25">
      <c r="A290" s="26"/>
      <c r="B290" s="15"/>
      <c r="C290" s="15"/>
      <c r="D290" s="36" t="s">
        <v>1517</v>
      </c>
      <c r="E290" s="36">
        <v>1094937668</v>
      </c>
      <c r="F290" s="36">
        <v>3126365308</v>
      </c>
      <c r="G290" s="310" t="s">
        <v>1518</v>
      </c>
      <c r="H290" s="74">
        <v>1</v>
      </c>
      <c r="I290" s="36">
        <v>59</v>
      </c>
      <c r="J290" s="14" t="s">
        <v>54</v>
      </c>
      <c r="K290" s="61">
        <v>67000</v>
      </c>
      <c r="L290" s="57" t="s">
        <v>234</v>
      </c>
      <c r="M290" s="64"/>
      <c r="N290" s="65"/>
      <c r="O290" s="66"/>
      <c r="P290" s="15" t="s">
        <v>28</v>
      </c>
      <c r="Q290" s="15" t="s">
        <v>20</v>
      </c>
      <c r="R290" s="15"/>
      <c r="S290" s="36" t="s">
        <v>1519</v>
      </c>
      <c r="T290" s="36" t="s">
        <v>1224</v>
      </c>
      <c r="U290" s="53" t="s">
        <v>1520</v>
      </c>
      <c r="V290" s="14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</row>
    <row r="291" spans="1:91" ht="14.25" hidden="1" customHeight="1" x14ac:dyDescent="0.25">
      <c r="A291" s="26"/>
      <c r="B291" s="15"/>
      <c r="C291" s="15"/>
      <c r="D291" s="36" t="s">
        <v>1521</v>
      </c>
      <c r="E291" s="36">
        <v>24676086</v>
      </c>
      <c r="F291" s="36">
        <v>3135417690</v>
      </c>
      <c r="G291" s="64" t="s">
        <v>1522</v>
      </c>
      <c r="H291" s="36"/>
      <c r="I291" s="36"/>
      <c r="J291" s="14" t="s">
        <v>35</v>
      </c>
      <c r="K291" s="61">
        <v>42000</v>
      </c>
      <c r="L291" s="57" t="s">
        <v>234</v>
      </c>
      <c r="M291" s="64"/>
      <c r="N291" s="65"/>
      <c r="O291" s="66"/>
      <c r="P291" s="15" t="s">
        <v>28</v>
      </c>
      <c r="Q291" s="15" t="s">
        <v>20</v>
      </c>
      <c r="R291" s="15"/>
      <c r="S291" s="36" t="s">
        <v>1523</v>
      </c>
      <c r="T291" s="36" t="s">
        <v>1224</v>
      </c>
      <c r="U291" s="53" t="s">
        <v>1524</v>
      </c>
      <c r="V291" s="14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</row>
    <row r="292" spans="1:91" ht="14.25" hidden="1" customHeight="1" x14ac:dyDescent="0.25">
      <c r="A292" s="26"/>
      <c r="B292" s="15"/>
      <c r="C292" s="15"/>
      <c r="D292" s="36" t="s">
        <v>1525</v>
      </c>
      <c r="E292" s="36">
        <v>19191336</v>
      </c>
      <c r="F292" s="36">
        <v>3142548824</v>
      </c>
      <c r="G292" s="64" t="s">
        <v>1526</v>
      </c>
      <c r="H292" s="36"/>
      <c r="I292" s="36"/>
      <c r="J292" s="14" t="s">
        <v>35</v>
      </c>
      <c r="K292" s="61">
        <v>42000</v>
      </c>
      <c r="L292" s="57" t="s">
        <v>234</v>
      </c>
      <c r="M292" s="64"/>
      <c r="N292" s="65"/>
      <c r="O292" s="66"/>
      <c r="P292" s="15" t="s">
        <v>28</v>
      </c>
      <c r="Q292" s="15" t="s">
        <v>20</v>
      </c>
      <c r="R292" s="15"/>
      <c r="S292" s="36" t="s">
        <v>1527</v>
      </c>
      <c r="T292" s="36" t="s">
        <v>1304</v>
      </c>
      <c r="U292" s="53" t="s">
        <v>1528</v>
      </c>
      <c r="V292" s="14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</row>
    <row r="293" spans="1:91" ht="14.25" hidden="1" customHeight="1" x14ac:dyDescent="0.25">
      <c r="A293" s="26"/>
      <c r="B293" s="15"/>
      <c r="C293" s="15"/>
      <c r="D293" s="36" t="s">
        <v>1529</v>
      </c>
      <c r="E293" s="36">
        <v>24674988</v>
      </c>
      <c r="F293" s="36">
        <v>3128209925</v>
      </c>
      <c r="G293" s="64" t="s">
        <v>1530</v>
      </c>
      <c r="H293" s="36"/>
      <c r="I293" s="36">
        <v>200</v>
      </c>
      <c r="J293" s="64" t="s">
        <v>5480</v>
      </c>
      <c r="K293" s="61">
        <v>82000</v>
      </c>
      <c r="L293" s="57" t="s">
        <v>234</v>
      </c>
      <c r="M293" s="64"/>
      <c r="N293" s="65"/>
      <c r="O293" s="66"/>
      <c r="P293" s="15" t="s">
        <v>28</v>
      </c>
      <c r="Q293" s="15" t="s">
        <v>20</v>
      </c>
      <c r="R293" s="15"/>
      <c r="S293" s="36" t="s">
        <v>1531</v>
      </c>
      <c r="T293" s="36" t="s">
        <v>819</v>
      </c>
      <c r="U293" s="63" t="s">
        <v>1532</v>
      </c>
      <c r="V293" s="14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</row>
    <row r="294" spans="1:91" ht="14.25" hidden="1" customHeight="1" x14ac:dyDescent="0.25">
      <c r="A294" s="26"/>
      <c r="B294" s="15"/>
      <c r="C294" s="15"/>
      <c r="D294" s="36" t="s">
        <v>1533</v>
      </c>
      <c r="E294" s="36">
        <v>41960710</v>
      </c>
      <c r="F294" s="36">
        <v>3116189062</v>
      </c>
      <c r="G294" s="310" t="s">
        <v>1534</v>
      </c>
      <c r="H294" s="74">
        <v>1</v>
      </c>
      <c r="I294" s="36"/>
      <c r="J294" s="14" t="s">
        <v>35</v>
      </c>
      <c r="K294" s="61">
        <v>42000</v>
      </c>
      <c r="L294" s="57" t="s">
        <v>234</v>
      </c>
      <c r="M294" s="64"/>
      <c r="N294" s="65"/>
      <c r="O294" s="66"/>
      <c r="P294" s="15" t="s">
        <v>28</v>
      </c>
      <c r="Q294" s="15" t="s">
        <v>20</v>
      </c>
      <c r="R294" s="15"/>
      <c r="S294" s="36" t="s">
        <v>1535</v>
      </c>
      <c r="T294" s="36" t="s">
        <v>497</v>
      </c>
      <c r="U294" s="53" t="s">
        <v>1536</v>
      </c>
      <c r="V294" s="14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</row>
    <row r="295" spans="1:91" ht="14.25" hidden="1" customHeight="1" x14ac:dyDescent="0.25">
      <c r="A295" s="26"/>
      <c r="B295" s="15"/>
      <c r="C295" s="15"/>
      <c r="D295" s="36" t="s">
        <v>1537</v>
      </c>
      <c r="E295" s="36">
        <v>1022343839</v>
      </c>
      <c r="F295" s="36">
        <v>3133529078</v>
      </c>
      <c r="G295" s="301" t="s">
        <v>1538</v>
      </c>
      <c r="H295" s="36"/>
      <c r="I295" s="36" t="s">
        <v>1539</v>
      </c>
      <c r="J295" s="14" t="s">
        <v>35</v>
      </c>
      <c r="K295" s="61">
        <v>42000</v>
      </c>
      <c r="L295" s="57" t="s">
        <v>234</v>
      </c>
      <c r="M295" s="64"/>
      <c r="N295" s="65"/>
      <c r="O295" s="66"/>
      <c r="P295" s="15" t="s">
        <v>28</v>
      </c>
      <c r="Q295" s="15" t="s">
        <v>20</v>
      </c>
      <c r="R295" s="15"/>
      <c r="S295" s="36" t="s">
        <v>1540</v>
      </c>
      <c r="T295" s="36" t="s">
        <v>43</v>
      </c>
      <c r="U295" s="53" t="s">
        <v>1541</v>
      </c>
      <c r="V295" s="14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</row>
    <row r="296" spans="1:91" ht="14.25" hidden="1" customHeight="1" x14ac:dyDescent="0.25">
      <c r="A296" s="26"/>
      <c r="B296" s="15"/>
      <c r="C296" s="15"/>
      <c r="D296" s="36" t="s">
        <v>1542</v>
      </c>
      <c r="E296" s="36">
        <v>1005088533</v>
      </c>
      <c r="F296" s="36">
        <v>3207348013</v>
      </c>
      <c r="G296" s="64" t="s">
        <v>1543</v>
      </c>
      <c r="H296" s="36"/>
      <c r="I296" s="36">
        <v>82</v>
      </c>
      <c r="J296" s="14" t="s">
        <v>35</v>
      </c>
      <c r="K296" s="61">
        <v>42000</v>
      </c>
      <c r="L296" s="57" t="s">
        <v>234</v>
      </c>
      <c r="M296" s="64"/>
      <c r="N296" s="65"/>
      <c r="O296" s="66"/>
      <c r="P296" s="15" t="s">
        <v>28</v>
      </c>
      <c r="Q296" s="15" t="s">
        <v>20</v>
      </c>
      <c r="R296" s="15"/>
      <c r="S296" s="36" t="s">
        <v>1544</v>
      </c>
      <c r="T296" s="36" t="s">
        <v>1150</v>
      </c>
      <c r="U296" s="53" t="s">
        <v>1545</v>
      </c>
      <c r="V296" s="14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</row>
    <row r="297" spans="1:91" ht="14.25" hidden="1" customHeight="1" x14ac:dyDescent="0.25">
      <c r="A297" s="26"/>
      <c r="B297" s="15"/>
      <c r="C297" s="15"/>
      <c r="D297" s="36" t="s">
        <v>1546</v>
      </c>
      <c r="E297" s="36">
        <v>1001003513</v>
      </c>
      <c r="F297" s="36">
        <v>3044480009</v>
      </c>
      <c r="G297" s="64" t="s">
        <v>1547</v>
      </c>
      <c r="H297" s="36"/>
      <c r="I297" s="36">
        <v>86</v>
      </c>
      <c r="J297" s="14" t="s">
        <v>35</v>
      </c>
      <c r="K297" s="61">
        <v>42000</v>
      </c>
      <c r="L297" s="57" t="s">
        <v>234</v>
      </c>
      <c r="M297" s="64"/>
      <c r="N297" s="65"/>
      <c r="O297" s="66"/>
      <c r="P297" s="15" t="s">
        <v>28</v>
      </c>
      <c r="Q297" s="15" t="s">
        <v>20</v>
      </c>
      <c r="R297" s="15"/>
      <c r="S297" s="36" t="s">
        <v>1548</v>
      </c>
      <c r="T297" s="36" t="s">
        <v>1549</v>
      </c>
      <c r="U297" s="53" t="s">
        <v>1550</v>
      </c>
      <c r="V297" s="14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</row>
    <row r="298" spans="1:91" ht="14.25" hidden="1" customHeight="1" x14ac:dyDescent="0.25">
      <c r="A298" s="26"/>
      <c r="B298" s="15"/>
      <c r="C298" s="15"/>
      <c r="D298" s="36" t="s">
        <v>1551</v>
      </c>
      <c r="E298" s="36">
        <v>1096033807</v>
      </c>
      <c r="F298" s="36">
        <v>3162674546</v>
      </c>
      <c r="G298" s="64" t="s">
        <v>1552</v>
      </c>
      <c r="H298" s="36"/>
      <c r="I298" s="36">
        <v>137</v>
      </c>
      <c r="J298" s="14" t="s">
        <v>35</v>
      </c>
      <c r="K298" s="61">
        <v>42000</v>
      </c>
      <c r="L298" s="57" t="s">
        <v>234</v>
      </c>
      <c r="M298" s="64"/>
      <c r="N298" s="65"/>
      <c r="O298" s="66"/>
      <c r="P298" s="15" t="s">
        <v>28</v>
      </c>
      <c r="Q298" s="15" t="s">
        <v>20</v>
      </c>
      <c r="R298" s="15"/>
      <c r="S298" s="36" t="s">
        <v>1553</v>
      </c>
      <c r="T298" s="36" t="s">
        <v>1224</v>
      </c>
      <c r="U298" s="53" t="s">
        <v>1554</v>
      </c>
      <c r="V298" s="14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</row>
    <row r="299" spans="1:91" ht="14.25" hidden="1" customHeight="1" x14ac:dyDescent="0.25">
      <c r="A299" s="26"/>
      <c r="B299" s="15"/>
      <c r="C299" s="15"/>
      <c r="D299" s="36" t="s">
        <v>1555</v>
      </c>
      <c r="E299" s="36">
        <v>24674352</v>
      </c>
      <c r="F299" s="36">
        <v>3113562584</v>
      </c>
      <c r="G299" s="64" t="s">
        <v>1556</v>
      </c>
      <c r="H299" s="36"/>
      <c r="I299" s="36">
        <v>70</v>
      </c>
      <c r="J299" s="14" t="s">
        <v>35</v>
      </c>
      <c r="K299" s="61">
        <v>42000</v>
      </c>
      <c r="L299" s="57" t="s">
        <v>234</v>
      </c>
      <c r="M299" s="64"/>
      <c r="N299" s="65"/>
      <c r="O299" s="66"/>
      <c r="P299" s="15" t="s">
        <v>28</v>
      </c>
      <c r="Q299" s="15" t="s">
        <v>20</v>
      </c>
      <c r="R299" s="15"/>
      <c r="S299" s="36" t="s">
        <v>1557</v>
      </c>
      <c r="T299" s="36" t="s">
        <v>61</v>
      </c>
      <c r="U299" s="53" t="s">
        <v>1558</v>
      </c>
      <c r="V299" s="14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</row>
    <row r="300" spans="1:91" ht="14.25" hidden="1" customHeight="1" x14ac:dyDescent="0.25">
      <c r="A300" s="26"/>
      <c r="B300" s="15"/>
      <c r="C300" s="15"/>
      <c r="D300" s="36" t="s">
        <v>1559</v>
      </c>
      <c r="E300" s="36">
        <v>41929734</v>
      </c>
      <c r="F300" s="36">
        <v>3128833332</v>
      </c>
      <c r="G300" s="64" t="s">
        <v>1560</v>
      </c>
      <c r="H300" s="36"/>
      <c r="I300" s="36">
        <v>71</v>
      </c>
      <c r="J300" s="14" t="s">
        <v>35</v>
      </c>
      <c r="K300" s="61">
        <v>42000</v>
      </c>
      <c r="L300" s="57" t="s">
        <v>234</v>
      </c>
      <c r="M300" s="64"/>
      <c r="N300" s="65"/>
      <c r="O300" s="66"/>
      <c r="P300" s="15" t="s">
        <v>28</v>
      </c>
      <c r="Q300" s="15" t="s">
        <v>20</v>
      </c>
      <c r="R300" s="15"/>
      <c r="S300" s="36" t="s">
        <v>1561</v>
      </c>
      <c r="T300" s="36" t="s">
        <v>1224</v>
      </c>
      <c r="U300" s="47" t="s">
        <v>311</v>
      </c>
      <c r="V300" s="14"/>
      <c r="W300" s="15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</row>
    <row r="301" spans="1:91" ht="14.25" hidden="1" customHeight="1" x14ac:dyDescent="0.25">
      <c r="A301" s="26"/>
      <c r="B301" s="15"/>
      <c r="C301" s="15"/>
      <c r="D301" s="36" t="s">
        <v>1562</v>
      </c>
      <c r="E301" s="36">
        <v>24675049</v>
      </c>
      <c r="F301" s="36">
        <v>3128766368</v>
      </c>
      <c r="G301" s="64" t="s">
        <v>1563</v>
      </c>
      <c r="H301" s="36"/>
      <c r="I301" s="36">
        <v>69</v>
      </c>
      <c r="J301" s="14" t="s">
        <v>35</v>
      </c>
      <c r="K301" s="61">
        <v>42000</v>
      </c>
      <c r="L301" s="57" t="s">
        <v>234</v>
      </c>
      <c r="M301" s="64"/>
      <c r="N301" s="65"/>
      <c r="O301" s="66"/>
      <c r="P301" s="15" t="s">
        <v>28</v>
      </c>
      <c r="Q301" s="15" t="s">
        <v>20</v>
      </c>
      <c r="R301" s="15"/>
      <c r="S301" s="36" t="s">
        <v>1564</v>
      </c>
      <c r="T301" s="36" t="s">
        <v>1470</v>
      </c>
      <c r="U301" s="53" t="s">
        <v>1565</v>
      </c>
      <c r="V301" s="14"/>
      <c r="W301" s="15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</row>
    <row r="302" spans="1:91" ht="14.25" hidden="1" customHeight="1" x14ac:dyDescent="0.25">
      <c r="A302" s="26"/>
      <c r="B302" s="15"/>
      <c r="C302" s="15"/>
      <c r="D302" s="36" t="s">
        <v>1566</v>
      </c>
      <c r="E302" s="36">
        <v>24674455</v>
      </c>
      <c r="F302" s="36">
        <v>3104428967</v>
      </c>
      <c r="G302" s="64" t="s">
        <v>1567</v>
      </c>
      <c r="H302" s="36"/>
      <c r="I302" s="36">
        <v>68</v>
      </c>
      <c r="J302" s="14" t="s">
        <v>35</v>
      </c>
      <c r="K302" s="61">
        <v>42000</v>
      </c>
      <c r="L302" s="57" t="s">
        <v>234</v>
      </c>
      <c r="M302" s="64"/>
      <c r="N302" s="65"/>
      <c r="O302" s="66"/>
      <c r="P302" s="15" t="s">
        <v>28</v>
      </c>
      <c r="Q302" s="15" t="s">
        <v>20</v>
      </c>
      <c r="R302" s="15"/>
      <c r="S302" s="36" t="s">
        <v>1568</v>
      </c>
      <c r="T302" s="36" t="s">
        <v>30</v>
      </c>
      <c r="U302" s="53" t="s">
        <v>1569</v>
      </c>
      <c r="V302" s="14"/>
      <c r="W302" s="15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</row>
    <row r="303" spans="1:91" ht="14.25" hidden="1" customHeight="1" x14ac:dyDescent="0.25">
      <c r="A303" s="26"/>
      <c r="B303" s="15"/>
      <c r="C303" s="15"/>
      <c r="D303" s="36" t="s">
        <v>1570</v>
      </c>
      <c r="E303" s="77">
        <v>52799575</v>
      </c>
      <c r="F303" s="36">
        <v>3135594709</v>
      </c>
      <c r="G303" s="301" t="s">
        <v>1571</v>
      </c>
      <c r="H303" s="36"/>
      <c r="I303" s="36" t="s">
        <v>1572</v>
      </c>
      <c r="J303" s="14" t="s">
        <v>35</v>
      </c>
      <c r="K303" s="65">
        <v>42000</v>
      </c>
      <c r="L303" s="57" t="s">
        <v>234</v>
      </c>
      <c r="M303" s="64"/>
      <c r="N303" s="65"/>
      <c r="O303" s="66"/>
      <c r="P303" s="15" t="s">
        <v>28</v>
      </c>
      <c r="Q303" s="15" t="s">
        <v>20</v>
      </c>
      <c r="R303" s="15"/>
      <c r="S303" s="36" t="s">
        <v>1573</v>
      </c>
      <c r="T303" s="36" t="s">
        <v>1574</v>
      </c>
      <c r="U303" s="86" t="s">
        <v>1575</v>
      </c>
      <c r="V303" s="14"/>
      <c r="W303" s="15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</row>
    <row r="304" spans="1:91" ht="14.25" hidden="1" customHeight="1" x14ac:dyDescent="0.25">
      <c r="A304" s="26"/>
      <c r="B304" s="15"/>
      <c r="C304" s="15"/>
      <c r="D304" s="36" t="s">
        <v>1576</v>
      </c>
      <c r="E304" s="36">
        <v>1099682167</v>
      </c>
      <c r="F304" s="36">
        <v>3217760776</v>
      </c>
      <c r="G304" s="64" t="s">
        <v>1577</v>
      </c>
      <c r="H304" s="36"/>
      <c r="I304" s="36">
        <v>902</v>
      </c>
      <c r="J304" s="14" t="s">
        <v>35</v>
      </c>
      <c r="K304" s="65">
        <v>42000</v>
      </c>
      <c r="L304" s="57" t="s">
        <v>234</v>
      </c>
      <c r="M304" s="64"/>
      <c r="N304" s="65"/>
      <c r="O304" s="66"/>
      <c r="P304" s="15" t="s">
        <v>28</v>
      </c>
      <c r="Q304" s="15" t="s">
        <v>20</v>
      </c>
      <c r="R304" s="15"/>
      <c r="S304" s="36" t="s">
        <v>1578</v>
      </c>
      <c r="T304" s="36" t="s">
        <v>1579</v>
      </c>
      <c r="U304" s="53" t="s">
        <v>1580</v>
      </c>
      <c r="V304" s="14"/>
      <c r="W304" s="15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</row>
    <row r="305" spans="1:91" ht="14.25" hidden="1" customHeight="1" x14ac:dyDescent="0.25">
      <c r="A305" s="26"/>
      <c r="B305" s="15"/>
      <c r="C305" s="15"/>
      <c r="D305" s="36" t="s">
        <v>1581</v>
      </c>
      <c r="E305" s="36">
        <v>24675019</v>
      </c>
      <c r="F305" s="36">
        <v>3157396218</v>
      </c>
      <c r="G305" s="64" t="s">
        <v>1582</v>
      </c>
      <c r="H305" s="36"/>
      <c r="I305" s="36">
        <v>61</v>
      </c>
      <c r="J305" s="14" t="s">
        <v>35</v>
      </c>
      <c r="K305" s="65">
        <v>42000</v>
      </c>
      <c r="L305" s="57" t="s">
        <v>234</v>
      </c>
      <c r="M305" s="64"/>
      <c r="N305" s="65"/>
      <c r="O305" s="66"/>
      <c r="P305" s="15" t="s">
        <v>28</v>
      </c>
      <c r="Q305" s="15" t="s">
        <v>20</v>
      </c>
      <c r="R305" s="15"/>
      <c r="S305" s="36" t="s">
        <v>1583</v>
      </c>
      <c r="T305" s="36" t="s">
        <v>30</v>
      </c>
      <c r="U305" s="47" t="s">
        <v>311</v>
      </c>
      <c r="V305" s="14"/>
      <c r="W305" s="15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</row>
    <row r="306" spans="1:91" ht="14.25" hidden="1" customHeight="1" x14ac:dyDescent="0.25">
      <c r="A306" s="26"/>
      <c r="B306" s="15"/>
      <c r="C306" s="15"/>
      <c r="D306" s="36" t="s">
        <v>1584</v>
      </c>
      <c r="E306" s="77">
        <v>25457467</v>
      </c>
      <c r="F306" s="36">
        <v>3122696556</v>
      </c>
      <c r="G306" s="301" t="s">
        <v>1585</v>
      </c>
      <c r="H306" s="36"/>
      <c r="I306" s="36"/>
      <c r="J306" s="14" t="s">
        <v>35</v>
      </c>
      <c r="K306" s="65">
        <v>42000</v>
      </c>
      <c r="L306" s="57" t="s">
        <v>234</v>
      </c>
      <c r="M306" s="64"/>
      <c r="N306" s="65"/>
      <c r="O306" s="66"/>
      <c r="P306" s="15" t="s">
        <v>28</v>
      </c>
      <c r="Q306" s="15" t="s">
        <v>20</v>
      </c>
      <c r="R306" s="15"/>
      <c r="S306" s="36" t="s">
        <v>1586</v>
      </c>
      <c r="T306" s="36" t="s">
        <v>36</v>
      </c>
      <c r="U306" s="47" t="s">
        <v>311</v>
      </c>
      <c r="V306" s="14"/>
      <c r="W306" s="15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</row>
    <row r="307" spans="1:91" ht="14.25" hidden="1" customHeight="1" x14ac:dyDescent="0.25">
      <c r="A307" s="26"/>
      <c r="B307" s="15"/>
      <c r="C307" s="15"/>
      <c r="D307" s="36" t="s">
        <v>1576</v>
      </c>
      <c r="E307" s="36">
        <v>1099682167</v>
      </c>
      <c r="F307" s="36">
        <v>3217760776</v>
      </c>
      <c r="G307" s="64" t="s">
        <v>1587</v>
      </c>
      <c r="H307" s="36"/>
      <c r="I307" s="36">
        <v>63</v>
      </c>
      <c r="J307" s="14" t="s">
        <v>35</v>
      </c>
      <c r="K307" s="65">
        <v>42000</v>
      </c>
      <c r="L307" s="57" t="s">
        <v>234</v>
      </c>
      <c r="M307" s="64"/>
      <c r="N307" s="65"/>
      <c r="O307" s="66"/>
      <c r="P307" s="15" t="s">
        <v>28</v>
      </c>
      <c r="Q307" s="15" t="s">
        <v>20</v>
      </c>
      <c r="R307" s="15"/>
      <c r="S307" s="36" t="s">
        <v>1588</v>
      </c>
      <c r="T307" s="36" t="s">
        <v>1589</v>
      </c>
      <c r="U307" s="53" t="s">
        <v>1580</v>
      </c>
      <c r="V307" s="14"/>
      <c r="W307" s="15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</row>
    <row r="308" spans="1:91" ht="14.25" hidden="1" customHeight="1" x14ac:dyDescent="0.25">
      <c r="A308" s="26"/>
      <c r="B308" s="15"/>
      <c r="C308" s="15"/>
      <c r="D308" s="36" t="s">
        <v>1590</v>
      </c>
      <c r="E308" s="36">
        <v>1005367483</v>
      </c>
      <c r="F308" s="36">
        <v>3005923713</v>
      </c>
      <c r="G308" s="64" t="s">
        <v>1591</v>
      </c>
      <c r="H308" s="36"/>
      <c r="I308" s="36">
        <v>57</v>
      </c>
      <c r="J308" s="14" t="s">
        <v>35</v>
      </c>
      <c r="K308" s="65">
        <v>42000</v>
      </c>
      <c r="L308" s="57" t="s">
        <v>234</v>
      </c>
      <c r="M308" s="64"/>
      <c r="N308" s="65"/>
      <c r="O308" s="66"/>
      <c r="P308" s="15" t="s">
        <v>28</v>
      </c>
      <c r="Q308" s="15" t="s">
        <v>20</v>
      </c>
      <c r="R308" s="15"/>
      <c r="S308" s="36" t="s">
        <v>1592</v>
      </c>
      <c r="T308" s="36" t="s">
        <v>151</v>
      </c>
      <c r="U308" s="53" t="s">
        <v>1593</v>
      </c>
      <c r="V308" s="14"/>
      <c r="W308" s="15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</row>
    <row r="309" spans="1:91" ht="14.25" hidden="1" customHeight="1" x14ac:dyDescent="0.25">
      <c r="A309" s="26"/>
      <c r="B309" s="15"/>
      <c r="C309" s="15"/>
      <c r="D309" s="36" t="s">
        <v>1594</v>
      </c>
      <c r="E309" s="87">
        <v>24675918</v>
      </c>
      <c r="F309" s="36">
        <v>3114284919</v>
      </c>
      <c r="G309" s="310" t="s">
        <v>1595</v>
      </c>
      <c r="H309" s="74">
        <v>1</v>
      </c>
      <c r="I309" s="36"/>
      <c r="J309" s="14" t="s">
        <v>35</v>
      </c>
      <c r="K309" s="65">
        <v>42000</v>
      </c>
      <c r="L309" s="57" t="s">
        <v>234</v>
      </c>
      <c r="M309" s="64"/>
      <c r="N309" s="65"/>
      <c r="O309" s="66"/>
      <c r="P309" s="15" t="s">
        <v>28</v>
      </c>
      <c r="Q309" s="15" t="s">
        <v>20</v>
      </c>
      <c r="R309" s="15"/>
      <c r="S309" s="36" t="s">
        <v>1596</v>
      </c>
      <c r="T309" s="36" t="s">
        <v>1224</v>
      </c>
      <c r="U309" s="53" t="s">
        <v>1597</v>
      </c>
      <c r="V309" s="14"/>
      <c r="W309" s="15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</row>
    <row r="310" spans="1:91" ht="14.25" hidden="1" customHeight="1" x14ac:dyDescent="0.25">
      <c r="A310" s="26"/>
      <c r="B310" s="15"/>
      <c r="C310" s="15"/>
      <c r="D310" s="36" t="s">
        <v>1598</v>
      </c>
      <c r="E310" s="36">
        <v>24674234</v>
      </c>
      <c r="F310" s="36">
        <v>3217486970</v>
      </c>
      <c r="G310" s="64" t="s">
        <v>1599</v>
      </c>
      <c r="H310" s="36"/>
      <c r="I310" s="36">
        <v>48</v>
      </c>
      <c r="J310" s="14" t="s">
        <v>35</v>
      </c>
      <c r="K310" s="61">
        <v>42000</v>
      </c>
      <c r="L310" s="57" t="s">
        <v>234</v>
      </c>
      <c r="M310" s="64"/>
      <c r="N310" s="65"/>
      <c r="O310" s="66"/>
      <c r="P310" s="15" t="s">
        <v>28</v>
      </c>
      <c r="Q310" s="15" t="s">
        <v>20</v>
      </c>
      <c r="R310" s="15"/>
      <c r="S310" s="36" t="s">
        <v>1600</v>
      </c>
      <c r="T310" s="36" t="s">
        <v>286</v>
      </c>
      <c r="U310" s="53" t="s">
        <v>1601</v>
      </c>
      <c r="V310" s="14"/>
      <c r="W310" s="15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</row>
    <row r="311" spans="1:91" ht="14.25" hidden="1" customHeight="1" x14ac:dyDescent="0.25">
      <c r="A311" s="26"/>
      <c r="B311" s="15"/>
      <c r="C311" s="15"/>
      <c r="D311" s="36" t="s">
        <v>1602</v>
      </c>
      <c r="E311" s="36">
        <v>1099682996</v>
      </c>
      <c r="F311" s="36">
        <v>3136014088</v>
      </c>
      <c r="G311" s="64" t="s">
        <v>1603</v>
      </c>
      <c r="H311" s="36"/>
      <c r="I311" s="36">
        <v>45</v>
      </c>
      <c r="J311" s="14" t="s">
        <v>35</v>
      </c>
      <c r="K311" s="61">
        <v>42000</v>
      </c>
      <c r="L311" s="57" t="s">
        <v>234</v>
      </c>
      <c r="M311" s="64"/>
      <c r="N311" s="65"/>
      <c r="O311" s="66"/>
      <c r="P311" s="15" t="s">
        <v>28</v>
      </c>
      <c r="Q311" s="15" t="s">
        <v>20</v>
      </c>
      <c r="R311" s="15"/>
      <c r="S311" s="36" t="s">
        <v>1604</v>
      </c>
      <c r="T311" s="36" t="s">
        <v>30</v>
      </c>
      <c r="U311" s="53" t="s">
        <v>1605</v>
      </c>
      <c r="V311" s="14"/>
      <c r="W311" s="15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</row>
    <row r="312" spans="1:91" ht="14.25" hidden="1" customHeight="1" x14ac:dyDescent="0.25">
      <c r="A312" s="26"/>
      <c r="B312" s="15"/>
      <c r="C312" s="15"/>
      <c r="D312" s="71" t="s">
        <v>1606</v>
      </c>
      <c r="E312" s="71">
        <v>10756323</v>
      </c>
      <c r="F312" s="71" t="s">
        <v>1607</v>
      </c>
      <c r="G312" s="299" t="s">
        <v>1608</v>
      </c>
      <c r="H312" s="71"/>
      <c r="I312" s="71"/>
      <c r="J312" s="14" t="s">
        <v>35</v>
      </c>
      <c r="K312" s="61">
        <v>42000</v>
      </c>
      <c r="L312" s="57" t="s">
        <v>234</v>
      </c>
      <c r="M312" s="65"/>
      <c r="N312" s="65"/>
      <c r="O312" s="30"/>
      <c r="P312" s="15" t="s">
        <v>28</v>
      </c>
      <c r="Q312" s="15" t="s">
        <v>20</v>
      </c>
      <c r="R312" s="15"/>
      <c r="S312" s="15" t="s">
        <v>1609</v>
      </c>
      <c r="T312" s="15" t="s">
        <v>43</v>
      </c>
      <c r="U312" s="31" t="s">
        <v>1610</v>
      </c>
      <c r="V312" s="14"/>
      <c r="W312" s="15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</row>
    <row r="313" spans="1:91" ht="14.25" hidden="1" customHeight="1" x14ac:dyDescent="0.25">
      <c r="A313" s="26"/>
      <c r="B313" s="15"/>
      <c r="C313" s="15"/>
      <c r="D313" s="36" t="s">
        <v>1221</v>
      </c>
      <c r="E313" s="36">
        <v>1099684105</v>
      </c>
      <c r="F313" s="36">
        <v>3108934801</v>
      </c>
      <c r="G313" s="64" t="s">
        <v>302</v>
      </c>
      <c r="H313" s="36"/>
      <c r="I313" s="36">
        <v>21</v>
      </c>
      <c r="J313" s="14" t="s">
        <v>35</v>
      </c>
      <c r="K313" s="61">
        <v>42000</v>
      </c>
      <c r="L313" s="57" t="s">
        <v>234</v>
      </c>
      <c r="M313" s="64"/>
      <c r="N313" s="65"/>
      <c r="O313" s="66"/>
      <c r="P313" s="15" t="s">
        <v>28</v>
      </c>
      <c r="Q313" s="15" t="s">
        <v>20</v>
      </c>
      <c r="R313" s="15"/>
      <c r="S313" s="36" t="s">
        <v>1611</v>
      </c>
      <c r="T313" s="36" t="s">
        <v>30</v>
      </c>
      <c r="U313" s="53" t="s">
        <v>1612</v>
      </c>
      <c r="V313" s="14"/>
      <c r="W313" s="15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</row>
    <row r="314" spans="1:91" ht="14.25" hidden="1" customHeight="1" x14ac:dyDescent="0.25">
      <c r="A314" s="26"/>
      <c r="B314" s="15"/>
      <c r="C314" s="15"/>
      <c r="D314" s="36" t="s">
        <v>1615</v>
      </c>
      <c r="E314" s="36">
        <v>24675516</v>
      </c>
      <c r="F314" s="36" t="s">
        <v>1616</v>
      </c>
      <c r="G314" s="64" t="s">
        <v>1617</v>
      </c>
      <c r="H314" s="36"/>
      <c r="I314" s="36">
        <v>15</v>
      </c>
      <c r="J314" s="14" t="s">
        <v>35</v>
      </c>
      <c r="K314" s="65">
        <v>42000</v>
      </c>
      <c r="L314" s="57" t="s">
        <v>234</v>
      </c>
      <c r="M314" s="64"/>
      <c r="N314" s="65"/>
      <c r="O314" s="66"/>
      <c r="P314" s="15" t="s">
        <v>28</v>
      </c>
      <c r="Q314" s="15" t="s">
        <v>20</v>
      </c>
      <c r="R314" s="15"/>
      <c r="S314" s="36" t="s">
        <v>1618</v>
      </c>
      <c r="T314" s="36">
        <v>351</v>
      </c>
      <c r="U314" s="90" t="s">
        <v>1619</v>
      </c>
      <c r="V314" s="14"/>
      <c r="W314" s="15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</row>
    <row r="315" spans="1:91" ht="14.25" hidden="1" customHeight="1" x14ac:dyDescent="0.25">
      <c r="A315" s="26"/>
      <c r="B315" s="15"/>
      <c r="C315" s="15"/>
      <c r="D315" s="36" t="s">
        <v>1620</v>
      </c>
      <c r="E315" s="36">
        <v>1094939186</v>
      </c>
      <c r="F315" s="36">
        <v>3214577647</v>
      </c>
      <c r="G315" s="310" t="s">
        <v>1621</v>
      </c>
      <c r="H315" s="74">
        <v>1</v>
      </c>
      <c r="I315" s="36">
        <v>216</v>
      </c>
      <c r="J315" s="14" t="s">
        <v>35</v>
      </c>
      <c r="K315" s="65">
        <v>42000</v>
      </c>
      <c r="L315" s="57" t="s">
        <v>234</v>
      </c>
      <c r="M315" s="64"/>
      <c r="N315" s="65"/>
      <c r="O315" s="66"/>
      <c r="P315" s="15" t="s">
        <v>28</v>
      </c>
      <c r="Q315" s="15" t="s">
        <v>20</v>
      </c>
      <c r="R315" s="15"/>
      <c r="S315" s="36" t="s">
        <v>1622</v>
      </c>
      <c r="T315" s="36" t="s">
        <v>1304</v>
      </c>
      <c r="U315" s="53" t="s">
        <v>1623</v>
      </c>
      <c r="V315" s="14"/>
      <c r="W315" s="15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</row>
    <row r="316" spans="1:91" ht="14.25" hidden="1" customHeight="1" x14ac:dyDescent="0.25">
      <c r="A316" s="26"/>
      <c r="B316" s="15"/>
      <c r="C316" s="15"/>
      <c r="D316" s="36" t="s">
        <v>1624</v>
      </c>
      <c r="E316" s="36">
        <v>1094936465</v>
      </c>
      <c r="F316" s="36">
        <v>3137815109</v>
      </c>
      <c r="G316" s="64" t="s">
        <v>1625</v>
      </c>
      <c r="H316" s="36"/>
      <c r="I316" s="36" t="s">
        <v>1626</v>
      </c>
      <c r="J316" s="14" t="s">
        <v>35</v>
      </c>
      <c r="K316" s="65">
        <v>42000</v>
      </c>
      <c r="L316" s="57" t="s">
        <v>234</v>
      </c>
      <c r="M316" s="64"/>
      <c r="N316" s="65"/>
      <c r="O316" s="66"/>
      <c r="P316" s="15" t="s">
        <v>28</v>
      </c>
      <c r="Q316" s="15" t="s">
        <v>20</v>
      </c>
      <c r="R316" s="15"/>
      <c r="S316" s="36" t="s">
        <v>1627</v>
      </c>
      <c r="T316" s="36" t="s">
        <v>224</v>
      </c>
      <c r="U316" s="53" t="s">
        <v>1628</v>
      </c>
      <c r="V316" s="14"/>
      <c r="W316" s="15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</row>
    <row r="317" spans="1:91" ht="14.25" hidden="1" customHeight="1" x14ac:dyDescent="0.25">
      <c r="A317" s="26"/>
      <c r="B317" s="15"/>
      <c r="C317" s="15"/>
      <c r="D317" s="36" t="s">
        <v>1632</v>
      </c>
      <c r="E317" s="36">
        <v>1144200515</v>
      </c>
      <c r="F317" s="36">
        <v>3167282362</v>
      </c>
      <c r="G317" s="310" t="s">
        <v>1633</v>
      </c>
      <c r="H317" s="74">
        <v>1</v>
      </c>
      <c r="I317" s="36"/>
      <c r="J317" s="15" t="s">
        <v>188</v>
      </c>
      <c r="K317" s="61">
        <v>57000</v>
      </c>
      <c r="L317" s="57" t="s">
        <v>234</v>
      </c>
      <c r="M317" s="64"/>
      <c r="N317" s="65"/>
      <c r="O317" s="66"/>
      <c r="P317" s="15" t="s">
        <v>28</v>
      </c>
      <c r="Q317" s="15" t="s">
        <v>20</v>
      </c>
      <c r="R317" s="26"/>
      <c r="S317" s="36" t="s">
        <v>1634</v>
      </c>
      <c r="T317" s="36" t="s">
        <v>1321</v>
      </c>
      <c r="U317" s="53" t="s">
        <v>1635</v>
      </c>
      <c r="V317" s="14"/>
      <c r="W317" s="15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</row>
    <row r="318" spans="1:91" ht="14.25" hidden="1" customHeight="1" x14ac:dyDescent="0.25">
      <c r="A318" s="26"/>
      <c r="B318" s="15"/>
      <c r="C318" s="15"/>
      <c r="D318" s="36" t="s">
        <v>1636</v>
      </c>
      <c r="E318" s="36">
        <v>4531967</v>
      </c>
      <c r="F318" s="36">
        <v>3223233743</v>
      </c>
      <c r="G318" s="64" t="s">
        <v>1637</v>
      </c>
      <c r="H318" s="36"/>
      <c r="I318" s="36" t="s">
        <v>1638</v>
      </c>
      <c r="J318" s="14" t="s">
        <v>35</v>
      </c>
      <c r="K318" s="61">
        <v>42000</v>
      </c>
      <c r="L318" s="57" t="s">
        <v>234</v>
      </c>
      <c r="M318" s="64"/>
      <c r="N318" s="65"/>
      <c r="O318" s="66"/>
      <c r="P318" s="15" t="s">
        <v>28</v>
      </c>
      <c r="Q318" s="15" t="s">
        <v>20</v>
      </c>
      <c r="R318" s="15"/>
      <c r="S318" s="36" t="s">
        <v>1639</v>
      </c>
      <c r="T318" s="36" t="s">
        <v>49</v>
      </c>
      <c r="U318" s="47" t="s">
        <v>311</v>
      </c>
      <c r="V318" s="14"/>
      <c r="W318" s="15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</row>
    <row r="319" spans="1:91" ht="14.25" hidden="1" customHeight="1" x14ac:dyDescent="0.25">
      <c r="A319" s="26"/>
      <c r="B319" s="15"/>
      <c r="C319" s="15"/>
      <c r="D319" s="71" t="s">
        <v>1640</v>
      </c>
      <c r="E319" s="71">
        <v>1099683132</v>
      </c>
      <c r="F319" s="71" t="s">
        <v>1641</v>
      </c>
      <c r="G319" s="311" t="s">
        <v>1642</v>
      </c>
      <c r="H319" s="76">
        <v>1</v>
      </c>
      <c r="I319" s="71" t="s">
        <v>1643</v>
      </c>
      <c r="J319" s="14" t="s">
        <v>35</v>
      </c>
      <c r="K319" s="61">
        <v>42000</v>
      </c>
      <c r="L319" s="57" t="s">
        <v>234</v>
      </c>
      <c r="M319" s="72"/>
      <c r="N319" s="65"/>
      <c r="O319" s="66"/>
      <c r="P319" s="15" t="s">
        <v>28</v>
      </c>
      <c r="Q319" s="15" t="s">
        <v>20</v>
      </c>
      <c r="R319" s="15"/>
      <c r="S319" s="15" t="s">
        <v>1644</v>
      </c>
      <c r="T319" s="15" t="s">
        <v>36</v>
      </c>
      <c r="U319" s="31" t="s">
        <v>1645</v>
      </c>
      <c r="V319" s="14"/>
      <c r="W319" s="15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</row>
    <row r="320" spans="1:91" ht="14.25" hidden="1" customHeight="1" x14ac:dyDescent="0.25">
      <c r="A320" s="26"/>
      <c r="B320" s="15"/>
      <c r="C320" s="15"/>
      <c r="D320" s="36" t="s">
        <v>1646</v>
      </c>
      <c r="E320" s="77">
        <v>1097392808</v>
      </c>
      <c r="F320" s="36">
        <v>3112854166</v>
      </c>
      <c r="G320" s="310" t="s">
        <v>1647</v>
      </c>
      <c r="H320" s="74">
        <v>1</v>
      </c>
      <c r="I320" s="36">
        <v>54</v>
      </c>
      <c r="J320" s="14" t="s">
        <v>35</v>
      </c>
      <c r="K320" s="65">
        <v>42000</v>
      </c>
      <c r="L320" s="57" t="s">
        <v>234</v>
      </c>
      <c r="M320" s="64"/>
      <c r="N320" s="65"/>
      <c r="O320" s="66"/>
      <c r="P320" s="15" t="s">
        <v>28</v>
      </c>
      <c r="Q320" s="15" t="s">
        <v>20</v>
      </c>
      <c r="R320" s="15"/>
      <c r="S320" s="36" t="s">
        <v>1648</v>
      </c>
      <c r="T320" s="36" t="s">
        <v>30</v>
      </c>
      <c r="U320" s="63" t="s">
        <v>1649</v>
      </c>
      <c r="V320" s="14"/>
      <c r="W320" s="15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</row>
    <row r="321" spans="1:91" ht="14.25" hidden="1" customHeight="1" x14ac:dyDescent="0.25">
      <c r="A321" s="26"/>
      <c r="B321" s="15"/>
      <c r="C321" s="15"/>
      <c r="D321" s="36" t="s">
        <v>1650</v>
      </c>
      <c r="E321" s="36">
        <v>18469936</v>
      </c>
      <c r="F321" s="36">
        <v>3225420929</v>
      </c>
      <c r="G321" s="310" t="s">
        <v>1651</v>
      </c>
      <c r="H321" s="74">
        <v>1</v>
      </c>
      <c r="I321" s="36">
        <v>50</v>
      </c>
      <c r="J321" s="14" t="s">
        <v>35</v>
      </c>
      <c r="K321" s="65">
        <v>42000</v>
      </c>
      <c r="L321" s="57" t="s">
        <v>234</v>
      </c>
      <c r="M321" s="64"/>
      <c r="N321" s="65"/>
      <c r="O321" s="66"/>
      <c r="P321" s="15" t="s">
        <v>28</v>
      </c>
      <c r="Q321" s="15" t="s">
        <v>20</v>
      </c>
      <c r="R321" s="15"/>
      <c r="S321" s="36" t="s">
        <v>1652</v>
      </c>
      <c r="T321" s="36" t="s">
        <v>1653</v>
      </c>
      <c r="U321" s="53" t="s">
        <v>1654</v>
      </c>
      <c r="V321" s="14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</row>
    <row r="322" spans="1:91" ht="14.25" hidden="1" customHeight="1" x14ac:dyDescent="0.25">
      <c r="A322" s="26"/>
      <c r="B322" s="15"/>
      <c r="C322" s="15"/>
      <c r="D322" s="36" t="s">
        <v>1655</v>
      </c>
      <c r="E322" s="77">
        <v>1099683647</v>
      </c>
      <c r="F322" s="36" t="s">
        <v>1656</v>
      </c>
      <c r="G322" s="310" t="s">
        <v>1657</v>
      </c>
      <c r="H322" s="74">
        <v>1</v>
      </c>
      <c r="I322" s="36">
        <v>102</v>
      </c>
      <c r="J322" s="14" t="s">
        <v>35</v>
      </c>
      <c r="K322" s="65">
        <v>42000</v>
      </c>
      <c r="L322" s="57" t="s">
        <v>234</v>
      </c>
      <c r="M322" s="64"/>
      <c r="N322" s="65"/>
      <c r="O322" s="66"/>
      <c r="P322" s="15" t="s">
        <v>28</v>
      </c>
      <c r="Q322" s="15" t="s">
        <v>20</v>
      </c>
      <c r="R322" s="15"/>
      <c r="S322" s="36" t="s">
        <v>1658</v>
      </c>
      <c r="T322" s="36" t="s">
        <v>286</v>
      </c>
      <c r="U322" s="53" t="s">
        <v>1659</v>
      </c>
      <c r="V322" s="14"/>
      <c r="W322" s="15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</row>
    <row r="323" spans="1:91" ht="14.25" hidden="1" customHeight="1" x14ac:dyDescent="0.25">
      <c r="A323" s="26"/>
      <c r="B323" s="15"/>
      <c r="C323" s="15"/>
      <c r="D323" s="36" t="s">
        <v>1660</v>
      </c>
      <c r="E323" s="36">
        <v>1099683693</v>
      </c>
      <c r="F323" s="36">
        <v>3108934801</v>
      </c>
      <c r="G323" s="64" t="s">
        <v>1661</v>
      </c>
      <c r="H323" s="36"/>
      <c r="I323" s="36">
        <v>178</v>
      </c>
      <c r="J323" s="14" t="s">
        <v>35</v>
      </c>
      <c r="K323" s="65">
        <v>42000</v>
      </c>
      <c r="L323" s="57" t="s">
        <v>234</v>
      </c>
      <c r="M323" s="64"/>
      <c r="N323" s="65"/>
      <c r="O323" s="66"/>
      <c r="P323" s="15" t="s">
        <v>28</v>
      </c>
      <c r="Q323" s="15" t="s">
        <v>20</v>
      </c>
      <c r="R323" s="15"/>
      <c r="S323" s="36" t="s">
        <v>1662</v>
      </c>
      <c r="T323" s="36" t="s">
        <v>224</v>
      </c>
      <c r="U323" s="53" t="s">
        <v>1663</v>
      </c>
      <c r="V323" s="14"/>
      <c r="W323" s="15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</row>
    <row r="324" spans="1:91" ht="14.25" hidden="1" customHeight="1" x14ac:dyDescent="0.25">
      <c r="A324" s="26"/>
      <c r="B324" s="15"/>
      <c r="C324" s="15"/>
      <c r="D324" s="36" t="s">
        <v>1664</v>
      </c>
      <c r="E324" s="36">
        <v>71876973</v>
      </c>
      <c r="F324" s="36" t="s">
        <v>1665</v>
      </c>
      <c r="G324" s="64" t="s">
        <v>1666</v>
      </c>
      <c r="H324" s="36"/>
      <c r="I324" s="36">
        <v>181</v>
      </c>
      <c r="J324" s="14" t="s">
        <v>35</v>
      </c>
      <c r="K324" s="65">
        <v>42000</v>
      </c>
      <c r="L324" s="57" t="s">
        <v>234</v>
      </c>
      <c r="M324" s="64"/>
      <c r="N324" s="65"/>
      <c r="O324" s="66"/>
      <c r="P324" s="15" t="s">
        <v>28</v>
      </c>
      <c r="Q324" s="15" t="s">
        <v>20</v>
      </c>
      <c r="R324" s="15"/>
      <c r="S324" s="36" t="s">
        <v>1667</v>
      </c>
      <c r="T324" s="36" t="s">
        <v>30</v>
      </c>
      <c r="U324" s="53" t="s">
        <v>1668</v>
      </c>
      <c r="V324" s="14"/>
      <c r="W324" s="15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>
        <v>1</v>
      </c>
    </row>
    <row r="325" spans="1:91" ht="14.25" hidden="1" customHeight="1" x14ac:dyDescent="0.25">
      <c r="A325" s="26"/>
      <c r="B325" s="15"/>
      <c r="C325" s="15"/>
      <c r="D325" s="36" t="s">
        <v>1357</v>
      </c>
      <c r="E325" s="36">
        <v>1099683794</v>
      </c>
      <c r="F325" s="36">
        <v>3127439561</v>
      </c>
      <c r="G325" s="310" t="s">
        <v>1669</v>
      </c>
      <c r="H325" s="74">
        <v>1</v>
      </c>
      <c r="I325" s="36"/>
      <c r="J325" s="14" t="s">
        <v>35</v>
      </c>
      <c r="K325" s="65">
        <v>42000</v>
      </c>
      <c r="L325" s="57" t="s">
        <v>234</v>
      </c>
      <c r="M325" s="36"/>
      <c r="N325" s="61"/>
      <c r="O325" s="66"/>
      <c r="P325" s="15" t="s">
        <v>28</v>
      </c>
      <c r="Q325" s="15" t="s">
        <v>20</v>
      </c>
      <c r="R325" s="15"/>
      <c r="S325" s="36" t="s">
        <v>1670</v>
      </c>
      <c r="T325" s="36" t="s">
        <v>224</v>
      </c>
      <c r="U325" s="53" t="s">
        <v>1671</v>
      </c>
      <c r="V325" s="14"/>
      <c r="W325" s="15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</row>
    <row r="326" spans="1:91" ht="14.25" hidden="1" customHeight="1" x14ac:dyDescent="0.25">
      <c r="A326" s="26"/>
      <c r="B326" s="15"/>
      <c r="C326" s="15"/>
      <c r="D326" s="36" t="s">
        <v>1672</v>
      </c>
      <c r="E326" s="77">
        <v>1099682846</v>
      </c>
      <c r="F326" s="36">
        <v>3133468293</v>
      </c>
      <c r="G326" s="310" t="s">
        <v>1673</v>
      </c>
      <c r="H326" s="74">
        <v>1</v>
      </c>
      <c r="I326" s="36"/>
      <c r="J326" s="14" t="s">
        <v>35</v>
      </c>
      <c r="K326" s="65">
        <v>42000</v>
      </c>
      <c r="L326" s="57" t="s">
        <v>234</v>
      </c>
      <c r="M326" s="64"/>
      <c r="N326" s="65"/>
      <c r="O326" s="66"/>
      <c r="P326" s="15" t="s">
        <v>28</v>
      </c>
      <c r="Q326" s="15" t="s">
        <v>20</v>
      </c>
      <c r="R326" s="15"/>
      <c r="S326" s="36" t="s">
        <v>30</v>
      </c>
      <c r="T326" s="36" t="s">
        <v>1674</v>
      </c>
      <c r="U326" s="53" t="s">
        <v>1675</v>
      </c>
      <c r="V326" s="14"/>
      <c r="W326" s="15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</row>
    <row r="327" spans="1:91" ht="14.25" hidden="1" customHeight="1" x14ac:dyDescent="0.25">
      <c r="A327" s="26"/>
      <c r="B327" s="15"/>
      <c r="C327" s="15"/>
      <c r="D327" s="15" t="s">
        <v>1676</v>
      </c>
      <c r="E327" s="16">
        <v>2678027</v>
      </c>
      <c r="F327" s="17" t="s">
        <v>1677</v>
      </c>
      <c r="G327" s="309" t="s">
        <v>1678</v>
      </c>
      <c r="H327" s="34">
        <v>1</v>
      </c>
      <c r="I327" s="15" t="s">
        <v>1679</v>
      </c>
      <c r="J327" s="15" t="s">
        <v>188</v>
      </c>
      <c r="K327" s="27">
        <v>57000</v>
      </c>
      <c r="L327" s="57" t="s">
        <v>234</v>
      </c>
      <c r="M327" s="298"/>
      <c r="N327" s="323"/>
      <c r="O327" s="30"/>
      <c r="P327" s="15" t="s">
        <v>28</v>
      </c>
      <c r="Q327" s="15" t="s">
        <v>20</v>
      </c>
      <c r="R327" s="15"/>
      <c r="S327" s="15" t="s">
        <v>1680</v>
      </c>
      <c r="T327" s="15" t="s">
        <v>1681</v>
      </c>
      <c r="U327" s="31" t="s">
        <v>1682</v>
      </c>
      <c r="V327" s="14"/>
      <c r="W327" s="15" t="s">
        <v>1683</v>
      </c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</row>
    <row r="328" spans="1:91" ht="14.25" hidden="1" customHeight="1" x14ac:dyDescent="0.25">
      <c r="A328" s="26"/>
      <c r="B328" s="15"/>
      <c r="C328" s="15"/>
      <c r="D328" s="36" t="s">
        <v>1684</v>
      </c>
      <c r="E328" s="36">
        <v>41911227</v>
      </c>
      <c r="F328" s="36">
        <v>3207028935</v>
      </c>
      <c r="G328" s="310" t="s">
        <v>1685</v>
      </c>
      <c r="H328" s="74">
        <v>1</v>
      </c>
      <c r="I328" s="36" t="s">
        <v>1686</v>
      </c>
      <c r="J328" s="14" t="s">
        <v>448</v>
      </c>
      <c r="K328" s="61">
        <v>102000</v>
      </c>
      <c r="L328" s="57" t="s">
        <v>234</v>
      </c>
      <c r="M328" s="64"/>
      <c r="N328" s="65"/>
      <c r="O328" s="66"/>
      <c r="P328" s="15" t="s">
        <v>28</v>
      </c>
      <c r="Q328" s="15" t="s">
        <v>20</v>
      </c>
      <c r="R328" s="15"/>
      <c r="S328" s="36" t="s">
        <v>1687</v>
      </c>
      <c r="T328" s="36" t="s">
        <v>30</v>
      </c>
      <c r="U328" s="53" t="s">
        <v>1688</v>
      </c>
      <c r="V328" s="14"/>
      <c r="W328" s="15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</row>
    <row r="329" spans="1:91" ht="14.25" hidden="1" customHeight="1" x14ac:dyDescent="0.25">
      <c r="A329" s="26"/>
      <c r="B329" s="15"/>
      <c r="C329" s="15"/>
      <c r="D329" s="36" t="s">
        <v>1689</v>
      </c>
      <c r="E329" s="36">
        <v>24674489</v>
      </c>
      <c r="F329" s="36" t="s">
        <v>1690</v>
      </c>
      <c r="G329" s="64" t="s">
        <v>1691</v>
      </c>
      <c r="H329" s="36"/>
      <c r="I329" s="36">
        <v>216</v>
      </c>
      <c r="J329" s="15" t="s">
        <v>188</v>
      </c>
      <c r="K329" s="61">
        <v>57000</v>
      </c>
      <c r="L329" s="57" t="s">
        <v>234</v>
      </c>
      <c r="M329" s="64"/>
      <c r="N329" s="65"/>
      <c r="O329" s="66"/>
      <c r="P329" s="15" t="s">
        <v>28</v>
      </c>
      <c r="Q329" s="15" t="s">
        <v>20</v>
      </c>
      <c r="R329" s="15"/>
      <c r="S329" s="36" t="s">
        <v>1692</v>
      </c>
      <c r="T329" s="36" t="s">
        <v>30</v>
      </c>
      <c r="U329" s="53" t="s">
        <v>1693</v>
      </c>
      <c r="V329" s="14"/>
      <c r="W329" s="15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</row>
    <row r="330" spans="1:91" ht="14.25" hidden="1" customHeight="1" x14ac:dyDescent="0.25">
      <c r="A330" s="26"/>
      <c r="B330" s="15"/>
      <c r="C330" s="15"/>
      <c r="D330" s="36" t="s">
        <v>1694</v>
      </c>
      <c r="E330" s="77">
        <v>10755724</v>
      </c>
      <c r="F330" s="36">
        <v>3503912909</v>
      </c>
      <c r="G330" s="301" t="s">
        <v>1695</v>
      </c>
      <c r="H330" s="36"/>
      <c r="I330" s="36" t="s">
        <v>1696</v>
      </c>
      <c r="J330" s="14" t="s">
        <v>54</v>
      </c>
      <c r="K330" s="61">
        <v>67000</v>
      </c>
      <c r="L330" s="57" t="s">
        <v>234</v>
      </c>
      <c r="M330" s="64"/>
      <c r="N330" s="65"/>
      <c r="O330" s="66"/>
      <c r="P330" s="15" t="s">
        <v>28</v>
      </c>
      <c r="Q330" s="15" t="s">
        <v>20</v>
      </c>
      <c r="R330" s="15"/>
      <c r="S330" s="15" t="s">
        <v>1697</v>
      </c>
      <c r="T330" s="15" t="s">
        <v>67</v>
      </c>
      <c r="U330" s="31" t="s">
        <v>1698</v>
      </c>
      <c r="V330" s="14"/>
      <c r="W330" s="15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</row>
    <row r="331" spans="1:91" ht="14.25" hidden="1" customHeight="1" x14ac:dyDescent="0.25">
      <c r="A331" s="26"/>
      <c r="B331" s="15"/>
      <c r="C331" s="15"/>
      <c r="D331" s="36" t="s">
        <v>1699</v>
      </c>
      <c r="E331" s="36">
        <v>36522424</v>
      </c>
      <c r="F331" s="36" t="s">
        <v>1700</v>
      </c>
      <c r="G331" s="301" t="s">
        <v>1701</v>
      </c>
      <c r="H331" s="36"/>
      <c r="I331" s="36" t="s">
        <v>1702</v>
      </c>
      <c r="J331" s="14" t="s">
        <v>35</v>
      </c>
      <c r="K331" s="61">
        <v>42000</v>
      </c>
      <c r="L331" s="57" t="s">
        <v>234</v>
      </c>
      <c r="M331" s="64"/>
      <c r="N331" s="65"/>
      <c r="O331" s="66"/>
      <c r="P331" s="15" t="s">
        <v>28</v>
      </c>
      <c r="Q331" s="15" t="s">
        <v>20</v>
      </c>
      <c r="R331" s="15"/>
      <c r="S331" s="15" t="s">
        <v>1703</v>
      </c>
      <c r="T331" s="15" t="s">
        <v>1704</v>
      </c>
      <c r="U331" s="79" t="s">
        <v>1705</v>
      </c>
      <c r="V331" s="14"/>
      <c r="W331" s="15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</row>
    <row r="332" spans="1:91" ht="14.25" hidden="1" customHeight="1" x14ac:dyDescent="0.25">
      <c r="A332" s="26"/>
      <c r="B332" s="15"/>
      <c r="C332" s="15"/>
      <c r="D332" s="36" t="s">
        <v>1706</v>
      </c>
      <c r="E332" s="36">
        <v>31933331</v>
      </c>
      <c r="F332" s="36">
        <v>3132653096</v>
      </c>
      <c r="G332" s="64" t="s">
        <v>1707</v>
      </c>
      <c r="H332" s="36"/>
      <c r="I332" s="36">
        <v>220</v>
      </c>
      <c r="J332" s="14" t="s">
        <v>35</v>
      </c>
      <c r="K332" s="65">
        <v>42000</v>
      </c>
      <c r="L332" s="57" t="s">
        <v>234</v>
      </c>
      <c r="M332" s="64"/>
      <c r="N332" s="65"/>
      <c r="O332" s="66"/>
      <c r="P332" s="15" t="s">
        <v>28</v>
      </c>
      <c r="Q332" s="15" t="s">
        <v>20</v>
      </c>
      <c r="R332" s="15"/>
      <c r="S332" s="36" t="s">
        <v>1708</v>
      </c>
      <c r="T332" s="36" t="s">
        <v>30</v>
      </c>
      <c r="U332" s="53" t="s">
        <v>1709</v>
      </c>
      <c r="V332" s="14"/>
      <c r="W332" s="15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</row>
    <row r="333" spans="1:91" ht="14.25" hidden="1" customHeight="1" x14ac:dyDescent="0.25">
      <c r="A333" s="26"/>
      <c r="B333" s="15"/>
      <c r="C333" s="15"/>
      <c r="D333" s="36" t="s">
        <v>1710</v>
      </c>
      <c r="E333" s="36">
        <v>94507852</v>
      </c>
      <c r="F333" s="36">
        <v>3136478799</v>
      </c>
      <c r="G333" s="64" t="s">
        <v>1711</v>
      </c>
      <c r="H333" s="36"/>
      <c r="I333" s="36" t="s">
        <v>1712</v>
      </c>
      <c r="J333" s="14" t="s">
        <v>54</v>
      </c>
      <c r="K333" s="65">
        <v>67000</v>
      </c>
      <c r="L333" s="57" t="s">
        <v>234</v>
      </c>
      <c r="M333" s="64"/>
      <c r="N333" s="65"/>
      <c r="O333" s="66"/>
      <c r="P333" s="15" t="s">
        <v>28</v>
      </c>
      <c r="Q333" s="15" t="s">
        <v>20</v>
      </c>
      <c r="R333" s="15"/>
      <c r="S333" s="36" t="s">
        <v>1713</v>
      </c>
      <c r="T333" s="36" t="s">
        <v>61</v>
      </c>
      <c r="U333" s="53" t="s">
        <v>1714</v>
      </c>
      <c r="V333" s="14"/>
      <c r="W333" s="15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</row>
    <row r="334" spans="1:91" ht="14.25" hidden="1" customHeight="1" x14ac:dyDescent="0.25">
      <c r="A334" s="26"/>
      <c r="B334" s="15"/>
      <c r="C334" s="15"/>
      <c r="D334" s="36" t="s">
        <v>1715</v>
      </c>
      <c r="E334" s="36">
        <v>9800462</v>
      </c>
      <c r="F334" s="36">
        <v>3103625094</v>
      </c>
      <c r="G334" s="64" t="s">
        <v>1716</v>
      </c>
      <c r="H334" s="36"/>
      <c r="I334" s="36"/>
      <c r="J334" s="14" t="s">
        <v>35</v>
      </c>
      <c r="K334" s="65">
        <v>42000</v>
      </c>
      <c r="L334" s="57" t="s">
        <v>234</v>
      </c>
      <c r="M334" s="64"/>
      <c r="N334" s="65"/>
      <c r="O334" s="66"/>
      <c r="P334" s="15" t="s">
        <v>28</v>
      </c>
      <c r="Q334" s="15" t="s">
        <v>20</v>
      </c>
      <c r="R334" s="15"/>
      <c r="S334" s="36" t="s">
        <v>1717</v>
      </c>
      <c r="T334" s="36" t="s">
        <v>67</v>
      </c>
      <c r="U334" s="47" t="s">
        <v>311</v>
      </c>
      <c r="V334" s="14"/>
      <c r="W334" s="15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</row>
    <row r="335" spans="1:91" ht="14.25" hidden="1" customHeight="1" x14ac:dyDescent="0.25">
      <c r="A335" s="26"/>
      <c r="B335" s="15"/>
      <c r="C335" s="15"/>
      <c r="D335" s="36" t="s">
        <v>1718</v>
      </c>
      <c r="E335" s="36">
        <v>1099682547</v>
      </c>
      <c r="F335" s="36">
        <v>3012013527</v>
      </c>
      <c r="G335" s="301" t="s">
        <v>1719</v>
      </c>
      <c r="H335" s="36"/>
      <c r="I335" s="36">
        <v>112</v>
      </c>
      <c r="J335" s="14" t="s">
        <v>35</v>
      </c>
      <c r="K335" s="65">
        <v>42000</v>
      </c>
      <c r="L335" s="57" t="s">
        <v>234</v>
      </c>
      <c r="M335" s="64"/>
      <c r="N335" s="65"/>
      <c r="O335" s="66"/>
      <c r="P335" s="15" t="s">
        <v>28</v>
      </c>
      <c r="Q335" s="15" t="s">
        <v>20</v>
      </c>
      <c r="R335" s="15"/>
      <c r="S335" s="36" t="s">
        <v>1720</v>
      </c>
      <c r="T335" s="36" t="s">
        <v>224</v>
      </c>
      <c r="U335" s="53" t="s">
        <v>1721</v>
      </c>
      <c r="V335" s="14"/>
      <c r="W335" s="15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</row>
    <row r="336" spans="1:91" ht="14.25" hidden="1" customHeight="1" x14ac:dyDescent="0.25">
      <c r="A336" s="26"/>
      <c r="B336" s="15"/>
      <c r="C336" s="15"/>
      <c r="D336" s="36" t="s">
        <v>1722</v>
      </c>
      <c r="E336" s="36">
        <v>1005367614</v>
      </c>
      <c r="F336" s="36">
        <v>3234683513</v>
      </c>
      <c r="G336" s="301" t="s">
        <v>1723</v>
      </c>
      <c r="H336" s="36"/>
      <c r="I336" s="36" t="s">
        <v>1724</v>
      </c>
      <c r="J336" s="15" t="s">
        <v>188</v>
      </c>
      <c r="K336" s="61">
        <v>57000</v>
      </c>
      <c r="L336" s="57" t="s">
        <v>234</v>
      </c>
      <c r="M336" s="64"/>
      <c r="N336" s="65"/>
      <c r="O336" s="66"/>
      <c r="P336" s="15" t="s">
        <v>28</v>
      </c>
      <c r="Q336" s="15" t="s">
        <v>20</v>
      </c>
      <c r="R336" s="15"/>
      <c r="S336" s="36" t="s">
        <v>1725</v>
      </c>
      <c r="T336" s="36" t="s">
        <v>1726</v>
      </c>
      <c r="U336" s="53" t="s">
        <v>1727</v>
      </c>
      <c r="V336" s="14"/>
      <c r="W336" s="15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</row>
    <row r="337" spans="1:91" ht="14.25" hidden="1" customHeight="1" x14ac:dyDescent="0.25">
      <c r="A337" s="26"/>
      <c r="B337" s="15"/>
      <c r="C337" s="15"/>
      <c r="D337" s="15" t="s">
        <v>1728</v>
      </c>
      <c r="E337" s="17">
        <v>24675065</v>
      </c>
      <c r="F337" s="17">
        <v>3154365589</v>
      </c>
      <c r="G337" s="15" t="s">
        <v>1729</v>
      </c>
      <c r="H337" s="17"/>
      <c r="I337" s="17" t="s">
        <v>1730</v>
      </c>
      <c r="J337" s="14" t="s">
        <v>35</v>
      </c>
      <c r="K337" s="61">
        <v>42000</v>
      </c>
      <c r="L337" s="57" t="s">
        <v>234</v>
      </c>
      <c r="M337" s="28"/>
      <c r="N337" s="29"/>
      <c r="O337" s="30"/>
      <c r="P337" s="15" t="s">
        <v>28</v>
      </c>
      <c r="Q337" s="15" t="s">
        <v>20</v>
      </c>
      <c r="R337" s="15"/>
      <c r="S337" s="15" t="s">
        <v>1731</v>
      </c>
      <c r="T337" s="15" t="s">
        <v>107</v>
      </c>
      <c r="U337" s="70" t="s">
        <v>1732</v>
      </c>
      <c r="V337" s="14"/>
      <c r="W337" s="15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</row>
    <row r="338" spans="1:91" ht="14.25" hidden="1" customHeight="1" x14ac:dyDescent="0.25">
      <c r="A338" s="26"/>
      <c r="B338" s="15"/>
      <c r="C338" s="15"/>
      <c r="D338" s="36" t="s">
        <v>1733</v>
      </c>
      <c r="E338" s="36">
        <v>1099683732</v>
      </c>
      <c r="F338" s="36">
        <v>3104550371</v>
      </c>
      <c r="G338" s="310" t="s">
        <v>1734</v>
      </c>
      <c r="H338" s="74">
        <v>1</v>
      </c>
      <c r="I338" s="36">
        <v>132</v>
      </c>
      <c r="J338" s="15" t="s">
        <v>188</v>
      </c>
      <c r="K338" s="61">
        <v>57000</v>
      </c>
      <c r="L338" s="57" t="s">
        <v>234</v>
      </c>
      <c r="M338" s="64"/>
      <c r="N338" s="65"/>
      <c r="O338" s="66"/>
      <c r="P338" s="15" t="s">
        <v>28</v>
      </c>
      <c r="Q338" s="15" t="s">
        <v>20</v>
      </c>
      <c r="R338" s="15"/>
      <c r="S338" s="36" t="s">
        <v>1735</v>
      </c>
      <c r="T338" s="36" t="s">
        <v>30</v>
      </c>
      <c r="U338" s="53" t="s">
        <v>1736</v>
      </c>
      <c r="V338" s="14"/>
      <c r="W338" s="15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</row>
    <row r="339" spans="1:91" ht="14.25" hidden="1" customHeight="1" x14ac:dyDescent="0.25">
      <c r="A339" s="26"/>
      <c r="B339" s="15"/>
      <c r="C339" s="15"/>
      <c r="D339" s="36" t="s">
        <v>1737</v>
      </c>
      <c r="E339" s="36">
        <v>1094896748</v>
      </c>
      <c r="F339" s="36">
        <v>3116287791</v>
      </c>
      <c r="G339" s="301" t="s">
        <v>1738</v>
      </c>
      <c r="H339" s="36"/>
      <c r="I339" s="36" t="s">
        <v>1739</v>
      </c>
      <c r="J339" s="14" t="s">
        <v>35</v>
      </c>
      <c r="K339" s="61">
        <v>42000</v>
      </c>
      <c r="L339" s="57" t="s">
        <v>234</v>
      </c>
      <c r="M339" s="64"/>
      <c r="N339" s="65"/>
      <c r="O339" s="66"/>
      <c r="P339" s="15" t="s">
        <v>28</v>
      </c>
      <c r="Q339" s="15" t="s">
        <v>20</v>
      </c>
      <c r="R339" s="15"/>
      <c r="S339" s="15" t="s">
        <v>1740</v>
      </c>
      <c r="T339" s="15" t="s">
        <v>126</v>
      </c>
      <c r="U339" s="79" t="s">
        <v>1741</v>
      </c>
      <c r="V339" s="14"/>
      <c r="W339" s="15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</row>
    <row r="340" spans="1:91" ht="14.25" hidden="1" customHeight="1" x14ac:dyDescent="0.25">
      <c r="A340" s="26"/>
      <c r="B340" s="15"/>
      <c r="C340" s="15"/>
      <c r="D340" s="36" t="s">
        <v>1742</v>
      </c>
      <c r="E340" s="36">
        <v>16191359</v>
      </c>
      <c r="F340" s="36">
        <v>3216273045</v>
      </c>
      <c r="G340" s="64" t="s">
        <v>1501</v>
      </c>
      <c r="H340" s="36"/>
      <c r="I340" s="36"/>
      <c r="J340" s="14" t="s">
        <v>35</v>
      </c>
      <c r="K340" s="61">
        <v>42000</v>
      </c>
      <c r="L340" s="57" t="s">
        <v>234</v>
      </c>
      <c r="M340" s="64"/>
      <c r="N340" s="65"/>
      <c r="O340" s="66"/>
      <c r="P340" s="15" t="s">
        <v>28</v>
      </c>
      <c r="Q340" s="15" t="s">
        <v>20</v>
      </c>
      <c r="R340" s="15"/>
      <c r="S340" s="15" t="s">
        <v>1743</v>
      </c>
      <c r="T340" s="15" t="s">
        <v>716</v>
      </c>
      <c r="U340" s="47" t="s">
        <v>311</v>
      </c>
      <c r="V340" s="14"/>
      <c r="W340" s="15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</row>
    <row r="341" spans="1:91" ht="14.25" hidden="1" customHeight="1" x14ac:dyDescent="0.25">
      <c r="A341" s="26"/>
      <c r="B341" s="15"/>
      <c r="C341" s="15"/>
      <c r="D341" s="15" t="s">
        <v>1071</v>
      </c>
      <c r="E341" s="17">
        <v>24675491</v>
      </c>
      <c r="F341" s="17">
        <v>3118664935</v>
      </c>
      <c r="G341" s="147" t="s">
        <v>1744</v>
      </c>
      <c r="H341" s="17"/>
      <c r="I341" s="17"/>
      <c r="J341" s="14" t="s">
        <v>35</v>
      </c>
      <c r="K341" s="61">
        <v>42000</v>
      </c>
      <c r="L341" s="57" t="s">
        <v>234</v>
      </c>
      <c r="M341" s="64"/>
      <c r="N341" s="65"/>
      <c r="O341" s="66"/>
      <c r="P341" s="15" t="s">
        <v>28</v>
      </c>
      <c r="Q341" s="15" t="s">
        <v>20</v>
      </c>
      <c r="R341" s="15"/>
      <c r="S341" s="15" t="s">
        <v>107</v>
      </c>
      <c r="T341" s="15" t="s">
        <v>1745</v>
      </c>
      <c r="U341" s="70" t="s">
        <v>1075</v>
      </c>
      <c r="V341" s="14"/>
      <c r="W341" s="15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</row>
    <row r="342" spans="1:91" ht="14.25" hidden="1" customHeight="1" x14ac:dyDescent="0.25">
      <c r="A342" s="26"/>
      <c r="B342" s="15"/>
      <c r="C342" s="15"/>
      <c r="D342" s="71" t="s">
        <v>1746</v>
      </c>
      <c r="E342" s="71">
        <v>1094920678</v>
      </c>
      <c r="F342" s="71" t="s">
        <v>1747</v>
      </c>
      <c r="G342" s="311" t="s">
        <v>1748</v>
      </c>
      <c r="H342" s="76">
        <v>1</v>
      </c>
      <c r="I342" s="71"/>
      <c r="J342" s="14" t="s">
        <v>35</v>
      </c>
      <c r="K342" s="61">
        <v>42000</v>
      </c>
      <c r="L342" s="57" t="s">
        <v>234</v>
      </c>
      <c r="M342" s="72"/>
      <c r="N342" s="65"/>
      <c r="O342" s="66"/>
      <c r="P342" s="15" t="s">
        <v>28</v>
      </c>
      <c r="Q342" s="15" t="s">
        <v>20</v>
      </c>
      <c r="R342" s="15"/>
      <c r="S342" s="15" t="s">
        <v>1749</v>
      </c>
      <c r="T342" s="15" t="s">
        <v>198</v>
      </c>
      <c r="U342" s="31" t="s">
        <v>1750</v>
      </c>
      <c r="V342" s="14"/>
      <c r="W342" s="15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</row>
    <row r="343" spans="1:91" ht="14.25" hidden="1" customHeight="1" x14ac:dyDescent="0.25">
      <c r="A343" s="26"/>
      <c r="B343" s="15"/>
      <c r="C343" s="15" t="s">
        <v>1754</v>
      </c>
      <c r="D343" s="36" t="s">
        <v>1755</v>
      </c>
      <c r="E343" s="77">
        <v>1005092206</v>
      </c>
      <c r="F343" s="36">
        <v>3207781722</v>
      </c>
      <c r="G343" s="301" t="s">
        <v>1756</v>
      </c>
      <c r="H343" s="36"/>
      <c r="I343" s="36" t="s">
        <v>1757</v>
      </c>
      <c r="J343" s="14" t="s">
        <v>35</v>
      </c>
      <c r="K343" s="61">
        <v>42000</v>
      </c>
      <c r="L343" s="57" t="s">
        <v>234</v>
      </c>
      <c r="M343" s="64"/>
      <c r="N343" s="65"/>
      <c r="O343" s="66"/>
      <c r="P343" s="15" t="s">
        <v>28</v>
      </c>
      <c r="Q343" s="15" t="s">
        <v>20</v>
      </c>
      <c r="R343" s="15"/>
      <c r="S343" s="36" t="s">
        <v>1758</v>
      </c>
      <c r="T343" s="36" t="s">
        <v>819</v>
      </c>
      <c r="U343" s="53" t="s">
        <v>1759</v>
      </c>
      <c r="V343" s="14"/>
      <c r="W343" s="15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</row>
    <row r="344" spans="1:91" ht="14.25" hidden="1" customHeight="1" x14ac:dyDescent="0.25">
      <c r="A344" s="26"/>
      <c r="B344" s="15"/>
      <c r="C344" s="15"/>
      <c r="D344" s="36" t="s">
        <v>1760</v>
      </c>
      <c r="E344" s="36">
        <v>24676115</v>
      </c>
      <c r="F344" s="36">
        <v>3223564649</v>
      </c>
      <c r="G344" s="64" t="s">
        <v>1761</v>
      </c>
      <c r="H344" s="36"/>
      <c r="I344" s="36"/>
      <c r="J344" s="14" t="s">
        <v>35</v>
      </c>
      <c r="K344" s="61">
        <v>42000</v>
      </c>
      <c r="L344" s="57" t="s">
        <v>234</v>
      </c>
      <c r="M344" s="64"/>
      <c r="N344" s="65"/>
      <c r="O344" s="66"/>
      <c r="P344" s="15" t="s">
        <v>28</v>
      </c>
      <c r="Q344" s="15" t="s">
        <v>20</v>
      </c>
      <c r="R344" s="15"/>
      <c r="S344" s="15" t="s">
        <v>67</v>
      </c>
      <c r="T344" s="15" t="s">
        <v>1762</v>
      </c>
      <c r="U344" s="70" t="s">
        <v>1763</v>
      </c>
      <c r="V344" s="14"/>
      <c r="W344" s="15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</row>
    <row r="345" spans="1:91" ht="14.25" hidden="1" customHeight="1" x14ac:dyDescent="0.25">
      <c r="A345" s="26"/>
      <c r="B345" s="15"/>
      <c r="C345" s="15"/>
      <c r="D345" s="36" t="s">
        <v>1764</v>
      </c>
      <c r="E345" s="36">
        <v>9801213</v>
      </c>
      <c r="F345" s="36">
        <v>3113090220</v>
      </c>
      <c r="G345" s="64" t="s">
        <v>1765</v>
      </c>
      <c r="H345" s="36"/>
      <c r="I345" s="36">
        <v>255</v>
      </c>
      <c r="J345" s="14" t="s">
        <v>35</v>
      </c>
      <c r="K345" s="61">
        <v>42000</v>
      </c>
      <c r="L345" s="57" t="s">
        <v>234</v>
      </c>
      <c r="M345" s="64"/>
      <c r="N345" s="65"/>
      <c r="O345" s="66"/>
      <c r="P345" s="15" t="s">
        <v>28</v>
      </c>
      <c r="Q345" s="15" t="s">
        <v>20</v>
      </c>
      <c r="R345" s="15"/>
      <c r="S345" s="15" t="s">
        <v>30</v>
      </c>
      <c r="T345" s="15" t="s">
        <v>1766</v>
      </c>
      <c r="U345" s="70" t="s">
        <v>1767</v>
      </c>
      <c r="V345" s="14"/>
      <c r="W345" s="15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 t="s">
        <v>1768</v>
      </c>
    </row>
    <row r="346" spans="1:91" ht="14.25" hidden="1" customHeight="1" x14ac:dyDescent="0.25">
      <c r="A346" s="26"/>
      <c r="B346" s="15"/>
      <c r="C346" s="15"/>
      <c r="D346" s="36" t="s">
        <v>1769</v>
      </c>
      <c r="E346" s="36">
        <v>1099682908</v>
      </c>
      <c r="F346" s="36">
        <v>3113815467</v>
      </c>
      <c r="G346" s="64" t="s">
        <v>208</v>
      </c>
      <c r="H346" s="36"/>
      <c r="I346" s="36">
        <v>256</v>
      </c>
      <c r="J346" s="14" t="s">
        <v>54</v>
      </c>
      <c r="K346" s="61">
        <v>67000</v>
      </c>
      <c r="L346" s="57" t="s">
        <v>234</v>
      </c>
      <c r="M346" s="64"/>
      <c r="N346" s="65"/>
      <c r="O346" s="66"/>
      <c r="P346" s="15" t="s">
        <v>28</v>
      </c>
      <c r="Q346" s="15" t="s">
        <v>20</v>
      </c>
      <c r="R346" s="15"/>
      <c r="S346" s="15" t="s">
        <v>1770</v>
      </c>
      <c r="T346" s="15" t="s">
        <v>1771</v>
      </c>
      <c r="U346" s="70" t="s">
        <v>1772</v>
      </c>
      <c r="V346" s="14"/>
      <c r="W346" s="15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</row>
    <row r="347" spans="1:91" ht="14.25" hidden="1" customHeight="1" x14ac:dyDescent="0.25">
      <c r="A347" s="26"/>
      <c r="B347" s="15"/>
      <c r="C347" s="15"/>
      <c r="D347" s="36" t="s">
        <v>1773</v>
      </c>
      <c r="E347" s="36">
        <v>1099683183</v>
      </c>
      <c r="F347" s="36">
        <v>3234686456</v>
      </c>
      <c r="G347" s="310" t="s">
        <v>1774</v>
      </c>
      <c r="H347" s="74">
        <v>1</v>
      </c>
      <c r="I347" s="36">
        <v>189</v>
      </c>
      <c r="J347" s="14" t="s">
        <v>35</v>
      </c>
      <c r="K347" s="61">
        <v>42000</v>
      </c>
      <c r="L347" s="57" t="s">
        <v>234</v>
      </c>
      <c r="M347" s="64"/>
      <c r="N347" s="65"/>
      <c r="O347" s="66"/>
      <c r="P347" s="15" t="s">
        <v>28</v>
      </c>
      <c r="Q347" s="15" t="s">
        <v>20</v>
      </c>
      <c r="R347" s="15"/>
      <c r="S347" s="36" t="s">
        <v>1775</v>
      </c>
      <c r="T347" s="36" t="s">
        <v>61</v>
      </c>
      <c r="U347" s="53" t="s">
        <v>1776</v>
      </c>
      <c r="V347" s="14"/>
      <c r="W347" s="15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</row>
    <row r="348" spans="1:91" ht="14.25" hidden="1" customHeight="1" x14ac:dyDescent="0.25">
      <c r="A348" s="26"/>
      <c r="B348" s="15"/>
      <c r="C348" s="15"/>
      <c r="D348" s="36" t="s">
        <v>747</v>
      </c>
      <c r="E348" s="36">
        <v>1099682702</v>
      </c>
      <c r="F348" s="36">
        <v>3234987716</v>
      </c>
      <c r="G348" s="64" t="s">
        <v>1777</v>
      </c>
      <c r="H348" s="36"/>
      <c r="I348" s="36" t="s">
        <v>1778</v>
      </c>
      <c r="J348" s="14" t="s">
        <v>35</v>
      </c>
      <c r="K348" s="61">
        <v>42000</v>
      </c>
      <c r="L348" s="57" t="s">
        <v>234</v>
      </c>
      <c r="M348" s="64"/>
      <c r="N348" s="65"/>
      <c r="O348" s="66"/>
      <c r="P348" s="15" t="s">
        <v>28</v>
      </c>
      <c r="Q348" s="15" t="s">
        <v>20</v>
      </c>
      <c r="R348" s="15"/>
      <c r="S348" s="15" t="s">
        <v>30</v>
      </c>
      <c r="T348" s="15" t="s">
        <v>1779</v>
      </c>
      <c r="U348" s="70" t="s">
        <v>751</v>
      </c>
      <c r="V348" s="14"/>
      <c r="W348" s="15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>
        <v>1</v>
      </c>
    </row>
    <row r="349" spans="1:91" ht="14.25" hidden="1" customHeight="1" x14ac:dyDescent="0.25">
      <c r="A349" s="26"/>
      <c r="B349" s="15"/>
      <c r="C349" s="15"/>
      <c r="D349" s="36" t="s">
        <v>1780</v>
      </c>
      <c r="E349" s="36">
        <v>25024906</v>
      </c>
      <c r="F349" s="36">
        <v>3102853981</v>
      </c>
      <c r="G349" s="64" t="s">
        <v>1781</v>
      </c>
      <c r="H349" s="36"/>
      <c r="I349" s="36" t="s">
        <v>1782</v>
      </c>
      <c r="J349" s="64" t="s">
        <v>5480</v>
      </c>
      <c r="K349" s="61">
        <v>82000</v>
      </c>
      <c r="L349" s="57" t="s">
        <v>234</v>
      </c>
      <c r="M349" s="64"/>
      <c r="N349" s="65"/>
      <c r="O349" s="66"/>
      <c r="P349" s="15" t="s">
        <v>1784</v>
      </c>
      <c r="Q349" s="15" t="s">
        <v>20</v>
      </c>
      <c r="R349" s="15"/>
      <c r="S349" s="15" t="s">
        <v>423</v>
      </c>
      <c r="T349" s="15" t="s">
        <v>1785</v>
      </c>
      <c r="U349" s="47" t="s">
        <v>311</v>
      </c>
      <c r="V349" s="14"/>
      <c r="W349" s="15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</row>
    <row r="350" spans="1:91" ht="14.25" hidden="1" customHeight="1" x14ac:dyDescent="0.25">
      <c r="A350" s="26"/>
      <c r="B350" s="15"/>
      <c r="C350" s="15"/>
      <c r="D350" s="36" t="s">
        <v>1786</v>
      </c>
      <c r="E350" s="77">
        <v>14193332</v>
      </c>
      <c r="F350" s="36">
        <v>3134572104</v>
      </c>
      <c r="G350" s="310" t="s">
        <v>1787</v>
      </c>
      <c r="H350" s="74">
        <v>1</v>
      </c>
      <c r="I350" s="36"/>
      <c r="J350" s="15" t="s">
        <v>188</v>
      </c>
      <c r="K350" s="61">
        <v>57000</v>
      </c>
      <c r="L350" s="57" t="s">
        <v>234</v>
      </c>
      <c r="M350" s="64"/>
      <c r="N350" s="65"/>
      <c r="O350" s="66"/>
      <c r="P350" s="15" t="s">
        <v>28</v>
      </c>
      <c r="Q350" s="15" t="s">
        <v>20</v>
      </c>
      <c r="R350" s="15"/>
      <c r="S350" s="15" t="s">
        <v>1788</v>
      </c>
      <c r="T350" s="15" t="s">
        <v>366</v>
      </c>
      <c r="U350" s="79" t="s">
        <v>1789</v>
      </c>
      <c r="V350" s="14"/>
      <c r="W350" s="15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</row>
    <row r="351" spans="1:91" ht="14.25" hidden="1" customHeight="1" x14ac:dyDescent="0.25">
      <c r="A351" s="26"/>
      <c r="B351" s="15"/>
      <c r="C351" s="15"/>
      <c r="D351" s="36" t="s">
        <v>1790</v>
      </c>
      <c r="E351" s="77">
        <v>1099682719</v>
      </c>
      <c r="F351" s="36">
        <v>3202536812</v>
      </c>
      <c r="G351" s="64" t="s">
        <v>1791</v>
      </c>
      <c r="H351" s="36"/>
      <c r="I351" s="36"/>
      <c r="J351" s="14" t="s">
        <v>35</v>
      </c>
      <c r="K351" s="61">
        <v>42000</v>
      </c>
      <c r="L351" s="57" t="s">
        <v>234</v>
      </c>
      <c r="M351" s="64"/>
      <c r="N351" s="65"/>
      <c r="O351" s="66"/>
      <c r="P351" s="26">
        <v>45995</v>
      </c>
      <c r="Q351" s="15" t="s">
        <v>20</v>
      </c>
      <c r="R351" s="15"/>
      <c r="S351" s="15" t="s">
        <v>1792</v>
      </c>
      <c r="T351" s="15" t="s">
        <v>217</v>
      </c>
      <c r="U351" s="79" t="s">
        <v>1793</v>
      </c>
      <c r="V351" s="14"/>
      <c r="W351" s="15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</row>
    <row r="352" spans="1:91" ht="14.25" hidden="1" customHeight="1" x14ac:dyDescent="0.25">
      <c r="A352" s="26"/>
      <c r="B352" s="15"/>
      <c r="C352" s="15"/>
      <c r="D352" s="36" t="s">
        <v>1794</v>
      </c>
      <c r="E352" s="77">
        <v>1094931866</v>
      </c>
      <c r="F352" s="36">
        <v>3135357246</v>
      </c>
      <c r="G352" s="310" t="s">
        <v>1795</v>
      </c>
      <c r="H352" s="74">
        <v>1</v>
      </c>
      <c r="I352" s="36">
        <v>185</v>
      </c>
      <c r="J352" s="14" t="s">
        <v>35</v>
      </c>
      <c r="K352" s="61">
        <v>42000</v>
      </c>
      <c r="L352" s="57" t="s">
        <v>234</v>
      </c>
      <c r="M352" s="64"/>
      <c r="N352" s="65"/>
      <c r="O352" s="66"/>
      <c r="P352" s="15" t="s">
        <v>28</v>
      </c>
      <c r="Q352" s="15" t="s">
        <v>20</v>
      </c>
      <c r="R352" s="15"/>
      <c r="S352" s="36" t="s">
        <v>1796</v>
      </c>
      <c r="T352" s="36" t="s">
        <v>819</v>
      </c>
      <c r="U352" s="53" t="s">
        <v>1090</v>
      </c>
      <c r="V352" s="14"/>
      <c r="W352" s="15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</row>
    <row r="353" spans="1:91" ht="14.25" hidden="1" customHeight="1" x14ac:dyDescent="0.25">
      <c r="A353" s="26"/>
      <c r="B353" s="15"/>
      <c r="C353" s="15"/>
      <c r="D353" s="36" t="s">
        <v>1797</v>
      </c>
      <c r="E353" s="36">
        <v>1094892141</v>
      </c>
      <c r="F353" s="36">
        <v>3148827708</v>
      </c>
      <c r="G353" s="64" t="s">
        <v>1798</v>
      </c>
      <c r="H353" s="36"/>
      <c r="I353" s="36" t="s">
        <v>1799</v>
      </c>
      <c r="J353" s="14" t="s">
        <v>35</v>
      </c>
      <c r="K353" s="61">
        <v>42000</v>
      </c>
      <c r="L353" s="57" t="s">
        <v>234</v>
      </c>
      <c r="M353" s="64"/>
      <c r="N353" s="65"/>
      <c r="O353" s="66"/>
      <c r="P353" s="15" t="s">
        <v>28</v>
      </c>
      <c r="Q353" s="15" t="s">
        <v>20</v>
      </c>
      <c r="R353" s="15"/>
      <c r="S353" s="15" t="s">
        <v>1800</v>
      </c>
      <c r="T353" s="15" t="s">
        <v>30</v>
      </c>
      <c r="U353" s="79" t="s">
        <v>1801</v>
      </c>
      <c r="V353" s="14"/>
      <c r="W353" s="15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</row>
    <row r="354" spans="1:91" ht="14.25" hidden="1" customHeight="1" x14ac:dyDescent="0.25">
      <c r="A354" s="26"/>
      <c r="B354" s="15"/>
      <c r="C354" s="15"/>
      <c r="D354" s="36" t="s">
        <v>1802</v>
      </c>
      <c r="E354" s="36">
        <v>1099682941</v>
      </c>
      <c r="F354" s="36">
        <v>3122916075</v>
      </c>
      <c r="G354" s="64" t="s">
        <v>1803</v>
      </c>
      <c r="H354" s="36"/>
      <c r="I354" s="36" t="s">
        <v>1804</v>
      </c>
      <c r="J354" s="14" t="s">
        <v>35</v>
      </c>
      <c r="K354" s="61">
        <v>42000</v>
      </c>
      <c r="L354" s="57" t="s">
        <v>234</v>
      </c>
      <c r="M354" s="64"/>
      <c r="N354" s="65"/>
      <c r="O354" s="66"/>
      <c r="P354" s="15" t="s">
        <v>28</v>
      </c>
      <c r="Q354" s="15" t="s">
        <v>20</v>
      </c>
      <c r="R354" s="15"/>
      <c r="S354" s="15" t="s">
        <v>1805</v>
      </c>
      <c r="T354" s="15" t="s">
        <v>30</v>
      </c>
      <c r="U354" s="79" t="s">
        <v>1806</v>
      </c>
      <c r="V354" s="14"/>
      <c r="W354" s="15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</row>
    <row r="355" spans="1:91" ht="14.25" hidden="1" customHeight="1" x14ac:dyDescent="0.25">
      <c r="A355" s="26"/>
      <c r="B355" s="15"/>
      <c r="C355" s="15"/>
      <c r="D355" s="36" t="s">
        <v>1807</v>
      </c>
      <c r="E355" s="36">
        <v>1099683761</v>
      </c>
      <c r="F355" s="36" t="s">
        <v>1808</v>
      </c>
      <c r="G355" s="310" t="s">
        <v>1809</v>
      </c>
      <c r="H355" s="74">
        <v>1</v>
      </c>
      <c r="I355" s="36" t="s">
        <v>1810</v>
      </c>
      <c r="J355" s="15" t="s">
        <v>188</v>
      </c>
      <c r="K355" s="61">
        <v>57000</v>
      </c>
      <c r="L355" s="57" t="s">
        <v>234</v>
      </c>
      <c r="M355" s="64"/>
      <c r="N355" s="65"/>
      <c r="O355" s="66"/>
      <c r="P355" s="15" t="s">
        <v>28</v>
      </c>
      <c r="Q355" s="15" t="s">
        <v>20</v>
      </c>
      <c r="R355" s="15"/>
      <c r="S355" s="36" t="s">
        <v>1811</v>
      </c>
      <c r="T355" s="36" t="s">
        <v>67</v>
      </c>
      <c r="U355" s="53" t="s">
        <v>1812</v>
      </c>
      <c r="V355" s="15"/>
      <c r="W355" s="15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</row>
    <row r="356" spans="1:91" ht="14.25" hidden="1" customHeight="1" x14ac:dyDescent="0.25">
      <c r="A356" s="26"/>
      <c r="B356" s="15"/>
      <c r="C356" s="15"/>
      <c r="D356" s="36" t="s">
        <v>1813</v>
      </c>
      <c r="E356" s="36">
        <v>1088030719</v>
      </c>
      <c r="F356" s="36">
        <v>3105143342</v>
      </c>
      <c r="G356" s="301" t="s">
        <v>1814</v>
      </c>
      <c r="H356" s="36"/>
      <c r="I356" s="36">
        <v>183</v>
      </c>
      <c r="J356" s="14" t="s">
        <v>448</v>
      </c>
      <c r="K356" s="61">
        <v>102000</v>
      </c>
      <c r="L356" s="57" t="s">
        <v>234</v>
      </c>
      <c r="M356" s="64"/>
      <c r="N356" s="65"/>
      <c r="O356" s="66"/>
      <c r="P356" s="15" t="s">
        <v>28</v>
      </c>
      <c r="Q356" s="15" t="s">
        <v>20</v>
      </c>
      <c r="R356" s="15"/>
      <c r="S356" s="36" t="s">
        <v>1816</v>
      </c>
      <c r="T356" s="36" t="s">
        <v>1817</v>
      </c>
      <c r="U356" s="53" t="s">
        <v>1818</v>
      </c>
      <c r="V356" s="14"/>
      <c r="W356" s="15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</row>
    <row r="357" spans="1:91" ht="14.25" hidden="1" customHeight="1" x14ac:dyDescent="0.25">
      <c r="A357" s="26"/>
      <c r="B357" s="15"/>
      <c r="C357" s="15"/>
      <c r="D357" s="36" t="s">
        <v>1819</v>
      </c>
      <c r="E357" s="36">
        <v>1005367482</v>
      </c>
      <c r="F357" s="36">
        <v>3127932938</v>
      </c>
      <c r="G357" s="301" t="s">
        <v>1820</v>
      </c>
      <c r="H357" s="36"/>
      <c r="I357" s="36" t="s">
        <v>1821</v>
      </c>
      <c r="J357" s="14" t="s">
        <v>35</v>
      </c>
      <c r="K357" s="61">
        <v>42000</v>
      </c>
      <c r="L357" s="57" t="s">
        <v>234</v>
      </c>
      <c r="M357" s="64"/>
      <c r="N357" s="65"/>
      <c r="O357" s="66"/>
      <c r="P357" s="15"/>
      <c r="Q357" s="15" t="s">
        <v>20</v>
      </c>
      <c r="R357" s="15"/>
      <c r="S357" s="15" t="s">
        <v>1822</v>
      </c>
      <c r="T357" s="15" t="s">
        <v>126</v>
      </c>
      <c r="U357" s="79" t="s">
        <v>1823</v>
      </c>
      <c r="V357" s="14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</row>
    <row r="358" spans="1:91" ht="14.25" hidden="1" customHeight="1" x14ac:dyDescent="0.25">
      <c r="A358" s="26"/>
      <c r="B358" s="15"/>
      <c r="C358" s="15"/>
      <c r="D358" s="36" t="s">
        <v>1824</v>
      </c>
      <c r="E358" s="77">
        <v>93445301</v>
      </c>
      <c r="F358" s="36" t="s">
        <v>1825</v>
      </c>
      <c r="G358" s="310" t="s">
        <v>1826</v>
      </c>
      <c r="H358" s="74">
        <v>1</v>
      </c>
      <c r="I358" s="36" t="s">
        <v>1827</v>
      </c>
      <c r="J358" s="14" t="s">
        <v>35</v>
      </c>
      <c r="K358" s="61">
        <v>42000</v>
      </c>
      <c r="L358" s="57" t="s">
        <v>234</v>
      </c>
      <c r="M358" s="64"/>
      <c r="N358" s="65"/>
      <c r="O358" s="66"/>
      <c r="P358" s="15" t="s">
        <v>28</v>
      </c>
      <c r="Q358" s="15" t="s">
        <v>20</v>
      </c>
      <c r="R358" s="15"/>
      <c r="S358" s="15" t="s">
        <v>1828</v>
      </c>
      <c r="T358" s="15" t="s">
        <v>716</v>
      </c>
      <c r="U358" s="31" t="s">
        <v>1829</v>
      </c>
      <c r="V358" s="14"/>
      <c r="W358" s="15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</row>
    <row r="359" spans="1:91" ht="14.25" hidden="1" customHeight="1" x14ac:dyDescent="0.25">
      <c r="A359" s="26"/>
      <c r="B359" s="15"/>
      <c r="C359" s="15"/>
      <c r="D359" s="36" t="s">
        <v>1830</v>
      </c>
      <c r="E359" s="36">
        <v>24675917</v>
      </c>
      <c r="F359" s="36">
        <v>3105185792</v>
      </c>
      <c r="G359" s="301" t="s">
        <v>1831</v>
      </c>
      <c r="H359" s="36"/>
      <c r="I359" s="36">
        <v>81</v>
      </c>
      <c r="J359" s="14" t="s">
        <v>35</v>
      </c>
      <c r="K359" s="61">
        <v>42000</v>
      </c>
      <c r="L359" s="57" t="s">
        <v>234</v>
      </c>
      <c r="M359" s="64"/>
      <c r="N359" s="65"/>
      <c r="O359" s="66"/>
      <c r="P359" s="15" t="s">
        <v>28</v>
      </c>
      <c r="Q359" s="15" t="s">
        <v>20</v>
      </c>
      <c r="R359" s="15"/>
      <c r="S359" s="36" t="s">
        <v>1832</v>
      </c>
      <c r="T359" s="36" t="s">
        <v>224</v>
      </c>
      <c r="U359" s="86" t="s">
        <v>1833</v>
      </c>
      <c r="V359" s="14"/>
      <c r="W359" s="15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</row>
    <row r="360" spans="1:91" ht="14.25" hidden="1" customHeight="1" x14ac:dyDescent="0.25">
      <c r="A360" s="26"/>
      <c r="B360" s="15"/>
      <c r="C360" s="15"/>
      <c r="D360" s="36" t="s">
        <v>1834</v>
      </c>
      <c r="E360" s="77">
        <v>24675429</v>
      </c>
      <c r="F360" s="36">
        <v>3175854613</v>
      </c>
      <c r="G360" s="310" t="s">
        <v>1835</v>
      </c>
      <c r="H360" s="74">
        <v>1</v>
      </c>
      <c r="I360" s="36"/>
      <c r="J360" s="14" t="s">
        <v>35</v>
      </c>
      <c r="K360" s="61">
        <v>42000</v>
      </c>
      <c r="L360" s="57" t="s">
        <v>234</v>
      </c>
      <c r="M360" s="64"/>
      <c r="N360" s="65"/>
      <c r="O360" s="66"/>
      <c r="P360" s="15" t="s">
        <v>28</v>
      </c>
      <c r="Q360" s="15" t="s">
        <v>20</v>
      </c>
      <c r="R360" s="15"/>
      <c r="S360" s="15" t="s">
        <v>1836</v>
      </c>
      <c r="T360" s="15" t="s">
        <v>1837</v>
      </c>
      <c r="U360" s="79" t="s">
        <v>1838</v>
      </c>
      <c r="V360" s="14"/>
      <c r="W360" s="15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</row>
    <row r="361" spans="1:91" ht="14.25" hidden="1" customHeight="1" x14ac:dyDescent="0.25">
      <c r="A361" s="26"/>
      <c r="B361" s="15"/>
      <c r="C361" s="15"/>
      <c r="D361" s="36" t="s">
        <v>1839</v>
      </c>
      <c r="E361" s="36">
        <v>24676103</v>
      </c>
      <c r="F361" s="36">
        <v>3128722097</v>
      </c>
      <c r="G361" s="64" t="s">
        <v>1840</v>
      </c>
      <c r="H361" s="36"/>
      <c r="I361" s="36"/>
      <c r="J361" s="14" t="s">
        <v>35</v>
      </c>
      <c r="K361" s="61">
        <v>42000</v>
      </c>
      <c r="L361" s="57" t="s">
        <v>234</v>
      </c>
      <c r="M361" s="64"/>
      <c r="N361" s="65"/>
      <c r="O361" s="66"/>
      <c r="P361" s="15" t="s">
        <v>28</v>
      </c>
      <c r="Q361" s="15" t="s">
        <v>20</v>
      </c>
      <c r="R361" s="15"/>
      <c r="S361" s="15" t="s">
        <v>1841</v>
      </c>
      <c r="T361" s="15" t="s">
        <v>30</v>
      </c>
      <c r="U361" s="79" t="s">
        <v>1842</v>
      </c>
      <c r="V361" s="14"/>
      <c r="W361" s="15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</row>
    <row r="362" spans="1:91" ht="14.25" hidden="1" customHeight="1" x14ac:dyDescent="0.25">
      <c r="A362" s="26"/>
      <c r="B362" s="15"/>
      <c r="C362" s="15"/>
      <c r="D362" s="36" t="s">
        <v>1843</v>
      </c>
      <c r="E362" s="36">
        <v>1115188975</v>
      </c>
      <c r="F362" s="36">
        <v>3118430976</v>
      </c>
      <c r="G362" s="301" t="s">
        <v>1844</v>
      </c>
      <c r="H362" s="36"/>
      <c r="I362" s="36" t="s">
        <v>1845</v>
      </c>
      <c r="J362" s="14" t="s">
        <v>35</v>
      </c>
      <c r="K362" s="61">
        <v>42000</v>
      </c>
      <c r="L362" s="57" t="s">
        <v>234</v>
      </c>
      <c r="M362" s="64"/>
      <c r="N362" s="65"/>
      <c r="O362" s="66"/>
      <c r="P362" s="15" t="s">
        <v>1846</v>
      </c>
      <c r="Q362" s="15" t="s">
        <v>20</v>
      </c>
      <c r="R362" s="15"/>
      <c r="S362" s="15" t="s">
        <v>30</v>
      </c>
      <c r="T362" s="15" t="s">
        <v>1847</v>
      </c>
      <c r="U362" s="79" t="s">
        <v>1848</v>
      </c>
      <c r="V362" s="14"/>
      <c r="W362" s="15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</row>
    <row r="363" spans="1:91" ht="14.25" hidden="1" customHeight="1" x14ac:dyDescent="0.25">
      <c r="A363" s="26"/>
      <c r="B363" s="15"/>
      <c r="C363" s="15"/>
      <c r="D363" s="36" t="s">
        <v>1849</v>
      </c>
      <c r="E363" s="77">
        <v>1099683854</v>
      </c>
      <c r="F363" s="36">
        <v>3153334145</v>
      </c>
      <c r="G363" s="310" t="s">
        <v>1850</v>
      </c>
      <c r="H363" s="74">
        <v>1</v>
      </c>
      <c r="I363" s="36" t="s">
        <v>1851</v>
      </c>
      <c r="J363" s="14" t="s">
        <v>35</v>
      </c>
      <c r="K363" s="61">
        <v>42000</v>
      </c>
      <c r="L363" s="57" t="s">
        <v>234</v>
      </c>
      <c r="M363" s="64"/>
      <c r="N363" s="65"/>
      <c r="O363" s="66"/>
      <c r="P363" s="15" t="s">
        <v>28</v>
      </c>
      <c r="Q363" s="15" t="s">
        <v>20</v>
      </c>
      <c r="R363" s="15"/>
      <c r="S363" s="15" t="s">
        <v>1852</v>
      </c>
      <c r="T363" s="15" t="s">
        <v>49</v>
      </c>
      <c r="U363" s="79" t="s">
        <v>1853</v>
      </c>
      <c r="V363" s="14"/>
      <c r="W363" s="15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</row>
    <row r="364" spans="1:91" ht="14.25" hidden="1" customHeight="1" x14ac:dyDescent="0.25">
      <c r="A364" s="26"/>
      <c r="B364" s="15"/>
      <c r="C364" s="15"/>
      <c r="D364" s="36" t="s">
        <v>1854</v>
      </c>
      <c r="E364" s="77">
        <v>1099683495</v>
      </c>
      <c r="F364" s="36">
        <v>3204319906</v>
      </c>
      <c r="G364" s="301" t="s">
        <v>1855</v>
      </c>
      <c r="H364" s="36"/>
      <c r="I364" s="36">
        <v>502</v>
      </c>
      <c r="J364" s="14" t="s">
        <v>35</v>
      </c>
      <c r="K364" s="61">
        <v>42000</v>
      </c>
      <c r="L364" s="57" t="s">
        <v>234</v>
      </c>
      <c r="M364" s="64"/>
      <c r="N364" s="65"/>
      <c r="O364" s="66"/>
      <c r="P364" s="15" t="s">
        <v>28</v>
      </c>
      <c r="Q364" s="15" t="s">
        <v>20</v>
      </c>
      <c r="R364" s="15"/>
      <c r="S364" s="15" t="s">
        <v>5602</v>
      </c>
      <c r="T364" s="15" t="s">
        <v>30</v>
      </c>
      <c r="U364" s="79" t="s">
        <v>1856</v>
      </c>
      <c r="V364" s="14"/>
      <c r="W364" s="15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</row>
    <row r="365" spans="1:91" ht="14.25" hidden="1" customHeight="1" x14ac:dyDescent="0.25">
      <c r="A365" s="26"/>
      <c r="B365" s="15"/>
      <c r="C365" s="15"/>
      <c r="D365" s="71" t="s">
        <v>1857</v>
      </c>
      <c r="E365" s="71">
        <v>1099684079</v>
      </c>
      <c r="F365" s="71">
        <v>3206184429</v>
      </c>
      <c r="G365" s="299" t="s">
        <v>1858</v>
      </c>
      <c r="H365" s="71"/>
      <c r="I365" s="71" t="s">
        <v>1859</v>
      </c>
      <c r="J365" s="14" t="s">
        <v>35</v>
      </c>
      <c r="K365" s="61">
        <v>42000</v>
      </c>
      <c r="L365" s="57" t="s">
        <v>234</v>
      </c>
      <c r="M365" s="72"/>
      <c r="N365" s="65"/>
      <c r="O365" s="66"/>
      <c r="P365" s="15" t="s">
        <v>28</v>
      </c>
      <c r="Q365" s="15" t="s">
        <v>20</v>
      </c>
      <c r="R365" s="15"/>
      <c r="S365" s="15" t="s">
        <v>1860</v>
      </c>
      <c r="T365" s="15" t="s">
        <v>30</v>
      </c>
      <c r="U365" s="79" t="s">
        <v>1861</v>
      </c>
      <c r="V365" s="14"/>
      <c r="W365" s="15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</row>
    <row r="366" spans="1:91" ht="14.25" hidden="1" customHeight="1" x14ac:dyDescent="0.25">
      <c r="A366" s="26"/>
      <c r="B366" s="15"/>
      <c r="C366" s="15"/>
      <c r="D366" s="36" t="s">
        <v>1866</v>
      </c>
      <c r="E366" s="36">
        <v>9802190</v>
      </c>
      <c r="F366" s="36">
        <v>3147954857</v>
      </c>
      <c r="G366" s="310" t="s">
        <v>1867</v>
      </c>
      <c r="H366" s="74">
        <v>1</v>
      </c>
      <c r="I366" s="36" t="s">
        <v>1868</v>
      </c>
      <c r="J366" s="14" t="s">
        <v>35</v>
      </c>
      <c r="K366" s="61">
        <v>42000</v>
      </c>
      <c r="L366" s="57" t="s">
        <v>234</v>
      </c>
      <c r="M366" s="64"/>
      <c r="N366" s="65"/>
      <c r="O366" s="66"/>
      <c r="P366" s="15" t="s">
        <v>28</v>
      </c>
      <c r="Q366" s="15" t="s">
        <v>20</v>
      </c>
      <c r="R366" s="15"/>
      <c r="S366" s="15" t="s">
        <v>1869</v>
      </c>
      <c r="T366" s="15" t="s">
        <v>1870</v>
      </c>
      <c r="U366" s="79" t="s">
        <v>1871</v>
      </c>
      <c r="V366" s="14"/>
      <c r="W366" s="15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</row>
    <row r="367" spans="1:91" ht="14.25" hidden="1" customHeight="1" x14ac:dyDescent="0.25">
      <c r="A367" s="26"/>
      <c r="B367" s="15"/>
      <c r="C367" s="15"/>
      <c r="D367" s="36" t="s">
        <v>1872</v>
      </c>
      <c r="E367" s="36">
        <v>24675442</v>
      </c>
      <c r="F367" s="36">
        <v>3108869803</v>
      </c>
      <c r="G367" s="64" t="s">
        <v>1873</v>
      </c>
      <c r="H367" s="36"/>
      <c r="I367" s="36"/>
      <c r="J367" s="14" t="s">
        <v>35</v>
      </c>
      <c r="K367" s="61">
        <v>42000</v>
      </c>
      <c r="L367" s="57" t="s">
        <v>234</v>
      </c>
      <c r="M367" s="64"/>
      <c r="N367" s="65"/>
      <c r="O367" s="66"/>
      <c r="P367" s="15" t="s">
        <v>28</v>
      </c>
      <c r="Q367" s="15" t="s">
        <v>20</v>
      </c>
      <c r="R367" s="15"/>
      <c r="S367" s="15" t="s">
        <v>1874</v>
      </c>
      <c r="T367" s="15" t="s">
        <v>497</v>
      </c>
      <c r="U367" s="79" t="s">
        <v>1875</v>
      </c>
      <c r="V367" s="14"/>
      <c r="W367" s="15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</row>
    <row r="368" spans="1:91" ht="14.25" hidden="1" customHeight="1" x14ac:dyDescent="0.25">
      <c r="A368" s="26"/>
      <c r="B368" s="15"/>
      <c r="C368" s="15"/>
      <c r="D368" s="36" t="s">
        <v>1876</v>
      </c>
      <c r="E368" s="36">
        <v>24675147</v>
      </c>
      <c r="F368" s="36">
        <v>3136396850</v>
      </c>
      <c r="G368" s="64" t="s">
        <v>1877</v>
      </c>
      <c r="H368" s="36"/>
      <c r="I368" s="36" t="s">
        <v>1878</v>
      </c>
      <c r="J368" s="14" t="s">
        <v>35</v>
      </c>
      <c r="K368" s="61">
        <v>42000</v>
      </c>
      <c r="L368" s="57" t="s">
        <v>234</v>
      </c>
      <c r="M368" s="64"/>
      <c r="N368" s="65"/>
      <c r="O368" s="66"/>
      <c r="P368" s="15" t="s">
        <v>28</v>
      </c>
      <c r="Q368" s="15" t="s">
        <v>20</v>
      </c>
      <c r="R368" s="15"/>
      <c r="S368" s="15" t="s">
        <v>1879</v>
      </c>
      <c r="T368" s="15" t="s">
        <v>30</v>
      </c>
      <c r="U368" s="79" t="s">
        <v>1880</v>
      </c>
      <c r="V368" s="14"/>
      <c r="W368" s="15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</row>
    <row r="369" spans="1:91" ht="14.25" hidden="1" customHeight="1" x14ac:dyDescent="0.25">
      <c r="A369" s="26"/>
      <c r="B369" s="15"/>
      <c r="C369" s="15"/>
      <c r="D369" s="36" t="s">
        <v>1881</v>
      </c>
      <c r="E369" s="36">
        <v>1098576034</v>
      </c>
      <c r="F369" s="36">
        <v>3127542599</v>
      </c>
      <c r="G369" s="64" t="s">
        <v>1882</v>
      </c>
      <c r="H369" s="36"/>
      <c r="I369" s="36" t="s">
        <v>1883</v>
      </c>
      <c r="J369" s="15" t="s">
        <v>188</v>
      </c>
      <c r="K369" s="61">
        <v>57000</v>
      </c>
      <c r="L369" s="57" t="s">
        <v>234</v>
      </c>
      <c r="M369" s="64"/>
      <c r="N369" s="65"/>
      <c r="O369" s="66"/>
      <c r="P369" s="15" t="s">
        <v>28</v>
      </c>
      <c r="Q369" s="15" t="s">
        <v>20</v>
      </c>
      <c r="R369" s="15"/>
      <c r="S369" s="15" t="s">
        <v>1884</v>
      </c>
      <c r="T369" s="15" t="s">
        <v>236</v>
      </c>
      <c r="U369" s="79" t="s">
        <v>1885</v>
      </c>
      <c r="V369" s="14"/>
      <c r="W369" s="15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</row>
    <row r="370" spans="1:91" ht="14.25" hidden="1" customHeight="1" x14ac:dyDescent="0.25">
      <c r="A370" s="26"/>
      <c r="B370" s="15"/>
      <c r="C370" s="15"/>
      <c r="D370" s="36" t="s">
        <v>1886</v>
      </c>
      <c r="E370" s="36">
        <v>9866381</v>
      </c>
      <c r="F370" s="36">
        <v>3136396850</v>
      </c>
      <c r="G370" s="64" t="s">
        <v>1887</v>
      </c>
      <c r="H370" s="36"/>
      <c r="I370" s="36"/>
      <c r="J370" s="14" t="s">
        <v>35</v>
      </c>
      <c r="K370" s="61">
        <v>42000</v>
      </c>
      <c r="L370" s="57" t="s">
        <v>234</v>
      </c>
      <c r="M370" s="64"/>
      <c r="N370" s="65"/>
      <c r="O370" s="66"/>
      <c r="P370" s="15" t="s">
        <v>28</v>
      </c>
      <c r="Q370" s="15" t="s">
        <v>20</v>
      </c>
      <c r="R370" s="15"/>
      <c r="S370" s="15" t="s">
        <v>1888</v>
      </c>
      <c r="T370" s="15" t="s">
        <v>30</v>
      </c>
      <c r="U370" s="79" t="s">
        <v>1889</v>
      </c>
      <c r="V370" s="14"/>
      <c r="W370" s="15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</row>
    <row r="371" spans="1:91" ht="14.25" hidden="1" customHeight="1" x14ac:dyDescent="0.25">
      <c r="A371" s="26"/>
      <c r="B371" s="15"/>
      <c r="C371" s="15"/>
      <c r="D371" s="36" t="s">
        <v>1890</v>
      </c>
      <c r="E371" s="36">
        <v>24674250</v>
      </c>
      <c r="F371" s="36">
        <v>3234902962</v>
      </c>
      <c r="G371" s="64" t="s">
        <v>1891</v>
      </c>
      <c r="H371" s="36"/>
      <c r="I371" s="36" t="s">
        <v>1892</v>
      </c>
      <c r="J371" s="14" t="s">
        <v>35</v>
      </c>
      <c r="K371" s="61">
        <v>42000</v>
      </c>
      <c r="L371" s="57" t="s">
        <v>234</v>
      </c>
      <c r="M371" s="64"/>
      <c r="N371" s="65"/>
      <c r="O371" s="66"/>
      <c r="P371" s="15" t="s">
        <v>28</v>
      </c>
      <c r="Q371" s="15" t="s">
        <v>20</v>
      </c>
      <c r="R371" s="15"/>
      <c r="S371" s="15" t="s">
        <v>1893</v>
      </c>
      <c r="T371" s="15" t="s">
        <v>30</v>
      </c>
      <c r="U371" s="47" t="s">
        <v>311</v>
      </c>
      <c r="V371" s="14"/>
      <c r="W371" s="15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</row>
    <row r="372" spans="1:91" ht="14.25" hidden="1" customHeight="1" x14ac:dyDescent="0.25">
      <c r="A372" s="26"/>
      <c r="B372" s="15"/>
      <c r="C372" s="15"/>
      <c r="D372" s="36" t="s">
        <v>1894</v>
      </c>
      <c r="E372" s="36">
        <v>1099682443</v>
      </c>
      <c r="F372" s="36">
        <v>3137727349</v>
      </c>
      <c r="G372" s="301" t="s">
        <v>1895</v>
      </c>
      <c r="H372" s="36"/>
      <c r="I372" s="36" t="s">
        <v>1896</v>
      </c>
      <c r="J372" s="14" t="s">
        <v>35</v>
      </c>
      <c r="K372" s="61">
        <v>42000</v>
      </c>
      <c r="L372" s="57" t="s">
        <v>234</v>
      </c>
      <c r="M372" s="64"/>
      <c r="N372" s="65"/>
      <c r="O372" s="66"/>
      <c r="P372" s="15" t="s">
        <v>28</v>
      </c>
      <c r="Q372" s="15" t="s">
        <v>20</v>
      </c>
      <c r="R372" s="15"/>
      <c r="S372" s="15" t="s">
        <v>1897</v>
      </c>
      <c r="T372" s="15" t="s">
        <v>217</v>
      </c>
      <c r="U372" s="79" t="s">
        <v>1898</v>
      </c>
      <c r="V372" s="14"/>
      <c r="W372" s="15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>
        <v>1</v>
      </c>
    </row>
    <row r="373" spans="1:91" ht="14.25" hidden="1" customHeight="1" x14ac:dyDescent="0.25">
      <c r="A373" s="26"/>
      <c r="B373" s="15"/>
      <c r="C373" s="15"/>
      <c r="D373" s="36" t="s">
        <v>1899</v>
      </c>
      <c r="E373" s="36">
        <v>1094886347</v>
      </c>
      <c r="F373" s="36">
        <v>3147488999</v>
      </c>
      <c r="G373" s="64" t="s">
        <v>1900</v>
      </c>
      <c r="H373" s="36"/>
      <c r="I373" s="36"/>
      <c r="J373" s="14" t="s">
        <v>35</v>
      </c>
      <c r="K373" s="61">
        <v>42000</v>
      </c>
      <c r="L373" s="57" t="s">
        <v>234</v>
      </c>
      <c r="M373" s="64"/>
      <c r="N373" s="65"/>
      <c r="O373" s="66"/>
      <c r="P373" s="15" t="s">
        <v>28</v>
      </c>
      <c r="Q373" s="15" t="s">
        <v>20</v>
      </c>
      <c r="R373" s="15"/>
      <c r="S373" s="15" t="s">
        <v>1901</v>
      </c>
      <c r="T373" s="15" t="s">
        <v>30</v>
      </c>
      <c r="U373" s="79" t="s">
        <v>1902</v>
      </c>
      <c r="V373" s="14"/>
      <c r="W373" s="15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</row>
    <row r="374" spans="1:91" ht="14.25" hidden="1" customHeight="1" x14ac:dyDescent="0.25">
      <c r="A374" s="26"/>
      <c r="B374" s="15"/>
      <c r="C374" s="15" t="s">
        <v>1903</v>
      </c>
      <c r="D374" s="36" t="s">
        <v>1904</v>
      </c>
      <c r="E374" s="36">
        <v>1099683532</v>
      </c>
      <c r="F374" s="36">
        <v>3105069373</v>
      </c>
      <c r="G374" s="301" t="s">
        <v>1905</v>
      </c>
      <c r="H374" s="36"/>
      <c r="I374" s="36"/>
      <c r="J374" s="14" t="s">
        <v>35</v>
      </c>
      <c r="K374" s="61">
        <v>42000</v>
      </c>
      <c r="L374" s="57" t="s">
        <v>234</v>
      </c>
      <c r="M374" s="64"/>
      <c r="N374" s="65"/>
      <c r="O374" s="66"/>
      <c r="P374" s="15" t="s">
        <v>28</v>
      </c>
      <c r="Q374" s="15" t="s">
        <v>20</v>
      </c>
      <c r="R374" s="15"/>
      <c r="S374" s="15" t="s">
        <v>1906</v>
      </c>
      <c r="T374" s="15" t="s">
        <v>67</v>
      </c>
      <c r="U374" s="47" t="s">
        <v>311</v>
      </c>
      <c r="V374" s="14"/>
      <c r="W374" s="15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</row>
    <row r="375" spans="1:91" ht="14.25" hidden="1" customHeight="1" x14ac:dyDescent="0.25">
      <c r="A375" s="26"/>
      <c r="B375" s="15"/>
      <c r="C375" s="15"/>
      <c r="D375" s="36" t="s">
        <v>1907</v>
      </c>
      <c r="E375" s="36">
        <v>1083905987</v>
      </c>
      <c r="F375" s="36">
        <v>3107676689</v>
      </c>
      <c r="G375" s="64" t="s">
        <v>1908</v>
      </c>
      <c r="H375" s="36"/>
      <c r="I375" s="36"/>
      <c r="J375" s="14" t="s">
        <v>35</v>
      </c>
      <c r="K375" s="61">
        <v>42000</v>
      </c>
      <c r="L375" s="57" t="s">
        <v>234</v>
      </c>
      <c r="M375" s="64"/>
      <c r="N375" s="65"/>
      <c r="O375" s="66"/>
      <c r="P375" s="15" t="s">
        <v>28</v>
      </c>
      <c r="Q375" s="15" t="s">
        <v>20</v>
      </c>
      <c r="R375" s="15"/>
      <c r="S375" s="15" t="s">
        <v>1909</v>
      </c>
      <c r="T375" s="15" t="s">
        <v>497</v>
      </c>
      <c r="U375" s="79" t="s">
        <v>1910</v>
      </c>
      <c r="V375" s="14"/>
      <c r="W375" s="15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</row>
    <row r="376" spans="1:91" ht="14.25" hidden="1" customHeight="1" x14ac:dyDescent="0.25">
      <c r="A376" s="26"/>
      <c r="B376" s="15"/>
      <c r="C376" s="15"/>
      <c r="D376" s="36" t="s">
        <v>1911</v>
      </c>
      <c r="E376" s="36">
        <v>42897953</v>
      </c>
      <c r="F376" s="36">
        <v>3127841843</v>
      </c>
      <c r="G376" s="64" t="s">
        <v>1912</v>
      </c>
      <c r="H376" s="36"/>
      <c r="I376" s="36"/>
      <c r="J376" s="14" t="s">
        <v>35</v>
      </c>
      <c r="K376" s="61">
        <v>42000</v>
      </c>
      <c r="L376" s="57" t="s">
        <v>234</v>
      </c>
      <c r="M376" s="64"/>
      <c r="N376" s="65"/>
      <c r="O376" s="66"/>
      <c r="P376" s="15" t="s">
        <v>28</v>
      </c>
      <c r="Q376" s="15" t="s">
        <v>20</v>
      </c>
      <c r="R376" s="15"/>
      <c r="S376" s="15" t="s">
        <v>1913</v>
      </c>
      <c r="T376" s="15" t="s">
        <v>30</v>
      </c>
      <c r="U376" s="15" t="s">
        <v>234</v>
      </c>
      <c r="V376" s="14"/>
      <c r="W376" s="15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</row>
    <row r="377" spans="1:91" ht="14.25" hidden="1" customHeight="1" x14ac:dyDescent="0.25">
      <c r="A377" s="26"/>
      <c r="B377" s="15"/>
      <c r="C377" s="15"/>
      <c r="D377" s="36" t="s">
        <v>1914</v>
      </c>
      <c r="E377" s="36">
        <v>20468271</v>
      </c>
      <c r="F377" s="36">
        <v>3122164137</v>
      </c>
      <c r="G377" s="64" t="s">
        <v>1915</v>
      </c>
      <c r="H377" s="36"/>
      <c r="I377" s="36"/>
      <c r="J377" s="14" t="s">
        <v>35</v>
      </c>
      <c r="K377" s="61">
        <v>42000</v>
      </c>
      <c r="L377" s="57" t="s">
        <v>234</v>
      </c>
      <c r="M377" s="64"/>
      <c r="N377" s="65"/>
      <c r="O377" s="66"/>
      <c r="P377" s="15" t="s">
        <v>28</v>
      </c>
      <c r="Q377" s="15" t="s">
        <v>20</v>
      </c>
      <c r="R377" s="15"/>
      <c r="S377" s="15" t="s">
        <v>1916</v>
      </c>
      <c r="T377" s="15" t="s">
        <v>126</v>
      </c>
      <c r="U377" s="79" t="s">
        <v>1917</v>
      </c>
      <c r="V377" s="14"/>
      <c r="W377" s="15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</row>
    <row r="378" spans="1:91" ht="14.25" hidden="1" customHeight="1" x14ac:dyDescent="0.25">
      <c r="A378" s="26"/>
      <c r="B378" s="15"/>
      <c r="C378" s="15"/>
      <c r="D378" s="36" t="s">
        <v>1918</v>
      </c>
      <c r="E378" s="77">
        <v>1099683258</v>
      </c>
      <c r="F378" s="36">
        <v>3208889900</v>
      </c>
      <c r="G378" s="310" t="s">
        <v>1919</v>
      </c>
      <c r="H378" s="74">
        <v>1</v>
      </c>
      <c r="I378" s="36" t="s">
        <v>1920</v>
      </c>
      <c r="J378" s="14" t="s">
        <v>35</v>
      </c>
      <c r="K378" s="61">
        <v>42000</v>
      </c>
      <c r="L378" s="57" t="s">
        <v>234</v>
      </c>
      <c r="M378" s="64"/>
      <c r="N378" s="65"/>
      <c r="O378" s="66"/>
      <c r="P378" s="15" t="s">
        <v>28</v>
      </c>
      <c r="Q378" s="15" t="s">
        <v>20</v>
      </c>
      <c r="R378" s="15"/>
      <c r="S378" s="15" t="s">
        <v>1921</v>
      </c>
      <c r="T378" s="15" t="s">
        <v>819</v>
      </c>
      <c r="U378" s="79" t="s">
        <v>1922</v>
      </c>
      <c r="V378" s="14"/>
      <c r="W378" s="15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</row>
    <row r="379" spans="1:91" ht="14.25" hidden="1" customHeight="1" x14ac:dyDescent="0.25">
      <c r="A379" s="26"/>
      <c r="B379" s="15"/>
      <c r="C379" s="15"/>
      <c r="D379" s="36" t="s">
        <v>1923</v>
      </c>
      <c r="E379" s="36">
        <v>24674738</v>
      </c>
      <c r="F379" s="36">
        <v>3103820440</v>
      </c>
      <c r="G379" s="64" t="s">
        <v>1924</v>
      </c>
      <c r="H379" s="36"/>
      <c r="I379" s="36"/>
      <c r="J379" s="14" t="s">
        <v>35</v>
      </c>
      <c r="K379" s="61">
        <v>42000</v>
      </c>
      <c r="L379" s="57" t="s">
        <v>234</v>
      </c>
      <c r="M379" s="64"/>
      <c r="N379" s="65"/>
      <c r="O379" s="66"/>
      <c r="P379" s="15" t="s">
        <v>28</v>
      </c>
      <c r="Q379" s="15" t="s">
        <v>20</v>
      </c>
      <c r="R379" s="15"/>
      <c r="S379" s="15" t="s">
        <v>1925</v>
      </c>
      <c r="T379" s="15" t="s">
        <v>61</v>
      </c>
      <c r="U379" s="79" t="s">
        <v>1926</v>
      </c>
      <c r="V379" s="14"/>
      <c r="W379" s="15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</row>
    <row r="380" spans="1:91" ht="14.25" hidden="1" customHeight="1" x14ac:dyDescent="0.25">
      <c r="A380" s="26"/>
      <c r="B380" s="15"/>
      <c r="C380" s="15"/>
      <c r="D380" s="36" t="s">
        <v>1927</v>
      </c>
      <c r="E380" s="36">
        <v>1099682111</v>
      </c>
      <c r="F380" s="17" t="s">
        <v>1928</v>
      </c>
      <c r="G380" s="313" t="s">
        <v>1929</v>
      </c>
      <c r="H380" s="34">
        <v>1</v>
      </c>
      <c r="I380" s="17" t="s">
        <v>1930</v>
      </c>
      <c r="J380" s="14" t="s">
        <v>35</v>
      </c>
      <c r="K380" s="61">
        <v>42000</v>
      </c>
      <c r="L380" s="57" t="s">
        <v>234</v>
      </c>
      <c r="M380" s="64"/>
      <c r="N380" s="65"/>
      <c r="O380" s="66"/>
      <c r="P380" s="15" t="s">
        <v>28</v>
      </c>
      <c r="Q380" s="15" t="s">
        <v>20</v>
      </c>
      <c r="R380" s="15"/>
      <c r="S380" s="15" t="s">
        <v>1931</v>
      </c>
      <c r="T380" s="15" t="s">
        <v>1932</v>
      </c>
      <c r="U380" s="79" t="s">
        <v>1933</v>
      </c>
      <c r="V380" s="14"/>
      <c r="W380" s="15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</row>
    <row r="381" spans="1:91" ht="14.25" hidden="1" customHeight="1" x14ac:dyDescent="0.25">
      <c r="A381" s="26"/>
      <c r="B381" s="15"/>
      <c r="C381" s="15"/>
      <c r="D381" s="36" t="s">
        <v>1934</v>
      </c>
      <c r="E381" s="36">
        <v>4378140</v>
      </c>
      <c r="F381" s="36">
        <v>3127035909</v>
      </c>
      <c r="G381" s="64" t="s">
        <v>1935</v>
      </c>
      <c r="H381" s="36"/>
      <c r="I381" s="36" t="s">
        <v>1936</v>
      </c>
      <c r="J381" s="14" t="s">
        <v>35</v>
      </c>
      <c r="K381" s="61">
        <v>42000</v>
      </c>
      <c r="L381" s="57" t="s">
        <v>234</v>
      </c>
      <c r="M381" s="64"/>
      <c r="N381" s="65"/>
      <c r="O381" s="66"/>
      <c r="P381" s="15" t="s">
        <v>28</v>
      </c>
      <c r="Q381" s="15" t="s">
        <v>20</v>
      </c>
      <c r="R381" s="15"/>
      <c r="S381" s="15" t="s">
        <v>1937</v>
      </c>
      <c r="T381" s="15" t="s">
        <v>198</v>
      </c>
      <c r="U381" s="79" t="s">
        <v>1938</v>
      </c>
      <c r="V381" s="14"/>
      <c r="W381" s="15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</row>
    <row r="382" spans="1:91" ht="14.25" hidden="1" customHeight="1" x14ac:dyDescent="0.25">
      <c r="A382" s="26"/>
      <c r="B382" s="15"/>
      <c r="C382" s="15"/>
      <c r="D382" s="36" t="s">
        <v>1939</v>
      </c>
      <c r="E382" s="36">
        <v>24675364</v>
      </c>
      <c r="F382" s="36">
        <v>3137189781</v>
      </c>
      <c r="G382" s="64" t="s">
        <v>1940</v>
      </c>
      <c r="H382" s="36"/>
      <c r="I382" s="36" t="s">
        <v>1941</v>
      </c>
      <c r="J382" s="14" t="s">
        <v>35</v>
      </c>
      <c r="K382" s="61">
        <v>42000</v>
      </c>
      <c r="L382" s="57" t="s">
        <v>234</v>
      </c>
      <c r="M382" s="64"/>
      <c r="N382" s="65"/>
      <c r="O382" s="66"/>
      <c r="P382" s="15" t="s">
        <v>28</v>
      </c>
      <c r="Q382" s="15" t="s">
        <v>20</v>
      </c>
      <c r="R382" s="15"/>
      <c r="S382" s="15" t="s">
        <v>1942</v>
      </c>
      <c r="T382" s="15" t="s">
        <v>30</v>
      </c>
      <c r="U382" s="79" t="s">
        <v>1943</v>
      </c>
      <c r="V382" s="14"/>
      <c r="W382" s="15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</row>
    <row r="383" spans="1:91" ht="14.25" hidden="1" customHeight="1" x14ac:dyDescent="0.25">
      <c r="A383" s="26"/>
      <c r="B383" s="15"/>
      <c r="C383" s="15"/>
      <c r="D383" s="36" t="s">
        <v>1944</v>
      </c>
      <c r="E383" s="36">
        <v>1094882454</v>
      </c>
      <c r="F383" s="36">
        <v>3233367595</v>
      </c>
      <c r="G383" s="64" t="s">
        <v>1945</v>
      </c>
      <c r="H383" s="36"/>
      <c r="I383" s="36" t="s">
        <v>1946</v>
      </c>
      <c r="J383" s="14" t="s">
        <v>35</v>
      </c>
      <c r="K383" s="61">
        <v>42000</v>
      </c>
      <c r="L383" s="57" t="s">
        <v>234</v>
      </c>
      <c r="M383" s="64"/>
      <c r="N383" s="65"/>
      <c r="O383" s="66"/>
      <c r="P383" s="15" t="s">
        <v>28</v>
      </c>
      <c r="Q383" s="15" t="s">
        <v>20</v>
      </c>
      <c r="R383" s="15"/>
      <c r="S383" s="15" t="s">
        <v>1947</v>
      </c>
      <c r="T383" s="15" t="s">
        <v>30</v>
      </c>
      <c r="U383" s="15" t="s">
        <v>1948</v>
      </c>
      <c r="V383" s="14"/>
      <c r="W383" s="15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</row>
    <row r="384" spans="1:91" ht="14.25" hidden="1" customHeight="1" x14ac:dyDescent="0.25">
      <c r="A384" s="26"/>
      <c r="B384" s="15"/>
      <c r="C384" s="15" t="s">
        <v>1949</v>
      </c>
      <c r="D384" s="36" t="s">
        <v>1950</v>
      </c>
      <c r="E384" s="36">
        <v>41938360</v>
      </c>
      <c r="F384" s="36">
        <v>3145547352</v>
      </c>
      <c r="G384" s="310" t="s">
        <v>1951</v>
      </c>
      <c r="H384" s="74">
        <v>1</v>
      </c>
      <c r="I384" s="36"/>
      <c r="J384" s="14" t="s">
        <v>35</v>
      </c>
      <c r="K384" s="61">
        <v>42000</v>
      </c>
      <c r="L384" s="57" t="s">
        <v>234</v>
      </c>
      <c r="M384" s="64"/>
      <c r="N384" s="65"/>
      <c r="O384" s="66"/>
      <c r="P384" s="15" t="s">
        <v>28</v>
      </c>
      <c r="Q384" s="15" t="s">
        <v>20</v>
      </c>
      <c r="R384" s="15"/>
      <c r="S384" s="15" t="s">
        <v>1952</v>
      </c>
      <c r="T384" s="15" t="s">
        <v>1953</v>
      </c>
      <c r="U384" s="79" t="s">
        <v>1954</v>
      </c>
      <c r="V384" s="14"/>
      <c r="W384" s="15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</row>
    <row r="385" spans="1:91" ht="14.25" hidden="1" customHeight="1" x14ac:dyDescent="0.25">
      <c r="A385" s="26"/>
      <c r="B385" s="15"/>
      <c r="C385" s="15"/>
      <c r="D385" s="36" t="s">
        <v>1655</v>
      </c>
      <c r="E385" s="77">
        <v>1099683647</v>
      </c>
      <c r="F385" s="36" t="s">
        <v>1656</v>
      </c>
      <c r="G385" s="310" t="s">
        <v>1955</v>
      </c>
      <c r="H385" s="74">
        <v>1</v>
      </c>
      <c r="I385" s="36" t="s">
        <v>1821</v>
      </c>
      <c r="J385" s="14" t="s">
        <v>35</v>
      </c>
      <c r="K385" s="61">
        <v>42000</v>
      </c>
      <c r="L385" s="57" t="s">
        <v>234</v>
      </c>
      <c r="M385" s="64"/>
      <c r="N385" s="65"/>
      <c r="O385" s="66"/>
      <c r="P385" s="15" t="s">
        <v>28</v>
      </c>
      <c r="Q385" s="15" t="s">
        <v>20</v>
      </c>
      <c r="R385" s="15"/>
      <c r="S385" s="36" t="s">
        <v>1956</v>
      </c>
      <c r="T385" s="36" t="s">
        <v>286</v>
      </c>
      <c r="U385" s="86" t="s">
        <v>1659</v>
      </c>
      <c r="V385" s="14"/>
      <c r="W385" s="15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</row>
    <row r="386" spans="1:91" ht="14.25" hidden="1" customHeight="1" x14ac:dyDescent="0.25">
      <c r="A386" s="26"/>
      <c r="B386" s="15"/>
      <c r="C386" s="15"/>
      <c r="D386" s="36" t="s">
        <v>1957</v>
      </c>
      <c r="E386" s="36">
        <v>1087988641</v>
      </c>
      <c r="F386" s="36">
        <v>3145594740</v>
      </c>
      <c r="G386" s="64" t="s">
        <v>1958</v>
      </c>
      <c r="H386" s="36"/>
      <c r="I386" s="36"/>
      <c r="J386" s="14" t="s">
        <v>35</v>
      </c>
      <c r="K386" s="61">
        <v>42000</v>
      </c>
      <c r="L386" s="57" t="s">
        <v>234</v>
      </c>
      <c r="M386" s="64"/>
      <c r="N386" s="65"/>
      <c r="O386" s="66"/>
      <c r="P386" s="15" t="s">
        <v>28</v>
      </c>
      <c r="Q386" s="15" t="s">
        <v>20</v>
      </c>
      <c r="R386" s="15"/>
      <c r="S386" s="15" t="s">
        <v>1959</v>
      </c>
      <c r="T386" s="15" t="s">
        <v>236</v>
      </c>
      <c r="U386" s="79" t="s">
        <v>1960</v>
      </c>
      <c r="V386" s="14"/>
      <c r="W386" s="15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</row>
    <row r="387" spans="1:91" ht="14.25" hidden="1" customHeight="1" x14ac:dyDescent="0.25">
      <c r="A387" s="26"/>
      <c r="B387" s="15"/>
      <c r="C387" s="15"/>
      <c r="D387" s="36" t="s">
        <v>1961</v>
      </c>
      <c r="E387" s="77">
        <v>4565323</v>
      </c>
      <c r="F387" s="36" t="s">
        <v>1962</v>
      </c>
      <c r="G387" s="64" t="s">
        <v>1963</v>
      </c>
      <c r="H387" s="36"/>
      <c r="I387" s="36" t="s">
        <v>1964</v>
      </c>
      <c r="J387" s="14" t="s">
        <v>35</v>
      </c>
      <c r="K387" s="61">
        <v>42000</v>
      </c>
      <c r="L387" s="57" t="s">
        <v>234</v>
      </c>
      <c r="M387" s="64"/>
      <c r="N387" s="65"/>
      <c r="O387" s="66"/>
      <c r="P387" s="15" t="s">
        <v>28</v>
      </c>
      <c r="Q387" s="15" t="s">
        <v>20</v>
      </c>
      <c r="R387" s="15"/>
      <c r="S387" s="15" t="s">
        <v>1965</v>
      </c>
      <c r="T387" s="15" t="s">
        <v>1681</v>
      </c>
      <c r="U387" s="79" t="s">
        <v>1966</v>
      </c>
      <c r="V387" s="14"/>
      <c r="W387" s="15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</row>
    <row r="388" spans="1:91" ht="14.25" hidden="1" customHeight="1" x14ac:dyDescent="0.25">
      <c r="A388" s="26"/>
      <c r="B388" s="15"/>
      <c r="C388" s="15"/>
      <c r="D388" s="36" t="s">
        <v>1967</v>
      </c>
      <c r="E388" s="36">
        <v>59176984</v>
      </c>
      <c r="F388" s="36">
        <v>3232941017</v>
      </c>
      <c r="G388" s="301" t="s">
        <v>1968</v>
      </c>
      <c r="H388" s="36"/>
      <c r="I388" s="36"/>
      <c r="J388" s="15" t="s">
        <v>188</v>
      </c>
      <c r="K388" s="61">
        <v>57000</v>
      </c>
      <c r="L388" s="57" t="s">
        <v>234</v>
      </c>
      <c r="M388" s="64"/>
      <c r="N388" s="65"/>
      <c r="O388" s="66"/>
      <c r="P388" s="15" t="s">
        <v>28</v>
      </c>
      <c r="Q388" s="15" t="s">
        <v>20</v>
      </c>
      <c r="R388" s="15"/>
      <c r="S388" s="36" t="s">
        <v>1969</v>
      </c>
      <c r="T388" s="36" t="s">
        <v>819</v>
      </c>
      <c r="U388" s="53" t="s">
        <v>1970</v>
      </c>
      <c r="V388" s="15"/>
      <c r="W388" s="15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</row>
    <row r="389" spans="1:91" ht="14.25" hidden="1" customHeight="1" x14ac:dyDescent="0.25">
      <c r="A389" s="26"/>
      <c r="B389" s="15"/>
      <c r="C389" s="15"/>
      <c r="D389" s="36" t="s">
        <v>1971</v>
      </c>
      <c r="E389" s="36">
        <v>1099682562</v>
      </c>
      <c r="F389" s="36" t="s">
        <v>1972</v>
      </c>
      <c r="G389" s="64" t="s">
        <v>1973</v>
      </c>
      <c r="H389" s="36"/>
      <c r="I389" s="36" t="s">
        <v>1974</v>
      </c>
      <c r="J389" s="14" t="s">
        <v>35</v>
      </c>
      <c r="K389" s="61">
        <v>42000</v>
      </c>
      <c r="L389" s="57" t="s">
        <v>234</v>
      </c>
      <c r="M389" s="64"/>
      <c r="N389" s="65"/>
      <c r="O389" s="66"/>
      <c r="P389" s="15" t="s">
        <v>28</v>
      </c>
      <c r="Q389" s="15" t="s">
        <v>20</v>
      </c>
      <c r="R389" s="15"/>
      <c r="S389" s="15" t="s">
        <v>1975</v>
      </c>
      <c r="T389" s="15" t="s">
        <v>384</v>
      </c>
      <c r="U389" s="79" t="s">
        <v>1976</v>
      </c>
      <c r="V389" s="14"/>
      <c r="W389" s="15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</row>
    <row r="390" spans="1:91" ht="14.25" hidden="1" customHeight="1" x14ac:dyDescent="0.25">
      <c r="A390" s="26"/>
      <c r="B390" s="15"/>
      <c r="C390" s="15"/>
      <c r="D390" s="36" t="s">
        <v>1977</v>
      </c>
      <c r="E390" s="36">
        <v>1053821244</v>
      </c>
      <c r="F390" s="36">
        <v>3014227861</v>
      </c>
      <c r="G390" s="64" t="s">
        <v>1978</v>
      </c>
      <c r="H390" s="36"/>
      <c r="I390" s="36" t="s">
        <v>1979</v>
      </c>
      <c r="J390" s="14" t="s">
        <v>54</v>
      </c>
      <c r="K390" s="61">
        <v>67000</v>
      </c>
      <c r="L390" s="57" t="s">
        <v>234</v>
      </c>
      <c r="M390" s="64"/>
      <c r="N390" s="65"/>
      <c r="O390" s="66"/>
      <c r="P390" s="15" t="s">
        <v>28</v>
      </c>
      <c r="Q390" s="15" t="s">
        <v>20</v>
      </c>
      <c r="R390" s="15"/>
      <c r="S390" s="15" t="s">
        <v>1980</v>
      </c>
      <c r="T390" s="15" t="s">
        <v>819</v>
      </c>
      <c r="U390" s="79" t="s">
        <v>1981</v>
      </c>
      <c r="V390" s="14"/>
      <c r="W390" s="15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</row>
    <row r="391" spans="1:91" ht="14.25" hidden="1" customHeight="1" x14ac:dyDescent="0.25">
      <c r="A391" s="26"/>
      <c r="B391" s="15"/>
      <c r="C391" s="15"/>
      <c r="D391" s="36" t="s">
        <v>1982</v>
      </c>
      <c r="E391" s="77">
        <v>1005367510</v>
      </c>
      <c r="F391" s="36">
        <v>3126638420</v>
      </c>
      <c r="G391" s="301" t="s">
        <v>1983</v>
      </c>
      <c r="H391" s="36"/>
      <c r="I391" s="36"/>
      <c r="J391" s="14" t="s">
        <v>35</v>
      </c>
      <c r="K391" s="61">
        <v>42000</v>
      </c>
      <c r="L391" s="57" t="s">
        <v>234</v>
      </c>
      <c r="M391" s="64"/>
      <c r="N391" s="65"/>
      <c r="O391" s="66"/>
      <c r="P391" s="15" t="s">
        <v>28</v>
      </c>
      <c r="Q391" s="15" t="s">
        <v>20</v>
      </c>
      <c r="R391" s="15"/>
      <c r="S391" s="15" t="s">
        <v>1984</v>
      </c>
      <c r="T391" s="15" t="s">
        <v>151</v>
      </c>
      <c r="U391" s="79" t="s">
        <v>1985</v>
      </c>
      <c r="V391" s="14"/>
      <c r="W391" s="15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</row>
    <row r="392" spans="1:91" ht="14.25" hidden="1" customHeight="1" x14ac:dyDescent="0.25">
      <c r="A392" s="26"/>
      <c r="B392" s="15"/>
      <c r="C392" s="15"/>
      <c r="D392" s="15" t="s">
        <v>1986</v>
      </c>
      <c r="E392" s="17">
        <v>1099682931</v>
      </c>
      <c r="F392" s="17" t="s">
        <v>1987</v>
      </c>
      <c r="G392" s="15" t="s">
        <v>1988</v>
      </c>
      <c r="H392" s="15"/>
      <c r="I392" s="15"/>
      <c r="J392" s="14" t="s">
        <v>35</v>
      </c>
      <c r="K392" s="27">
        <v>42000</v>
      </c>
      <c r="L392" s="57" t="s">
        <v>234</v>
      </c>
      <c r="M392" s="28"/>
      <c r="N392" s="29"/>
      <c r="O392" s="30"/>
      <c r="P392" s="15" t="s">
        <v>28</v>
      </c>
      <c r="Q392" s="15" t="s">
        <v>20</v>
      </c>
      <c r="R392" s="15"/>
      <c r="S392" s="15" t="s">
        <v>1989</v>
      </c>
      <c r="T392" s="15"/>
      <c r="U392" s="79" t="s">
        <v>1990</v>
      </c>
      <c r="V392" s="14"/>
      <c r="W392" s="15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</row>
    <row r="393" spans="1:91" ht="14.25" hidden="1" customHeight="1" x14ac:dyDescent="0.25">
      <c r="A393" s="26"/>
      <c r="B393" s="15"/>
      <c r="C393" s="15"/>
      <c r="D393" s="71" t="s">
        <v>1991</v>
      </c>
      <c r="E393" s="71">
        <v>24497880</v>
      </c>
      <c r="F393" s="71" t="s">
        <v>1992</v>
      </c>
      <c r="G393" s="72" t="s">
        <v>1993</v>
      </c>
      <c r="H393" s="71"/>
      <c r="I393" s="71" t="s">
        <v>1994</v>
      </c>
      <c r="J393" s="14" t="s">
        <v>35</v>
      </c>
      <c r="K393" s="61">
        <v>42000</v>
      </c>
      <c r="L393" s="57" t="s">
        <v>234</v>
      </c>
      <c r="M393" s="72"/>
      <c r="N393" s="65"/>
      <c r="O393" s="66"/>
      <c r="P393" s="15" t="s">
        <v>28</v>
      </c>
      <c r="Q393" s="15" t="s">
        <v>20</v>
      </c>
      <c r="R393" s="15"/>
      <c r="S393" s="15" t="s">
        <v>1995</v>
      </c>
      <c r="T393" s="15" t="s">
        <v>67</v>
      </c>
      <c r="U393" s="79" t="s">
        <v>1996</v>
      </c>
      <c r="V393" s="14"/>
      <c r="W393" s="15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</row>
    <row r="394" spans="1:91" ht="14.25" hidden="1" customHeight="1" x14ac:dyDescent="0.25">
      <c r="A394" s="26"/>
      <c r="B394" s="15"/>
      <c r="C394" s="15"/>
      <c r="D394" s="71" t="s">
        <v>1997</v>
      </c>
      <c r="E394" s="71">
        <v>24672770</v>
      </c>
      <c r="F394" s="71">
        <v>3126747390</v>
      </c>
      <c r="G394" s="72" t="s">
        <v>1998</v>
      </c>
      <c r="H394" s="71"/>
      <c r="I394" s="71"/>
      <c r="J394" s="14" t="s">
        <v>35</v>
      </c>
      <c r="K394" s="61">
        <v>42000</v>
      </c>
      <c r="L394" s="57" t="s">
        <v>234</v>
      </c>
      <c r="M394" s="72"/>
      <c r="N394" s="65"/>
      <c r="O394" s="66"/>
      <c r="P394" s="15" t="s">
        <v>28</v>
      </c>
      <c r="Q394" s="15" t="s">
        <v>20</v>
      </c>
      <c r="R394" s="15"/>
      <c r="S394" s="15" t="s">
        <v>1999</v>
      </c>
      <c r="T394" s="15" t="s">
        <v>36</v>
      </c>
      <c r="U394" s="79" t="s">
        <v>2000</v>
      </c>
      <c r="V394" s="14"/>
      <c r="W394" s="15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</row>
    <row r="395" spans="1:91" ht="14.25" hidden="1" customHeight="1" x14ac:dyDescent="0.25">
      <c r="A395" s="26"/>
      <c r="B395" s="15"/>
      <c r="C395" s="15"/>
      <c r="D395" s="15" t="s">
        <v>2001</v>
      </c>
      <c r="E395" s="17">
        <v>24675780</v>
      </c>
      <c r="F395" s="17">
        <v>3225641439</v>
      </c>
      <c r="G395" s="72" t="s">
        <v>249</v>
      </c>
      <c r="H395" s="71"/>
      <c r="I395" s="71" t="s">
        <v>2002</v>
      </c>
      <c r="J395" s="14" t="s">
        <v>35</v>
      </c>
      <c r="K395" s="61">
        <v>42000</v>
      </c>
      <c r="L395" s="57" t="s">
        <v>234</v>
      </c>
      <c r="M395" s="72"/>
      <c r="N395" s="65"/>
      <c r="O395" s="66"/>
      <c r="P395" s="15" t="s">
        <v>28</v>
      </c>
      <c r="Q395" s="15" t="s">
        <v>20</v>
      </c>
      <c r="R395" s="15"/>
      <c r="S395" s="15" t="s">
        <v>2003</v>
      </c>
      <c r="T395" s="15" t="s">
        <v>151</v>
      </c>
      <c r="U395" s="79" t="s">
        <v>2004</v>
      </c>
      <c r="V395" s="14"/>
      <c r="W395" s="15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</row>
    <row r="396" spans="1:91" ht="14.25" hidden="1" customHeight="1" x14ac:dyDescent="0.25">
      <c r="A396" s="26"/>
      <c r="B396" s="15"/>
      <c r="C396" s="15"/>
      <c r="D396" s="36" t="s">
        <v>2005</v>
      </c>
      <c r="E396" s="36">
        <v>24674633</v>
      </c>
      <c r="F396" s="36">
        <v>3135272908</v>
      </c>
      <c r="G396" s="301" t="s">
        <v>2006</v>
      </c>
      <c r="H396" s="36"/>
      <c r="I396" s="36"/>
      <c r="J396" s="14" t="s">
        <v>35</v>
      </c>
      <c r="K396" s="61">
        <v>42000</v>
      </c>
      <c r="L396" s="57" t="s">
        <v>234</v>
      </c>
      <c r="M396" s="64"/>
      <c r="N396" s="65"/>
      <c r="O396" s="66"/>
      <c r="P396" s="15" t="s">
        <v>28</v>
      </c>
      <c r="Q396" s="15" t="s">
        <v>20</v>
      </c>
      <c r="R396" s="15"/>
      <c r="S396" s="15" t="s">
        <v>1309</v>
      </c>
      <c r="T396" s="15" t="s">
        <v>126</v>
      </c>
      <c r="U396" s="79" t="s">
        <v>2007</v>
      </c>
      <c r="V396" s="14"/>
      <c r="W396" s="15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</row>
    <row r="397" spans="1:91" ht="14.25" hidden="1" customHeight="1" x14ac:dyDescent="0.25">
      <c r="A397" s="26"/>
      <c r="B397" s="15"/>
      <c r="C397" s="15"/>
      <c r="D397" s="71" t="s">
        <v>2008</v>
      </c>
      <c r="E397" s="71">
        <v>24676050</v>
      </c>
      <c r="F397" s="71" t="s">
        <v>2009</v>
      </c>
      <c r="G397" s="72" t="s">
        <v>2010</v>
      </c>
      <c r="H397" s="71"/>
      <c r="I397" s="71" t="s">
        <v>2011</v>
      </c>
      <c r="J397" s="14" t="s">
        <v>35</v>
      </c>
      <c r="K397" s="61">
        <v>42000</v>
      </c>
      <c r="L397" s="57" t="s">
        <v>234</v>
      </c>
      <c r="M397" s="72"/>
      <c r="N397" s="65"/>
      <c r="O397" s="66"/>
      <c r="P397" s="15" t="s">
        <v>28</v>
      </c>
      <c r="Q397" s="15" t="s">
        <v>20</v>
      </c>
      <c r="R397" s="15"/>
      <c r="S397" s="15" t="s">
        <v>2012</v>
      </c>
      <c r="T397" s="15" t="s">
        <v>151</v>
      </c>
      <c r="U397" s="79" t="s">
        <v>2013</v>
      </c>
      <c r="V397" s="14"/>
      <c r="W397" s="15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>
        <v>1</v>
      </c>
    </row>
    <row r="398" spans="1:91" ht="14.25" hidden="1" customHeight="1" x14ac:dyDescent="0.25">
      <c r="A398" s="26"/>
      <c r="B398" s="15"/>
      <c r="C398" s="15"/>
      <c r="D398" s="36" t="s">
        <v>2014</v>
      </c>
      <c r="E398" s="36">
        <v>85373021</v>
      </c>
      <c r="F398" s="36">
        <v>3106055761</v>
      </c>
      <c r="G398" s="301" t="s">
        <v>2015</v>
      </c>
      <c r="H398" s="36"/>
      <c r="I398" s="36"/>
      <c r="J398" s="15" t="s">
        <v>188</v>
      </c>
      <c r="K398" s="61">
        <v>57000</v>
      </c>
      <c r="L398" s="57" t="s">
        <v>234</v>
      </c>
      <c r="M398" s="64"/>
      <c r="N398" s="65"/>
      <c r="O398" s="66"/>
      <c r="P398" s="15" t="s">
        <v>28</v>
      </c>
      <c r="Q398" s="15" t="s">
        <v>20</v>
      </c>
      <c r="R398" s="15"/>
      <c r="S398" s="36" t="s">
        <v>2016</v>
      </c>
      <c r="T398" s="36"/>
      <c r="U398" s="47" t="s">
        <v>311</v>
      </c>
      <c r="V398" s="14"/>
      <c r="W398" s="15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</row>
    <row r="399" spans="1:91" ht="14.25" hidden="1" customHeight="1" x14ac:dyDescent="0.25">
      <c r="A399" s="26"/>
      <c r="B399" s="15"/>
      <c r="C399" s="15"/>
      <c r="D399" s="71" t="s">
        <v>2017</v>
      </c>
      <c r="E399" s="71">
        <v>9800745</v>
      </c>
      <c r="F399" s="71" t="s">
        <v>1216</v>
      </c>
      <c r="G399" s="72" t="s">
        <v>2018</v>
      </c>
      <c r="H399" s="71"/>
      <c r="I399" s="71" t="s">
        <v>2019</v>
      </c>
      <c r="J399" s="14" t="s">
        <v>35</v>
      </c>
      <c r="K399" s="61">
        <v>42000</v>
      </c>
      <c r="L399" s="57" t="s">
        <v>234</v>
      </c>
      <c r="M399" s="72"/>
      <c r="N399" s="65"/>
      <c r="O399" s="66"/>
      <c r="P399" s="15" t="s">
        <v>28</v>
      </c>
      <c r="Q399" s="15" t="s">
        <v>20</v>
      </c>
      <c r="R399" s="15"/>
      <c r="S399" s="15" t="s">
        <v>2020</v>
      </c>
      <c r="T399" s="15" t="s">
        <v>61</v>
      </c>
      <c r="U399" s="31" t="s">
        <v>2021</v>
      </c>
      <c r="V399" s="14"/>
      <c r="W399" s="15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</row>
    <row r="400" spans="1:91" ht="14.25" hidden="1" customHeight="1" x14ac:dyDescent="0.25">
      <c r="A400" s="26"/>
      <c r="B400" s="15"/>
      <c r="C400" s="15"/>
      <c r="D400" s="36" t="s">
        <v>2022</v>
      </c>
      <c r="E400" s="77">
        <v>1099682532</v>
      </c>
      <c r="F400" s="36" t="s">
        <v>2023</v>
      </c>
      <c r="G400" s="310" t="s">
        <v>2024</v>
      </c>
      <c r="H400" s="74">
        <v>1</v>
      </c>
      <c r="I400" s="36" t="s">
        <v>2025</v>
      </c>
      <c r="J400" s="14" t="s">
        <v>35</v>
      </c>
      <c r="K400" s="61">
        <v>42000</v>
      </c>
      <c r="L400" s="57" t="s">
        <v>234</v>
      </c>
      <c r="M400" s="64"/>
      <c r="N400" s="65"/>
      <c r="O400" s="66"/>
      <c r="P400" s="15" t="s">
        <v>28</v>
      </c>
      <c r="Q400" s="15" t="s">
        <v>20</v>
      </c>
      <c r="R400" s="15"/>
      <c r="S400" s="15" t="s">
        <v>2026</v>
      </c>
      <c r="T400" s="15" t="s">
        <v>384</v>
      </c>
      <c r="U400" s="31" t="s">
        <v>2027</v>
      </c>
      <c r="V400" s="14"/>
      <c r="W400" s="15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</row>
    <row r="401" spans="1:91" ht="14.25" hidden="1" customHeight="1" x14ac:dyDescent="0.25">
      <c r="A401" s="26"/>
      <c r="B401" s="15"/>
      <c r="C401" s="15"/>
      <c r="D401" s="71" t="s">
        <v>2028</v>
      </c>
      <c r="E401" s="91">
        <v>1099682112</v>
      </c>
      <c r="F401" s="71">
        <v>3104961783</v>
      </c>
      <c r="G401" s="72" t="s">
        <v>2029</v>
      </c>
      <c r="H401" s="71"/>
      <c r="I401" s="71" t="s">
        <v>2030</v>
      </c>
      <c r="J401" s="14" t="s">
        <v>35</v>
      </c>
      <c r="K401" s="61">
        <v>42000</v>
      </c>
      <c r="L401" s="57" t="s">
        <v>234</v>
      </c>
      <c r="M401" s="72"/>
      <c r="N401" s="65"/>
      <c r="O401" s="66"/>
      <c r="P401" s="15" t="s">
        <v>28</v>
      </c>
      <c r="Q401" s="15" t="s">
        <v>20</v>
      </c>
      <c r="R401" s="15"/>
      <c r="S401" s="15" t="s">
        <v>2031</v>
      </c>
      <c r="T401" s="15" t="s">
        <v>107</v>
      </c>
      <c r="U401" s="31" t="s">
        <v>2032</v>
      </c>
      <c r="V401" s="14"/>
      <c r="W401" s="15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</row>
    <row r="402" spans="1:91" ht="14.25" hidden="1" customHeight="1" x14ac:dyDescent="0.25">
      <c r="A402" s="26"/>
      <c r="B402" s="15"/>
      <c r="C402" s="15"/>
      <c r="D402" s="36" t="s">
        <v>2033</v>
      </c>
      <c r="E402" s="77">
        <v>1099682805</v>
      </c>
      <c r="F402" s="36" t="s">
        <v>2034</v>
      </c>
      <c r="G402" s="301" t="s">
        <v>2035</v>
      </c>
      <c r="H402" s="36"/>
      <c r="I402" s="36" t="s">
        <v>2036</v>
      </c>
      <c r="J402" s="14" t="s">
        <v>35</v>
      </c>
      <c r="K402" s="61">
        <v>42000</v>
      </c>
      <c r="L402" s="57" t="s">
        <v>234</v>
      </c>
      <c r="M402" s="64"/>
      <c r="N402" s="65"/>
      <c r="O402" s="66"/>
      <c r="P402" s="15" t="s">
        <v>28</v>
      </c>
      <c r="Q402" s="15" t="s">
        <v>20</v>
      </c>
      <c r="R402" s="15"/>
      <c r="S402" s="15" t="s">
        <v>1697</v>
      </c>
      <c r="T402" s="15" t="s">
        <v>2037</v>
      </c>
      <c r="U402" s="31" t="s">
        <v>2038</v>
      </c>
      <c r="V402" s="14"/>
      <c r="W402" s="15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</row>
    <row r="403" spans="1:91" ht="14.25" hidden="1" customHeight="1" x14ac:dyDescent="0.25">
      <c r="A403" s="26"/>
      <c r="B403" s="15"/>
      <c r="C403" s="15"/>
      <c r="D403" s="71" t="s">
        <v>2039</v>
      </c>
      <c r="E403" s="71">
        <v>1099682198</v>
      </c>
      <c r="F403" s="71" t="s">
        <v>2040</v>
      </c>
      <c r="G403" s="72" t="s">
        <v>2041</v>
      </c>
      <c r="H403" s="71"/>
      <c r="I403" s="71" t="s">
        <v>2042</v>
      </c>
      <c r="J403" s="14" t="s">
        <v>35</v>
      </c>
      <c r="K403" s="61">
        <v>42000</v>
      </c>
      <c r="L403" s="57" t="s">
        <v>234</v>
      </c>
      <c r="M403" s="72"/>
      <c r="N403" s="65"/>
      <c r="O403" s="66"/>
      <c r="P403" s="15" t="s">
        <v>28</v>
      </c>
      <c r="Q403" s="15" t="s">
        <v>20</v>
      </c>
      <c r="R403" s="15"/>
      <c r="S403" s="15" t="s">
        <v>2043</v>
      </c>
      <c r="T403" s="15" t="s">
        <v>126</v>
      </c>
      <c r="U403" s="31" t="s">
        <v>2044</v>
      </c>
      <c r="V403" s="14"/>
      <c r="W403" s="15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</row>
    <row r="404" spans="1:91" ht="14.25" hidden="1" customHeight="1" x14ac:dyDescent="0.25">
      <c r="A404" s="26"/>
      <c r="B404" s="15"/>
      <c r="C404" s="15"/>
      <c r="D404" s="71" t="s">
        <v>2045</v>
      </c>
      <c r="E404" s="71">
        <v>1094909373</v>
      </c>
      <c r="F404" s="71">
        <v>3113152324</v>
      </c>
      <c r="G404" s="72" t="s">
        <v>2046</v>
      </c>
      <c r="H404" s="71"/>
      <c r="I404" s="71" t="s">
        <v>2047</v>
      </c>
      <c r="J404" s="14" t="s">
        <v>35</v>
      </c>
      <c r="K404" s="61">
        <v>42000</v>
      </c>
      <c r="L404" s="57" t="s">
        <v>234</v>
      </c>
      <c r="M404" s="72"/>
      <c r="N404" s="65"/>
      <c r="O404" s="66"/>
      <c r="P404" s="15" t="s">
        <v>28</v>
      </c>
      <c r="Q404" s="15" t="s">
        <v>20</v>
      </c>
      <c r="R404" s="15"/>
      <c r="S404" s="15" t="s">
        <v>2048</v>
      </c>
      <c r="T404" s="15" t="s">
        <v>151</v>
      </c>
      <c r="U404" s="31" t="s">
        <v>2049</v>
      </c>
      <c r="V404" s="14"/>
      <c r="W404" s="15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</row>
    <row r="405" spans="1:91" ht="14.25" hidden="1" customHeight="1" x14ac:dyDescent="0.25">
      <c r="A405" s="26"/>
      <c r="B405" s="15"/>
      <c r="C405" s="15"/>
      <c r="D405" s="71" t="s">
        <v>2050</v>
      </c>
      <c r="E405" s="71">
        <v>24675071</v>
      </c>
      <c r="F405" s="71">
        <v>3127656074</v>
      </c>
      <c r="G405" s="72" t="s">
        <v>2051</v>
      </c>
      <c r="H405" s="71"/>
      <c r="I405" s="71" t="s">
        <v>2052</v>
      </c>
      <c r="J405" s="14" t="s">
        <v>35</v>
      </c>
      <c r="K405" s="61">
        <v>42000</v>
      </c>
      <c r="L405" s="57" t="s">
        <v>234</v>
      </c>
      <c r="M405" s="72"/>
      <c r="N405" s="65"/>
      <c r="O405" s="66"/>
      <c r="P405" s="15" t="s">
        <v>28</v>
      </c>
      <c r="Q405" s="15" t="s">
        <v>20</v>
      </c>
      <c r="R405" s="15"/>
      <c r="S405" s="15" t="s">
        <v>2053</v>
      </c>
      <c r="T405" s="15"/>
      <c r="U405" s="31" t="s">
        <v>2054</v>
      </c>
      <c r="V405" s="14"/>
      <c r="W405" s="15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</row>
    <row r="406" spans="1:91" ht="14.25" hidden="1" customHeight="1" x14ac:dyDescent="0.25">
      <c r="A406" s="26"/>
      <c r="B406" s="15"/>
      <c r="C406" s="15"/>
      <c r="D406" s="36" t="s">
        <v>2055</v>
      </c>
      <c r="E406" s="77">
        <v>41946792</v>
      </c>
      <c r="F406" s="36">
        <v>3187729352</v>
      </c>
      <c r="G406" s="310" t="s">
        <v>2056</v>
      </c>
      <c r="H406" s="74">
        <v>1</v>
      </c>
      <c r="I406" s="36" t="s">
        <v>2057</v>
      </c>
      <c r="J406" s="14" t="s">
        <v>35</v>
      </c>
      <c r="K406" s="61">
        <v>42000</v>
      </c>
      <c r="L406" s="57" t="s">
        <v>234</v>
      </c>
      <c r="M406" s="64"/>
      <c r="N406" s="65"/>
      <c r="O406" s="66"/>
      <c r="P406" s="15" t="s">
        <v>28</v>
      </c>
      <c r="Q406" s="15" t="s">
        <v>20</v>
      </c>
      <c r="R406" s="15"/>
      <c r="S406" s="15" t="s">
        <v>2058</v>
      </c>
      <c r="T406" s="15" t="s">
        <v>2059</v>
      </c>
      <c r="U406" s="79" t="s">
        <v>2060</v>
      </c>
      <c r="V406" s="14"/>
      <c r="W406" s="15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</row>
    <row r="407" spans="1:91" ht="14.25" hidden="1" customHeight="1" x14ac:dyDescent="0.25">
      <c r="A407" s="26"/>
      <c r="B407" s="15"/>
      <c r="C407" s="15"/>
      <c r="D407" s="36" t="s">
        <v>2061</v>
      </c>
      <c r="E407" s="36">
        <v>24673659</v>
      </c>
      <c r="F407" s="36">
        <v>3148073584</v>
      </c>
      <c r="G407" s="310" t="s">
        <v>2062</v>
      </c>
      <c r="H407" s="74">
        <v>1</v>
      </c>
      <c r="I407" s="36" t="s">
        <v>2063</v>
      </c>
      <c r="J407" s="14" t="s">
        <v>35</v>
      </c>
      <c r="K407" s="61">
        <v>42000</v>
      </c>
      <c r="L407" s="57" t="s">
        <v>234</v>
      </c>
      <c r="M407" s="64"/>
      <c r="N407" s="65"/>
      <c r="O407" s="66"/>
      <c r="P407" s="15" t="s">
        <v>28</v>
      </c>
      <c r="Q407" s="15" t="s">
        <v>20</v>
      </c>
      <c r="R407" s="15"/>
      <c r="S407" s="15" t="s">
        <v>2064</v>
      </c>
      <c r="T407" s="15" t="s">
        <v>497</v>
      </c>
      <c r="U407" s="79" t="s">
        <v>2065</v>
      </c>
      <c r="V407" s="14"/>
      <c r="W407" s="15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</row>
    <row r="408" spans="1:91" ht="14.25" hidden="1" customHeight="1" x14ac:dyDescent="0.25">
      <c r="A408" s="26"/>
      <c r="B408" s="15"/>
      <c r="C408" s="15"/>
      <c r="D408" s="71" t="s">
        <v>2066</v>
      </c>
      <c r="E408" s="71">
        <v>29835278</v>
      </c>
      <c r="F408" s="71" t="s">
        <v>2067</v>
      </c>
      <c r="G408" s="72" t="s">
        <v>2068</v>
      </c>
      <c r="H408" s="71"/>
      <c r="I408" s="71" t="s">
        <v>2069</v>
      </c>
      <c r="J408" s="14" t="s">
        <v>35</v>
      </c>
      <c r="K408" s="61">
        <v>42000</v>
      </c>
      <c r="L408" s="57" t="s">
        <v>234</v>
      </c>
      <c r="M408" s="72"/>
      <c r="N408" s="65"/>
      <c r="O408" s="66"/>
      <c r="P408" s="15" t="s">
        <v>28</v>
      </c>
      <c r="Q408" s="15" t="s">
        <v>20</v>
      </c>
      <c r="R408" s="15"/>
      <c r="S408" s="15" t="s">
        <v>2070</v>
      </c>
      <c r="T408" s="15" t="s">
        <v>1150</v>
      </c>
      <c r="U408" s="31" t="s">
        <v>2071</v>
      </c>
      <c r="V408" s="14"/>
      <c r="W408" s="15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</row>
    <row r="409" spans="1:91" ht="14.25" hidden="1" customHeight="1" x14ac:dyDescent="0.25">
      <c r="A409" s="26"/>
      <c r="B409" s="15"/>
      <c r="C409" s="15" t="s">
        <v>219</v>
      </c>
      <c r="D409" s="63" t="s">
        <v>2072</v>
      </c>
      <c r="E409" s="63">
        <v>4428063</v>
      </c>
      <c r="F409" s="36" t="s">
        <v>2073</v>
      </c>
      <c r="G409" s="310" t="s">
        <v>2074</v>
      </c>
      <c r="H409" s="74">
        <v>1</v>
      </c>
      <c r="I409" s="36" t="s">
        <v>2075</v>
      </c>
      <c r="J409" s="14" t="s">
        <v>35</v>
      </c>
      <c r="K409" s="61">
        <v>42000</v>
      </c>
      <c r="L409" s="57" t="s">
        <v>234</v>
      </c>
      <c r="M409" s="64"/>
      <c r="N409" s="65"/>
      <c r="O409" s="66"/>
      <c r="P409" s="15" t="s">
        <v>28</v>
      </c>
      <c r="Q409" s="15" t="s">
        <v>20</v>
      </c>
      <c r="R409" s="15"/>
      <c r="S409" s="15" t="s">
        <v>2076</v>
      </c>
      <c r="T409" s="15" t="s">
        <v>107</v>
      </c>
      <c r="U409" s="79" t="s">
        <v>2077</v>
      </c>
      <c r="V409" s="14"/>
      <c r="W409" s="15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</row>
    <row r="410" spans="1:91" ht="14.25" hidden="1" customHeight="1" x14ac:dyDescent="0.25">
      <c r="A410" s="26"/>
      <c r="B410" s="15"/>
      <c r="C410" s="15"/>
      <c r="D410" s="71" t="s">
        <v>2078</v>
      </c>
      <c r="E410" s="71"/>
      <c r="F410" s="17">
        <v>3226288569</v>
      </c>
      <c r="G410" s="72" t="s">
        <v>2079</v>
      </c>
      <c r="H410" s="71"/>
      <c r="I410" s="71" t="s">
        <v>2080</v>
      </c>
      <c r="J410" s="71" t="s">
        <v>1313</v>
      </c>
      <c r="K410" s="61" t="s">
        <v>567</v>
      </c>
      <c r="L410" s="57" t="s">
        <v>234</v>
      </c>
      <c r="M410" s="65"/>
      <c r="N410" s="61"/>
      <c r="O410" s="66"/>
      <c r="P410" s="15" t="s">
        <v>28</v>
      </c>
      <c r="Q410" s="15" t="s">
        <v>20</v>
      </c>
      <c r="R410" s="15"/>
      <c r="S410" s="15" t="s">
        <v>2078</v>
      </c>
      <c r="T410" s="15" t="s">
        <v>2081</v>
      </c>
      <c r="U410" s="47" t="s">
        <v>311</v>
      </c>
      <c r="V410" s="14"/>
      <c r="W410" s="15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</row>
    <row r="411" spans="1:91" ht="14.25" hidden="1" customHeight="1" x14ac:dyDescent="0.25">
      <c r="A411" s="26"/>
      <c r="B411" s="15"/>
      <c r="C411" s="15"/>
      <c r="D411" s="71" t="s">
        <v>2082</v>
      </c>
      <c r="E411" s="71"/>
      <c r="F411" s="17">
        <v>3226288569</v>
      </c>
      <c r="G411" s="72" t="s">
        <v>1863</v>
      </c>
      <c r="H411" s="71"/>
      <c r="I411" s="71"/>
      <c r="J411" s="71" t="s">
        <v>567</v>
      </c>
      <c r="K411" s="61" t="s">
        <v>567</v>
      </c>
      <c r="L411" s="57" t="s">
        <v>234</v>
      </c>
      <c r="M411" s="65"/>
      <c r="N411" s="61"/>
      <c r="O411" s="66"/>
      <c r="P411" s="15" t="s">
        <v>28</v>
      </c>
      <c r="Q411" s="15" t="s">
        <v>20</v>
      </c>
      <c r="R411" s="15"/>
      <c r="S411" s="15" t="s">
        <v>2083</v>
      </c>
      <c r="T411" s="15"/>
      <c r="U411" s="47" t="s">
        <v>311</v>
      </c>
      <c r="V411" s="14"/>
      <c r="W411" s="15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</row>
    <row r="412" spans="1:91" ht="14.25" hidden="1" customHeight="1" x14ac:dyDescent="0.25">
      <c r="A412" s="26"/>
      <c r="B412" s="15"/>
      <c r="C412" s="15"/>
      <c r="D412" s="71" t="s">
        <v>2084</v>
      </c>
      <c r="E412" s="71">
        <v>1001510940</v>
      </c>
      <c r="F412" s="71" t="s">
        <v>2085</v>
      </c>
      <c r="G412" s="72" t="s">
        <v>2086</v>
      </c>
      <c r="H412" s="71"/>
      <c r="I412" s="71" t="s">
        <v>2087</v>
      </c>
      <c r="J412" s="14" t="s">
        <v>35</v>
      </c>
      <c r="K412" s="61">
        <v>42000</v>
      </c>
      <c r="L412" s="57" t="s">
        <v>234</v>
      </c>
      <c r="M412" s="72"/>
      <c r="N412" s="65"/>
      <c r="O412" s="66"/>
      <c r="P412" s="15" t="s">
        <v>28</v>
      </c>
      <c r="Q412" s="15" t="s">
        <v>20</v>
      </c>
      <c r="R412" s="15"/>
      <c r="S412" s="15" t="s">
        <v>2088</v>
      </c>
      <c r="T412" s="15" t="s">
        <v>716</v>
      </c>
      <c r="U412" s="31" t="s">
        <v>2089</v>
      </c>
      <c r="V412" s="14"/>
      <c r="W412" s="15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</row>
    <row r="413" spans="1:91" ht="14.25" hidden="1" customHeight="1" x14ac:dyDescent="0.25">
      <c r="A413" s="26"/>
      <c r="B413" s="15"/>
      <c r="C413" s="15"/>
      <c r="D413" s="36" t="s">
        <v>2090</v>
      </c>
      <c r="E413" s="36">
        <v>1002593011</v>
      </c>
      <c r="F413" s="36" t="s">
        <v>2091</v>
      </c>
      <c r="G413" s="64" t="s">
        <v>2092</v>
      </c>
      <c r="H413" s="36"/>
      <c r="I413" s="36" t="s">
        <v>2093</v>
      </c>
      <c r="J413" s="14" t="s">
        <v>35</v>
      </c>
      <c r="K413" s="61">
        <v>42000</v>
      </c>
      <c r="L413" s="57" t="s">
        <v>234</v>
      </c>
      <c r="M413" s="64"/>
      <c r="N413" s="65"/>
      <c r="O413" s="66"/>
      <c r="P413" s="15" t="s">
        <v>28</v>
      </c>
      <c r="Q413" s="15" t="s">
        <v>20</v>
      </c>
      <c r="R413" s="15"/>
      <c r="S413" s="15" t="s">
        <v>2094</v>
      </c>
      <c r="T413" s="15" t="s">
        <v>2095</v>
      </c>
      <c r="U413" s="31" t="s">
        <v>2096</v>
      </c>
      <c r="V413" s="14"/>
      <c r="W413" s="15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</row>
    <row r="414" spans="1:91" ht="14.25" hidden="1" customHeight="1" x14ac:dyDescent="0.25">
      <c r="A414" s="26"/>
      <c r="B414" s="15"/>
      <c r="C414" s="15"/>
      <c r="D414" s="36" t="s">
        <v>2097</v>
      </c>
      <c r="E414" s="36">
        <v>1099682339</v>
      </c>
      <c r="F414" s="36" t="s">
        <v>2098</v>
      </c>
      <c r="G414" s="64" t="s">
        <v>2099</v>
      </c>
      <c r="H414" s="36"/>
      <c r="I414" s="36" t="s">
        <v>2100</v>
      </c>
      <c r="J414" s="14" t="s">
        <v>35</v>
      </c>
      <c r="K414" s="61">
        <v>42000</v>
      </c>
      <c r="L414" s="57" t="s">
        <v>234</v>
      </c>
      <c r="M414" s="64"/>
      <c r="N414" s="65"/>
      <c r="O414" s="66"/>
      <c r="P414" s="15" t="s">
        <v>28</v>
      </c>
      <c r="Q414" s="15" t="s">
        <v>20</v>
      </c>
      <c r="R414" s="15"/>
      <c r="S414" s="15" t="s">
        <v>2101</v>
      </c>
      <c r="T414" s="15" t="s">
        <v>30</v>
      </c>
      <c r="U414" s="31" t="s">
        <v>2102</v>
      </c>
      <c r="V414" s="14"/>
      <c r="W414" s="15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</row>
    <row r="415" spans="1:91" ht="14.25" hidden="1" customHeight="1" x14ac:dyDescent="0.25">
      <c r="A415" s="26"/>
      <c r="B415" s="15"/>
      <c r="C415" s="15"/>
      <c r="D415" s="36" t="s">
        <v>2103</v>
      </c>
      <c r="E415" s="36">
        <v>24674513</v>
      </c>
      <c r="F415" s="36" t="s">
        <v>2104</v>
      </c>
      <c r="G415" s="64" t="s">
        <v>2105</v>
      </c>
      <c r="H415" s="36"/>
      <c r="I415" s="36" t="s">
        <v>2106</v>
      </c>
      <c r="J415" s="14" t="s">
        <v>35</v>
      </c>
      <c r="K415" s="61">
        <v>42000</v>
      </c>
      <c r="L415" s="57" t="s">
        <v>234</v>
      </c>
      <c r="M415" s="64"/>
      <c r="N415" s="65"/>
      <c r="O415" s="66"/>
      <c r="P415" s="15" t="s">
        <v>28</v>
      </c>
      <c r="Q415" s="15" t="s">
        <v>20</v>
      </c>
      <c r="R415" s="15"/>
      <c r="S415" s="15" t="s">
        <v>2107</v>
      </c>
      <c r="T415" s="15" t="s">
        <v>30</v>
      </c>
      <c r="U415" s="31" t="s">
        <v>2108</v>
      </c>
      <c r="V415" s="14"/>
      <c r="W415" s="15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</row>
    <row r="416" spans="1:91" ht="14.25" hidden="1" customHeight="1" x14ac:dyDescent="0.25">
      <c r="A416" s="26"/>
      <c r="B416" s="15"/>
      <c r="C416" s="15"/>
      <c r="D416" s="36" t="s">
        <v>2109</v>
      </c>
      <c r="E416" s="36">
        <v>4428131</v>
      </c>
      <c r="F416" s="36" t="s">
        <v>2110</v>
      </c>
      <c r="G416" s="64" t="s">
        <v>2111</v>
      </c>
      <c r="H416" s="36"/>
      <c r="I416" s="36" t="s">
        <v>2112</v>
      </c>
      <c r="J416" s="15" t="s">
        <v>188</v>
      </c>
      <c r="K416" s="61">
        <v>57000</v>
      </c>
      <c r="L416" s="57" t="s">
        <v>234</v>
      </c>
      <c r="M416" s="64"/>
      <c r="N416" s="65"/>
      <c r="O416" s="66"/>
      <c r="P416" s="15" t="s">
        <v>28</v>
      </c>
      <c r="Q416" s="15" t="s">
        <v>20</v>
      </c>
      <c r="R416" s="15"/>
      <c r="S416" s="15" t="s">
        <v>2113</v>
      </c>
      <c r="T416" s="15" t="s">
        <v>43</v>
      </c>
      <c r="U416" s="31" t="s">
        <v>2114</v>
      </c>
      <c r="V416" s="14"/>
      <c r="W416" s="15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</row>
    <row r="417" spans="1:91" ht="14.25" hidden="1" customHeight="1" x14ac:dyDescent="0.25">
      <c r="A417" s="26"/>
      <c r="B417" s="15"/>
      <c r="C417" s="15"/>
      <c r="D417" s="71" t="s">
        <v>2115</v>
      </c>
      <c r="E417" s="71">
        <v>24607005</v>
      </c>
      <c r="F417" s="71">
        <v>3106906896</v>
      </c>
      <c r="G417" s="311" t="s">
        <v>2116</v>
      </c>
      <c r="H417" s="76">
        <v>1</v>
      </c>
      <c r="I417" s="71" t="s">
        <v>2117</v>
      </c>
      <c r="J417" s="14" t="s">
        <v>35</v>
      </c>
      <c r="K417" s="61">
        <v>42000</v>
      </c>
      <c r="L417" s="57" t="s">
        <v>234</v>
      </c>
      <c r="M417" s="72"/>
      <c r="N417" s="65"/>
      <c r="O417" s="66"/>
      <c r="P417" s="15" t="s">
        <v>28</v>
      </c>
      <c r="Q417" s="15" t="s">
        <v>20</v>
      </c>
      <c r="R417" s="15"/>
      <c r="S417" s="15" t="s">
        <v>2118</v>
      </c>
      <c r="T417" s="15"/>
      <c r="U417" s="47" t="s">
        <v>311</v>
      </c>
      <c r="V417" s="14"/>
      <c r="W417" s="15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</row>
    <row r="418" spans="1:91" ht="14.25" hidden="1" customHeight="1" x14ac:dyDescent="0.25">
      <c r="A418" s="26"/>
      <c r="B418" s="15"/>
      <c r="C418" s="15"/>
      <c r="D418" s="36" t="s">
        <v>2119</v>
      </c>
      <c r="E418" s="36">
        <v>7502352</v>
      </c>
      <c r="F418" s="36">
        <v>3128732400</v>
      </c>
      <c r="G418" s="64" t="s">
        <v>2120</v>
      </c>
      <c r="H418" s="36"/>
      <c r="I418" s="36"/>
      <c r="J418" s="64" t="s">
        <v>5480</v>
      </c>
      <c r="K418" s="61">
        <v>82000</v>
      </c>
      <c r="L418" s="57" t="s">
        <v>234</v>
      </c>
      <c r="M418" s="64"/>
      <c r="N418" s="65"/>
      <c r="O418" s="66"/>
      <c r="P418" s="15" t="s">
        <v>28</v>
      </c>
      <c r="Q418" s="15" t="s">
        <v>20</v>
      </c>
      <c r="R418" s="15"/>
      <c r="S418" s="15" t="s">
        <v>2121</v>
      </c>
      <c r="T418" s="15" t="s">
        <v>2122</v>
      </c>
      <c r="U418" s="31" t="s">
        <v>2123</v>
      </c>
      <c r="V418" s="14"/>
      <c r="W418" s="15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</row>
    <row r="419" spans="1:91" ht="14.25" hidden="1" customHeight="1" x14ac:dyDescent="0.25">
      <c r="A419" s="26"/>
      <c r="B419" s="15"/>
      <c r="C419" s="15"/>
      <c r="D419" s="36" t="s">
        <v>2124</v>
      </c>
      <c r="E419" s="36">
        <v>24673577</v>
      </c>
      <c r="F419" s="36">
        <v>3146175234</v>
      </c>
      <c r="G419" s="64" t="s">
        <v>2125</v>
      </c>
      <c r="H419" s="36"/>
      <c r="I419" s="36" t="s">
        <v>2126</v>
      </c>
      <c r="J419" s="14" t="s">
        <v>35</v>
      </c>
      <c r="K419" s="61">
        <v>42000</v>
      </c>
      <c r="L419" s="57" t="s">
        <v>234</v>
      </c>
      <c r="M419" s="64"/>
      <c r="N419" s="65"/>
      <c r="O419" s="66"/>
      <c r="P419" s="15" t="s">
        <v>28</v>
      </c>
      <c r="Q419" s="15" t="s">
        <v>20</v>
      </c>
      <c r="R419" s="15"/>
      <c r="S419" s="15" t="s">
        <v>2127</v>
      </c>
      <c r="T419" s="15" t="s">
        <v>30</v>
      </c>
      <c r="U419" s="31" t="s">
        <v>2128</v>
      </c>
      <c r="V419" s="14"/>
      <c r="W419" s="15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</row>
    <row r="420" spans="1:91" ht="14.25" hidden="1" customHeight="1" x14ac:dyDescent="0.25">
      <c r="A420" s="26"/>
      <c r="B420" s="15"/>
      <c r="C420" s="15"/>
      <c r="D420" s="36" t="s">
        <v>2129</v>
      </c>
      <c r="E420" s="36">
        <v>1071171829</v>
      </c>
      <c r="F420" s="36" t="s">
        <v>2130</v>
      </c>
      <c r="G420" s="64" t="s">
        <v>1738</v>
      </c>
      <c r="H420" s="36"/>
      <c r="I420" s="36" t="s">
        <v>2131</v>
      </c>
      <c r="J420" s="14" t="s">
        <v>35</v>
      </c>
      <c r="K420" s="61">
        <v>42000</v>
      </c>
      <c r="L420" s="57" t="s">
        <v>234</v>
      </c>
      <c r="M420" s="64"/>
      <c r="N420" s="65"/>
      <c r="O420" s="66"/>
      <c r="P420" s="15" t="s">
        <v>28</v>
      </c>
      <c r="Q420" s="15" t="s">
        <v>20</v>
      </c>
      <c r="R420" s="15"/>
      <c r="S420" s="15" t="s">
        <v>2132</v>
      </c>
      <c r="T420" s="15" t="s">
        <v>43</v>
      </c>
      <c r="U420" s="31" t="s">
        <v>2133</v>
      </c>
      <c r="V420" s="14"/>
      <c r="W420" s="15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</row>
    <row r="421" spans="1:91" ht="14.25" hidden="1" customHeight="1" x14ac:dyDescent="0.25">
      <c r="A421" s="26"/>
      <c r="B421" s="15"/>
      <c r="C421" s="15"/>
      <c r="D421" s="36" t="s">
        <v>2134</v>
      </c>
      <c r="E421" s="36">
        <v>17775296</v>
      </c>
      <c r="F421" s="36" t="s">
        <v>2135</v>
      </c>
      <c r="G421" s="64" t="s">
        <v>2136</v>
      </c>
      <c r="H421" s="36"/>
      <c r="I421" s="36" t="s">
        <v>2137</v>
      </c>
      <c r="J421" s="14" t="s">
        <v>35</v>
      </c>
      <c r="K421" s="61">
        <v>42000</v>
      </c>
      <c r="L421" s="57" t="s">
        <v>234</v>
      </c>
      <c r="M421" s="64"/>
      <c r="N421" s="65"/>
      <c r="O421" s="66"/>
      <c r="P421" s="15" t="s">
        <v>28</v>
      </c>
      <c r="Q421" s="15" t="s">
        <v>20</v>
      </c>
      <c r="R421" s="15"/>
      <c r="S421" s="15" t="s">
        <v>2138</v>
      </c>
      <c r="T421" s="15" t="s">
        <v>1817</v>
      </c>
      <c r="U421" s="31" t="s">
        <v>2139</v>
      </c>
      <c r="V421" s="14"/>
      <c r="W421" s="15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</row>
    <row r="422" spans="1:91" ht="14.25" hidden="1" customHeight="1" x14ac:dyDescent="0.25">
      <c r="A422" s="26"/>
      <c r="B422" s="15"/>
      <c r="C422" s="15"/>
      <c r="D422" s="36" t="s">
        <v>2140</v>
      </c>
      <c r="E422" s="36">
        <v>1099684082</v>
      </c>
      <c r="F422" s="36" t="s">
        <v>2141</v>
      </c>
      <c r="G422" s="64" t="s">
        <v>2142</v>
      </c>
      <c r="H422" s="36"/>
      <c r="I422" s="36" t="s">
        <v>2143</v>
      </c>
      <c r="J422" s="14" t="s">
        <v>35</v>
      </c>
      <c r="K422" s="61">
        <v>42000</v>
      </c>
      <c r="L422" s="57" t="s">
        <v>234</v>
      </c>
      <c r="M422" s="64"/>
      <c r="N422" s="65"/>
      <c r="O422" s="66"/>
      <c r="P422" s="15" t="s">
        <v>28</v>
      </c>
      <c r="Q422" s="15" t="s">
        <v>20</v>
      </c>
      <c r="R422" s="15"/>
      <c r="S422" s="15" t="s">
        <v>2144</v>
      </c>
      <c r="T422" s="15" t="s">
        <v>126</v>
      </c>
      <c r="U422" s="31" t="s">
        <v>2145</v>
      </c>
      <c r="V422" s="14"/>
      <c r="W422" s="15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</row>
    <row r="423" spans="1:91" ht="14.25" hidden="1" customHeight="1" x14ac:dyDescent="0.25">
      <c r="A423" s="26"/>
      <c r="B423" s="15"/>
      <c r="C423" s="15"/>
      <c r="D423" s="71" t="s">
        <v>2146</v>
      </c>
      <c r="E423" s="71">
        <v>24674740</v>
      </c>
      <c r="F423" s="71">
        <v>3123628218</v>
      </c>
      <c r="G423" s="299" t="s">
        <v>2147</v>
      </c>
      <c r="H423" s="71"/>
      <c r="I423" s="71" t="s">
        <v>2002</v>
      </c>
      <c r="J423" s="14" t="s">
        <v>35</v>
      </c>
      <c r="K423" s="61">
        <v>42000</v>
      </c>
      <c r="L423" s="57" t="s">
        <v>234</v>
      </c>
      <c r="M423" s="72"/>
      <c r="N423" s="65"/>
      <c r="O423" s="66"/>
      <c r="P423" s="15" t="s">
        <v>28</v>
      </c>
      <c r="Q423" s="15" t="s">
        <v>20</v>
      </c>
      <c r="R423" s="15"/>
      <c r="S423" s="15" t="s">
        <v>2148</v>
      </c>
      <c r="T423" s="15" t="s">
        <v>151</v>
      </c>
      <c r="U423" s="79" t="s">
        <v>2149</v>
      </c>
      <c r="V423" s="14"/>
      <c r="W423" s="15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</row>
    <row r="424" spans="1:91" ht="14.25" hidden="1" customHeight="1" x14ac:dyDescent="0.25">
      <c r="A424" s="26"/>
      <c r="B424" s="15"/>
      <c r="C424" s="15"/>
      <c r="D424" s="15" t="s">
        <v>2150</v>
      </c>
      <c r="E424" s="17">
        <v>24676066</v>
      </c>
      <c r="F424" s="17" t="s">
        <v>2151</v>
      </c>
      <c r="G424" s="309" t="s">
        <v>2152</v>
      </c>
      <c r="H424" s="34">
        <v>1</v>
      </c>
      <c r="I424" s="15" t="s">
        <v>2153</v>
      </c>
      <c r="J424" s="14" t="s">
        <v>35</v>
      </c>
      <c r="K424" s="27">
        <v>42000</v>
      </c>
      <c r="L424" s="57" t="s">
        <v>234</v>
      </c>
      <c r="M424" s="28"/>
      <c r="N424" s="29"/>
      <c r="O424" s="30"/>
      <c r="P424" s="15" t="s">
        <v>28</v>
      </c>
      <c r="Q424" s="15" t="s">
        <v>20</v>
      </c>
      <c r="R424" s="15"/>
      <c r="S424" s="15" t="s">
        <v>2154</v>
      </c>
      <c r="T424" s="15" t="s">
        <v>30</v>
      </c>
      <c r="U424" s="31" t="s">
        <v>2155</v>
      </c>
      <c r="V424" s="14"/>
      <c r="W424" s="15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>
        <v>1</v>
      </c>
    </row>
    <row r="425" spans="1:91" ht="14.25" hidden="1" customHeight="1" x14ac:dyDescent="0.25">
      <c r="A425" s="26"/>
      <c r="B425" s="15"/>
      <c r="C425" s="15" t="s">
        <v>2156</v>
      </c>
      <c r="D425" s="71" t="s">
        <v>2157</v>
      </c>
      <c r="E425" s="71">
        <v>24673292</v>
      </c>
      <c r="F425" s="71" t="s">
        <v>2158</v>
      </c>
      <c r="G425" s="311" t="s">
        <v>2159</v>
      </c>
      <c r="H425" s="76">
        <v>1</v>
      </c>
      <c r="I425" s="71" t="s">
        <v>2160</v>
      </c>
      <c r="J425" s="14" t="s">
        <v>35</v>
      </c>
      <c r="K425" s="61">
        <v>42000</v>
      </c>
      <c r="L425" s="57" t="s">
        <v>234</v>
      </c>
      <c r="M425" s="72"/>
      <c r="N425" s="65"/>
      <c r="O425" s="66"/>
      <c r="P425" s="15" t="s">
        <v>28</v>
      </c>
      <c r="Q425" s="15" t="s">
        <v>20</v>
      </c>
      <c r="R425" s="15"/>
      <c r="S425" s="15" t="s">
        <v>2161</v>
      </c>
      <c r="T425" s="15" t="s">
        <v>217</v>
      </c>
      <c r="U425" s="79" t="s">
        <v>2162</v>
      </c>
      <c r="V425" s="14"/>
      <c r="W425" s="15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</row>
    <row r="426" spans="1:91" ht="14.25" hidden="1" customHeight="1" x14ac:dyDescent="0.25">
      <c r="A426" s="26"/>
      <c r="B426" s="15"/>
      <c r="C426" s="15"/>
      <c r="D426" s="36" t="s">
        <v>2163</v>
      </c>
      <c r="E426" s="36">
        <v>1005367572</v>
      </c>
      <c r="F426" s="36" t="s">
        <v>2164</v>
      </c>
      <c r="G426" s="64" t="s">
        <v>2165</v>
      </c>
      <c r="H426" s="36"/>
      <c r="I426" s="36"/>
      <c r="J426" s="14" t="s">
        <v>35</v>
      </c>
      <c r="K426" s="61">
        <v>42000</v>
      </c>
      <c r="L426" s="57" t="s">
        <v>234</v>
      </c>
      <c r="M426" s="64"/>
      <c r="N426" s="65"/>
      <c r="O426" s="66"/>
      <c r="P426" s="15" t="s">
        <v>28</v>
      </c>
      <c r="Q426" s="15" t="s">
        <v>20</v>
      </c>
      <c r="R426" s="15"/>
      <c r="S426" s="15" t="s">
        <v>2166</v>
      </c>
      <c r="T426" s="15" t="s">
        <v>126</v>
      </c>
      <c r="U426" s="31" t="s">
        <v>2167</v>
      </c>
      <c r="V426" s="14"/>
      <c r="W426" s="15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</row>
    <row r="427" spans="1:91" ht="14.25" hidden="1" customHeight="1" x14ac:dyDescent="0.25">
      <c r="A427" s="26"/>
      <c r="B427" s="15"/>
      <c r="C427" s="15"/>
      <c r="D427" s="36" t="s">
        <v>2168</v>
      </c>
      <c r="E427" s="36">
        <v>1099684114</v>
      </c>
      <c r="F427" s="36" t="s">
        <v>2169</v>
      </c>
      <c r="G427" s="64" t="s">
        <v>2170</v>
      </c>
      <c r="H427" s="36"/>
      <c r="I427" s="36" t="s">
        <v>2171</v>
      </c>
      <c r="J427" s="14" t="s">
        <v>35</v>
      </c>
      <c r="K427" s="61">
        <v>42000</v>
      </c>
      <c r="L427" s="57" t="s">
        <v>234</v>
      </c>
      <c r="M427" s="64"/>
      <c r="N427" s="65"/>
      <c r="O427" s="66"/>
      <c r="P427" s="15" t="s">
        <v>28</v>
      </c>
      <c r="Q427" s="15" t="s">
        <v>20</v>
      </c>
      <c r="R427" s="15"/>
      <c r="S427" s="15" t="s">
        <v>2172</v>
      </c>
      <c r="T427" s="15" t="s">
        <v>107</v>
      </c>
      <c r="U427" s="31" t="s">
        <v>2173</v>
      </c>
      <c r="V427" s="14"/>
      <c r="W427" s="15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</row>
    <row r="428" spans="1:91" ht="14.25" hidden="1" customHeight="1" x14ac:dyDescent="0.25">
      <c r="A428" s="26"/>
      <c r="B428" s="15"/>
      <c r="C428" s="15"/>
      <c r="D428" s="36" t="s">
        <v>2174</v>
      </c>
      <c r="E428" s="36">
        <v>9801903</v>
      </c>
      <c r="F428" s="36">
        <v>3104494910</v>
      </c>
      <c r="G428" s="64" t="s">
        <v>2175</v>
      </c>
      <c r="H428" s="36"/>
      <c r="I428" s="36" t="s">
        <v>2176</v>
      </c>
      <c r="J428" s="14" t="s">
        <v>35</v>
      </c>
      <c r="K428" s="61">
        <v>42000</v>
      </c>
      <c r="L428" s="57" t="s">
        <v>234</v>
      </c>
      <c r="M428" s="64"/>
      <c r="N428" s="65"/>
      <c r="O428" s="66"/>
      <c r="P428" s="15" t="s">
        <v>28</v>
      </c>
      <c r="Q428" s="15" t="s">
        <v>20</v>
      </c>
      <c r="R428" s="15"/>
      <c r="S428" s="15" t="s">
        <v>2177</v>
      </c>
      <c r="T428" s="15" t="s">
        <v>67</v>
      </c>
      <c r="U428" s="31" t="s">
        <v>2178</v>
      </c>
      <c r="V428" s="14"/>
      <c r="W428" s="15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</row>
    <row r="429" spans="1:91" ht="14.25" hidden="1" customHeight="1" x14ac:dyDescent="0.25">
      <c r="A429" s="26"/>
      <c r="B429" s="15"/>
      <c r="C429" s="15"/>
      <c r="D429" s="71" t="s">
        <v>2179</v>
      </c>
      <c r="E429" s="71">
        <v>1006373676</v>
      </c>
      <c r="F429" s="71" t="s">
        <v>2180</v>
      </c>
      <c r="G429" s="311" t="s">
        <v>2181</v>
      </c>
      <c r="H429" s="76">
        <v>1</v>
      </c>
      <c r="I429" s="71" t="s">
        <v>2182</v>
      </c>
      <c r="J429" s="14" t="s">
        <v>35</v>
      </c>
      <c r="K429" s="61">
        <v>42000</v>
      </c>
      <c r="L429" s="57" t="s">
        <v>234</v>
      </c>
      <c r="M429" s="72"/>
      <c r="N429" s="65"/>
      <c r="O429" s="66"/>
      <c r="P429" s="15" t="s">
        <v>28</v>
      </c>
      <c r="Q429" s="15" t="s">
        <v>20</v>
      </c>
      <c r="R429" s="15"/>
      <c r="S429" s="15" t="s">
        <v>2183</v>
      </c>
      <c r="T429" s="15"/>
      <c r="U429" s="31" t="s">
        <v>2184</v>
      </c>
      <c r="V429" s="15"/>
      <c r="W429" s="15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</row>
    <row r="430" spans="1:91" ht="14.25" hidden="1" customHeight="1" x14ac:dyDescent="0.25">
      <c r="A430" s="26"/>
      <c r="B430" s="15"/>
      <c r="C430" s="15"/>
      <c r="D430" s="71" t="s">
        <v>2185</v>
      </c>
      <c r="E430" s="71">
        <v>30349559</v>
      </c>
      <c r="F430" s="71" t="s">
        <v>2186</v>
      </c>
      <c r="G430" s="311" t="s">
        <v>2187</v>
      </c>
      <c r="H430" s="76">
        <v>1</v>
      </c>
      <c r="I430" s="71" t="s">
        <v>2188</v>
      </c>
      <c r="J430" s="14" t="s">
        <v>35</v>
      </c>
      <c r="K430" s="61">
        <v>42000</v>
      </c>
      <c r="L430" s="57" t="s">
        <v>234</v>
      </c>
      <c r="M430" s="72"/>
      <c r="N430" s="65"/>
      <c r="O430" s="66"/>
      <c r="P430" s="15" t="s">
        <v>28</v>
      </c>
      <c r="Q430" s="15" t="s">
        <v>20</v>
      </c>
      <c r="R430" s="15"/>
      <c r="S430" s="15" t="s">
        <v>2189</v>
      </c>
      <c r="T430" s="15" t="s">
        <v>61</v>
      </c>
      <c r="U430" s="79" t="s">
        <v>2190</v>
      </c>
      <c r="V430" s="14"/>
      <c r="W430" s="15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</row>
    <row r="431" spans="1:91" ht="14.25" hidden="1" customHeight="1" x14ac:dyDescent="0.25">
      <c r="A431" s="26"/>
      <c r="B431" s="15"/>
      <c r="C431" s="15"/>
      <c r="D431" s="71" t="s">
        <v>2191</v>
      </c>
      <c r="E431" s="71">
        <v>1099683643</v>
      </c>
      <c r="F431" s="71" t="s">
        <v>2192</v>
      </c>
      <c r="G431" s="311" t="s">
        <v>2193</v>
      </c>
      <c r="H431" s="76">
        <v>1</v>
      </c>
      <c r="I431" s="71"/>
      <c r="J431" s="14" t="s">
        <v>35</v>
      </c>
      <c r="K431" s="61">
        <v>42000</v>
      </c>
      <c r="L431" s="57" t="s">
        <v>234</v>
      </c>
      <c r="M431" s="72"/>
      <c r="N431" s="65"/>
      <c r="O431" s="66"/>
      <c r="P431" s="15" t="s">
        <v>28</v>
      </c>
      <c r="Q431" s="15" t="s">
        <v>20</v>
      </c>
      <c r="R431" s="15"/>
      <c r="S431" s="15" t="s">
        <v>2194</v>
      </c>
      <c r="T431" s="15" t="s">
        <v>61</v>
      </c>
      <c r="U431" s="31" t="s">
        <v>2195</v>
      </c>
      <c r="V431" s="14"/>
      <c r="W431" s="15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</row>
    <row r="432" spans="1:91" ht="14.25" hidden="1" customHeight="1" x14ac:dyDescent="0.25">
      <c r="A432" s="26"/>
      <c r="B432" s="15"/>
      <c r="C432" s="15"/>
      <c r="D432" s="71" t="s">
        <v>2196</v>
      </c>
      <c r="E432" s="71">
        <v>1099682665</v>
      </c>
      <c r="F432" s="71" t="s">
        <v>2197</v>
      </c>
      <c r="G432" s="299" t="s">
        <v>2198</v>
      </c>
      <c r="H432" s="71"/>
      <c r="I432" s="71"/>
      <c r="J432" s="14" t="s">
        <v>35</v>
      </c>
      <c r="K432" s="61">
        <v>42000</v>
      </c>
      <c r="L432" s="57" t="s">
        <v>234</v>
      </c>
      <c r="M432" s="72"/>
      <c r="N432" s="65"/>
      <c r="O432" s="66"/>
      <c r="P432" s="15" t="s">
        <v>28</v>
      </c>
      <c r="Q432" s="15" t="s">
        <v>20</v>
      </c>
      <c r="R432" s="15"/>
      <c r="S432" s="15" t="s">
        <v>2199</v>
      </c>
      <c r="T432" s="15" t="s">
        <v>126</v>
      </c>
      <c r="U432" s="31" t="s">
        <v>2200</v>
      </c>
      <c r="V432" s="14"/>
      <c r="W432" s="15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</row>
    <row r="433" spans="1:91" ht="14.25" hidden="1" customHeight="1" x14ac:dyDescent="0.25">
      <c r="A433" s="26"/>
      <c r="B433" s="15"/>
      <c r="C433" s="15"/>
      <c r="D433" s="36" t="s">
        <v>2201</v>
      </c>
      <c r="E433" s="36">
        <v>24674136</v>
      </c>
      <c r="F433" s="36">
        <v>3217348632</v>
      </c>
      <c r="G433" s="64" t="s">
        <v>2202</v>
      </c>
      <c r="H433" s="36"/>
      <c r="I433" s="36" t="s">
        <v>2203</v>
      </c>
      <c r="J433" s="14" t="s">
        <v>35</v>
      </c>
      <c r="K433" s="61">
        <v>42000</v>
      </c>
      <c r="L433" s="57" t="s">
        <v>234</v>
      </c>
      <c r="M433" s="64"/>
      <c r="N433" s="65"/>
      <c r="O433" s="66"/>
      <c r="P433" s="15" t="s">
        <v>28</v>
      </c>
      <c r="Q433" s="15" t="s">
        <v>20</v>
      </c>
      <c r="R433" s="15"/>
      <c r="S433" s="15" t="s">
        <v>2204</v>
      </c>
      <c r="T433" s="15" t="s">
        <v>107</v>
      </c>
      <c r="U433" s="31" t="s">
        <v>2205</v>
      </c>
      <c r="V433" s="14"/>
      <c r="W433" s="15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</row>
    <row r="434" spans="1:91" ht="14.25" hidden="1" customHeight="1" x14ac:dyDescent="0.25">
      <c r="A434" s="26"/>
      <c r="B434" s="15"/>
      <c r="C434" s="15"/>
      <c r="D434" s="36" t="s">
        <v>2206</v>
      </c>
      <c r="E434" s="77">
        <v>1099684214</v>
      </c>
      <c r="F434" s="36" t="s">
        <v>1334</v>
      </c>
      <c r="G434" s="310" t="s">
        <v>2207</v>
      </c>
      <c r="H434" s="74">
        <v>1</v>
      </c>
      <c r="I434" s="36" t="s">
        <v>1724</v>
      </c>
      <c r="J434" s="14" t="s">
        <v>35</v>
      </c>
      <c r="K434" s="61">
        <v>42000</v>
      </c>
      <c r="L434" s="57" t="s">
        <v>234</v>
      </c>
      <c r="M434" s="64"/>
      <c r="N434" s="65"/>
      <c r="O434" s="66"/>
      <c r="P434" s="15" t="s">
        <v>28</v>
      </c>
      <c r="Q434" s="15" t="s">
        <v>20</v>
      </c>
      <c r="R434" s="15"/>
      <c r="S434" s="15" t="s">
        <v>2208</v>
      </c>
      <c r="T434" s="15" t="s">
        <v>107</v>
      </c>
      <c r="U434" s="79" t="s">
        <v>1338</v>
      </c>
      <c r="V434" s="14"/>
      <c r="W434" s="15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</row>
    <row r="435" spans="1:91" ht="14.25" hidden="1" customHeight="1" x14ac:dyDescent="0.25">
      <c r="A435" s="26"/>
      <c r="B435" s="15"/>
      <c r="C435" s="15"/>
      <c r="D435" s="36" t="s">
        <v>2209</v>
      </c>
      <c r="E435" s="36">
        <v>4426508</v>
      </c>
      <c r="F435" s="36" t="s">
        <v>2210</v>
      </c>
      <c r="G435" s="64" t="s">
        <v>2211</v>
      </c>
      <c r="H435" s="36"/>
      <c r="I435" s="36"/>
      <c r="J435" s="14" t="s">
        <v>35</v>
      </c>
      <c r="K435" s="61">
        <v>42000</v>
      </c>
      <c r="L435" s="57" t="s">
        <v>234</v>
      </c>
      <c r="M435" s="64"/>
      <c r="N435" s="65"/>
      <c r="O435" s="66"/>
      <c r="P435" s="15" t="s">
        <v>28</v>
      </c>
      <c r="Q435" s="15" t="s">
        <v>20</v>
      </c>
      <c r="R435" s="15"/>
      <c r="S435" s="15" t="s">
        <v>2212</v>
      </c>
      <c r="T435" s="15" t="s">
        <v>30</v>
      </c>
      <c r="U435" s="31" t="s">
        <v>2213</v>
      </c>
      <c r="V435" s="14"/>
      <c r="W435" s="15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</row>
    <row r="436" spans="1:91" ht="14.25" hidden="1" customHeight="1" x14ac:dyDescent="0.25">
      <c r="A436" s="26"/>
      <c r="B436" s="15"/>
      <c r="C436" s="15"/>
      <c r="D436" s="36" t="s">
        <v>2214</v>
      </c>
      <c r="E436" s="36">
        <v>1094887306</v>
      </c>
      <c r="F436" s="36">
        <v>3138975911</v>
      </c>
      <c r="G436" s="64" t="s">
        <v>2215</v>
      </c>
      <c r="H436" s="36"/>
      <c r="I436" s="36" t="s">
        <v>2216</v>
      </c>
      <c r="J436" s="14" t="s">
        <v>35</v>
      </c>
      <c r="K436" s="61">
        <v>42000</v>
      </c>
      <c r="L436" s="57" t="s">
        <v>234</v>
      </c>
      <c r="M436" s="64"/>
      <c r="N436" s="65"/>
      <c r="O436" s="66"/>
      <c r="P436" s="15" t="s">
        <v>28</v>
      </c>
      <c r="Q436" s="15" t="s">
        <v>20</v>
      </c>
      <c r="R436" s="15"/>
      <c r="S436" s="15" t="s">
        <v>2217</v>
      </c>
      <c r="T436" s="15" t="s">
        <v>2218</v>
      </c>
      <c r="U436" s="31" t="s">
        <v>2219</v>
      </c>
      <c r="V436" s="14"/>
      <c r="W436" s="15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</row>
    <row r="437" spans="1:91" ht="14.25" hidden="1" customHeight="1" x14ac:dyDescent="0.25">
      <c r="A437" s="26"/>
      <c r="B437" s="15"/>
      <c r="C437" s="15"/>
      <c r="D437" s="71" t="s">
        <v>2220</v>
      </c>
      <c r="E437" s="71">
        <v>1097406872</v>
      </c>
      <c r="F437" s="71">
        <v>3205988475</v>
      </c>
      <c r="G437" s="299" t="s">
        <v>2221</v>
      </c>
      <c r="H437" s="71"/>
      <c r="I437" s="71"/>
      <c r="J437" s="14" t="s">
        <v>35</v>
      </c>
      <c r="K437" s="61">
        <v>42000</v>
      </c>
      <c r="L437" s="57" t="s">
        <v>234</v>
      </c>
      <c r="M437" s="72"/>
      <c r="N437" s="65"/>
      <c r="O437" s="66"/>
      <c r="P437" s="15" t="s">
        <v>28</v>
      </c>
      <c r="Q437" s="15" t="s">
        <v>20</v>
      </c>
      <c r="R437" s="15"/>
      <c r="S437" s="15" t="s">
        <v>2222</v>
      </c>
      <c r="T437" s="15"/>
      <c r="U437" s="31" t="s">
        <v>2223</v>
      </c>
      <c r="V437" s="14"/>
      <c r="W437" s="15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</row>
    <row r="438" spans="1:91" ht="14.25" hidden="1" customHeight="1" x14ac:dyDescent="0.25">
      <c r="A438" s="26"/>
      <c r="B438" s="15"/>
      <c r="C438" s="15"/>
      <c r="D438" s="36" t="s">
        <v>2224</v>
      </c>
      <c r="E438" s="36">
        <v>24675991</v>
      </c>
      <c r="F438" s="36">
        <v>3153083562</v>
      </c>
      <c r="G438" s="64" t="s">
        <v>2225</v>
      </c>
      <c r="H438" s="36"/>
      <c r="I438" s="36" t="s">
        <v>2226</v>
      </c>
      <c r="J438" s="14" t="s">
        <v>35</v>
      </c>
      <c r="K438" s="61">
        <v>42000</v>
      </c>
      <c r="L438" s="57" t="s">
        <v>234</v>
      </c>
      <c r="M438" s="64"/>
      <c r="N438" s="65"/>
      <c r="O438" s="66"/>
      <c r="P438" s="15" t="s">
        <v>28</v>
      </c>
      <c r="Q438" s="15" t="s">
        <v>20</v>
      </c>
      <c r="R438" s="15"/>
      <c r="S438" s="15" t="s">
        <v>2227</v>
      </c>
      <c r="T438" s="15" t="s">
        <v>2228</v>
      </c>
      <c r="U438" s="31" t="s">
        <v>2229</v>
      </c>
      <c r="V438" s="14"/>
      <c r="W438" s="15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</row>
    <row r="439" spans="1:91" ht="14.25" hidden="1" customHeight="1" x14ac:dyDescent="0.25">
      <c r="A439" s="26"/>
      <c r="B439" s="15"/>
      <c r="C439" s="15"/>
      <c r="D439" s="71" t="s">
        <v>2230</v>
      </c>
      <c r="E439" s="71">
        <v>1016032525</v>
      </c>
      <c r="F439" s="71">
        <v>3227432357</v>
      </c>
      <c r="G439" s="299" t="s">
        <v>2231</v>
      </c>
      <c r="H439" s="71"/>
      <c r="I439" s="71"/>
      <c r="J439" s="14" t="s">
        <v>35</v>
      </c>
      <c r="K439" s="61">
        <v>42000</v>
      </c>
      <c r="L439" s="57" t="s">
        <v>234</v>
      </c>
      <c r="M439" s="71"/>
      <c r="N439" s="61"/>
      <c r="O439" s="66"/>
      <c r="P439" s="15" t="s">
        <v>28</v>
      </c>
      <c r="Q439" s="15" t="s">
        <v>20</v>
      </c>
      <c r="R439" s="15"/>
      <c r="S439" s="15" t="s">
        <v>2232</v>
      </c>
      <c r="T439" s="15" t="s">
        <v>384</v>
      </c>
      <c r="U439" s="31" t="s">
        <v>2233</v>
      </c>
      <c r="V439" s="14"/>
      <c r="W439" s="15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</row>
    <row r="440" spans="1:91" ht="14.25" hidden="1" customHeight="1" x14ac:dyDescent="0.25">
      <c r="A440" s="26"/>
      <c r="B440" s="15"/>
      <c r="C440" s="15"/>
      <c r="D440" s="36" t="s">
        <v>2234</v>
      </c>
      <c r="E440" s="77">
        <v>1005095488</v>
      </c>
      <c r="F440" s="36" t="s">
        <v>2235</v>
      </c>
      <c r="G440" s="64" t="s">
        <v>2236</v>
      </c>
      <c r="H440" s="36"/>
      <c r="I440" s="36" t="s">
        <v>2237</v>
      </c>
      <c r="J440" s="14" t="s">
        <v>35</v>
      </c>
      <c r="K440" s="61">
        <v>42000</v>
      </c>
      <c r="L440" s="57" t="s">
        <v>234</v>
      </c>
      <c r="M440" s="64"/>
      <c r="N440" s="65"/>
      <c r="O440" s="66"/>
      <c r="P440" s="15" t="s">
        <v>28</v>
      </c>
      <c r="Q440" s="15" t="s">
        <v>20</v>
      </c>
      <c r="R440" s="15"/>
      <c r="S440" s="15" t="s">
        <v>2238</v>
      </c>
      <c r="T440" s="15" t="s">
        <v>61</v>
      </c>
      <c r="U440" s="31" t="s">
        <v>2239</v>
      </c>
      <c r="V440" s="14"/>
      <c r="W440" s="15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</row>
    <row r="441" spans="1:91" ht="14.25" hidden="1" customHeight="1" x14ac:dyDescent="0.25">
      <c r="A441" s="26"/>
      <c r="B441" s="15"/>
      <c r="C441" s="15"/>
      <c r="D441" s="71" t="s">
        <v>2240</v>
      </c>
      <c r="E441" s="71">
        <v>24675176</v>
      </c>
      <c r="F441" s="71" t="s">
        <v>2241</v>
      </c>
      <c r="G441" s="311" t="s">
        <v>2242</v>
      </c>
      <c r="H441" s="76">
        <v>1</v>
      </c>
      <c r="I441" s="71" t="s">
        <v>2243</v>
      </c>
      <c r="J441" s="14" t="s">
        <v>35</v>
      </c>
      <c r="K441" s="61">
        <v>42000</v>
      </c>
      <c r="L441" s="57" t="s">
        <v>234</v>
      </c>
      <c r="M441" s="72"/>
      <c r="N441" s="65"/>
      <c r="O441" s="66"/>
      <c r="P441" s="15" t="s">
        <v>28</v>
      </c>
      <c r="Q441" s="15" t="s">
        <v>20</v>
      </c>
      <c r="R441" s="15"/>
      <c r="S441" s="15" t="s">
        <v>2244</v>
      </c>
      <c r="T441" s="15" t="s">
        <v>61</v>
      </c>
      <c r="U441" s="31" t="s">
        <v>2245</v>
      </c>
      <c r="V441" s="14"/>
      <c r="W441" s="15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</row>
    <row r="442" spans="1:91" ht="14.25" hidden="1" customHeight="1" x14ac:dyDescent="0.25">
      <c r="A442" s="26"/>
      <c r="B442" s="15"/>
      <c r="C442" s="15"/>
      <c r="D442" s="36" t="s">
        <v>2246</v>
      </c>
      <c r="E442" s="36">
        <v>24675359</v>
      </c>
      <c r="F442" s="36">
        <v>3106752522</v>
      </c>
      <c r="G442" s="64" t="s">
        <v>2247</v>
      </c>
      <c r="H442" s="36"/>
      <c r="I442" s="36" t="s">
        <v>2248</v>
      </c>
      <c r="J442" s="14" t="s">
        <v>35</v>
      </c>
      <c r="K442" s="61">
        <v>42000</v>
      </c>
      <c r="L442" s="57" t="s">
        <v>234</v>
      </c>
      <c r="M442" s="64"/>
      <c r="N442" s="65"/>
      <c r="O442" s="66"/>
      <c r="P442" s="15" t="s">
        <v>28</v>
      </c>
      <c r="Q442" s="15" t="s">
        <v>20</v>
      </c>
      <c r="R442" s="15"/>
      <c r="S442" s="15" t="s">
        <v>2249</v>
      </c>
      <c r="T442" s="15" t="s">
        <v>67</v>
      </c>
      <c r="U442" s="31" t="s">
        <v>2250</v>
      </c>
      <c r="V442" s="14"/>
      <c r="W442" s="15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</row>
    <row r="443" spans="1:91" ht="14.25" hidden="1" customHeight="1" x14ac:dyDescent="0.25">
      <c r="A443" s="26"/>
      <c r="B443" s="15"/>
      <c r="C443" s="15"/>
      <c r="D443" s="36" t="s">
        <v>2251</v>
      </c>
      <c r="E443" s="36">
        <v>9800998</v>
      </c>
      <c r="F443" s="36">
        <v>3146750618</v>
      </c>
      <c r="G443" s="64" t="s">
        <v>2252</v>
      </c>
      <c r="H443" s="36"/>
      <c r="I443" s="36" t="s">
        <v>2253</v>
      </c>
      <c r="J443" s="14" t="s">
        <v>35</v>
      </c>
      <c r="K443" s="61">
        <v>42000</v>
      </c>
      <c r="L443" s="57" t="s">
        <v>234</v>
      </c>
      <c r="M443" s="64"/>
      <c r="N443" s="65"/>
      <c r="O443" s="66"/>
      <c r="P443" s="15" t="s">
        <v>28</v>
      </c>
      <c r="Q443" s="15" t="s">
        <v>20</v>
      </c>
      <c r="R443" s="15"/>
      <c r="S443" s="15" t="s">
        <v>2254</v>
      </c>
      <c r="T443" s="15" t="s">
        <v>2255</v>
      </c>
      <c r="U443" s="31" t="s">
        <v>2256</v>
      </c>
      <c r="V443" s="14"/>
      <c r="W443" s="15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</row>
    <row r="444" spans="1:91" ht="14.25" hidden="1" customHeight="1" x14ac:dyDescent="0.25">
      <c r="A444" s="26"/>
      <c r="B444" s="15"/>
      <c r="C444" s="15"/>
      <c r="D444" s="15" t="s">
        <v>2257</v>
      </c>
      <c r="E444" s="16">
        <v>9731746</v>
      </c>
      <c r="F444" s="17" t="s">
        <v>2258</v>
      </c>
      <c r="G444" s="297" t="s">
        <v>2259</v>
      </c>
      <c r="H444" s="15"/>
      <c r="I444" s="15" t="s">
        <v>131</v>
      </c>
      <c r="J444" s="15" t="s">
        <v>188</v>
      </c>
      <c r="K444" s="27">
        <v>57000</v>
      </c>
      <c r="L444" s="57" t="s">
        <v>234</v>
      </c>
      <c r="M444" s="28"/>
      <c r="N444" s="29"/>
      <c r="O444" s="30"/>
      <c r="P444" s="15" t="s">
        <v>28</v>
      </c>
      <c r="Q444" s="15" t="s">
        <v>20</v>
      </c>
      <c r="R444" s="15"/>
      <c r="S444" s="15" t="s">
        <v>2260</v>
      </c>
      <c r="T444" s="15" t="s">
        <v>126</v>
      </c>
      <c r="U444" s="31" t="s">
        <v>2261</v>
      </c>
      <c r="V444" s="14"/>
      <c r="W444" s="15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</row>
    <row r="445" spans="1:91" ht="14.25" hidden="1" customHeight="1" x14ac:dyDescent="0.25">
      <c r="A445" s="26"/>
      <c r="B445" s="15"/>
      <c r="C445" s="15"/>
      <c r="D445" s="36" t="s">
        <v>2266</v>
      </c>
      <c r="E445" s="36">
        <v>901641794</v>
      </c>
      <c r="F445" s="36" t="s">
        <v>2267</v>
      </c>
      <c r="G445" s="310" t="s">
        <v>2268</v>
      </c>
      <c r="H445" s="74">
        <v>1</v>
      </c>
      <c r="I445" s="36"/>
      <c r="J445" s="14" t="s">
        <v>54</v>
      </c>
      <c r="K445" s="61">
        <v>67830</v>
      </c>
      <c r="L445" s="57" t="s">
        <v>234</v>
      </c>
      <c r="M445" s="64"/>
      <c r="N445" s="65"/>
      <c r="O445" s="66"/>
      <c r="P445" s="15" t="s">
        <v>28</v>
      </c>
      <c r="Q445" s="15" t="s">
        <v>20</v>
      </c>
      <c r="R445" s="15"/>
      <c r="S445" s="15" t="s">
        <v>2269</v>
      </c>
      <c r="T445" s="15" t="s">
        <v>236</v>
      </c>
      <c r="U445" s="31" t="s">
        <v>2270</v>
      </c>
      <c r="V445" s="14"/>
      <c r="W445" s="15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</row>
    <row r="446" spans="1:91" ht="14.25" hidden="1" customHeight="1" x14ac:dyDescent="0.25">
      <c r="A446" s="26"/>
      <c r="B446" s="15"/>
      <c r="C446" s="15"/>
      <c r="D446" s="36" t="s">
        <v>2271</v>
      </c>
      <c r="E446" s="36">
        <v>1053612174</v>
      </c>
      <c r="F446" s="36">
        <v>3214814434</v>
      </c>
      <c r="G446" s="64" t="s">
        <v>2272</v>
      </c>
      <c r="H446" s="36"/>
      <c r="I446" s="36" t="s">
        <v>2273</v>
      </c>
      <c r="J446" s="14" t="s">
        <v>35</v>
      </c>
      <c r="K446" s="61">
        <v>42000</v>
      </c>
      <c r="L446" s="57" t="s">
        <v>234</v>
      </c>
      <c r="M446" s="64"/>
      <c r="N446" s="65"/>
      <c r="O446" s="66"/>
      <c r="P446" s="15" t="s">
        <v>28</v>
      </c>
      <c r="Q446" s="15" t="s">
        <v>20</v>
      </c>
      <c r="R446" s="15"/>
      <c r="S446" s="15" t="s">
        <v>2274</v>
      </c>
      <c r="T446" s="15" t="s">
        <v>2275</v>
      </c>
      <c r="U446" s="31" t="s">
        <v>2276</v>
      </c>
      <c r="V446" s="14"/>
      <c r="W446" s="15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</row>
    <row r="447" spans="1:91" ht="14.25" hidden="1" customHeight="1" x14ac:dyDescent="0.25">
      <c r="A447" s="26"/>
      <c r="B447" s="15"/>
      <c r="C447" s="15"/>
      <c r="D447" s="36" t="s">
        <v>2277</v>
      </c>
      <c r="E447" s="36">
        <v>24675883</v>
      </c>
      <c r="F447" s="36">
        <v>3128284472</v>
      </c>
      <c r="G447" s="310" t="s">
        <v>2278</v>
      </c>
      <c r="H447" s="74">
        <v>1</v>
      </c>
      <c r="I447" s="36"/>
      <c r="J447" s="14" t="s">
        <v>35</v>
      </c>
      <c r="K447" s="61">
        <v>42000</v>
      </c>
      <c r="L447" s="57" t="s">
        <v>234</v>
      </c>
      <c r="M447" s="64"/>
      <c r="N447" s="65"/>
      <c r="O447" s="66"/>
      <c r="P447" s="15" t="s">
        <v>28</v>
      </c>
      <c r="Q447" s="15" t="s">
        <v>20</v>
      </c>
      <c r="R447" s="15"/>
      <c r="S447" s="36" t="s">
        <v>2279</v>
      </c>
      <c r="T447" s="36" t="s">
        <v>30</v>
      </c>
      <c r="U447" s="53" t="s">
        <v>2280</v>
      </c>
      <c r="V447" s="14"/>
      <c r="W447" s="15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</row>
    <row r="448" spans="1:91" ht="14.25" hidden="1" customHeight="1" x14ac:dyDescent="0.25">
      <c r="A448" s="26"/>
      <c r="B448" s="15"/>
      <c r="C448" s="15"/>
      <c r="D448" s="36" t="s">
        <v>2281</v>
      </c>
      <c r="E448" s="77">
        <v>1096034052</v>
      </c>
      <c r="F448" s="36">
        <v>3113157891</v>
      </c>
      <c r="G448" s="64" t="s">
        <v>2282</v>
      </c>
      <c r="H448" s="36"/>
      <c r="I448" s="36" t="s">
        <v>2283</v>
      </c>
      <c r="J448" s="14" t="s">
        <v>35</v>
      </c>
      <c r="K448" s="61">
        <v>42000</v>
      </c>
      <c r="L448" s="57" t="s">
        <v>234</v>
      </c>
      <c r="M448" s="64"/>
      <c r="N448" s="65"/>
      <c r="O448" s="66"/>
      <c r="P448" s="15" t="s">
        <v>28</v>
      </c>
      <c r="Q448" s="15" t="s">
        <v>20</v>
      </c>
      <c r="R448" s="15"/>
      <c r="S448" s="15" t="s">
        <v>2284</v>
      </c>
      <c r="T448" s="15" t="s">
        <v>366</v>
      </c>
      <c r="U448" s="31" t="s">
        <v>2285</v>
      </c>
      <c r="V448" s="14"/>
      <c r="W448" s="15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>
        <v>1</v>
      </c>
    </row>
    <row r="449" spans="1:91" ht="14.25" hidden="1" customHeight="1" x14ac:dyDescent="0.25">
      <c r="A449" s="26"/>
      <c r="B449" s="15"/>
      <c r="C449" s="15"/>
      <c r="D449" s="36" t="s">
        <v>2286</v>
      </c>
      <c r="E449" s="36">
        <v>66964721</v>
      </c>
      <c r="F449" s="36" t="s">
        <v>2287</v>
      </c>
      <c r="G449" s="310" t="s">
        <v>2288</v>
      </c>
      <c r="H449" s="74">
        <v>1</v>
      </c>
      <c r="I449" s="36"/>
      <c r="J449" s="14" t="s">
        <v>35</v>
      </c>
      <c r="K449" s="61">
        <v>42000</v>
      </c>
      <c r="L449" s="57" t="s">
        <v>234</v>
      </c>
      <c r="M449" s="64"/>
      <c r="N449" s="65"/>
      <c r="O449" s="66"/>
      <c r="P449" s="15" t="s">
        <v>28</v>
      </c>
      <c r="Q449" s="15" t="s">
        <v>20</v>
      </c>
      <c r="R449" s="15"/>
      <c r="S449" s="15" t="s">
        <v>2289</v>
      </c>
      <c r="T449" s="15" t="s">
        <v>30</v>
      </c>
      <c r="U449" s="31" t="s">
        <v>2290</v>
      </c>
      <c r="V449" s="14"/>
      <c r="W449" s="15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</row>
    <row r="450" spans="1:91" ht="14.25" hidden="1" customHeight="1" x14ac:dyDescent="0.25">
      <c r="A450" s="26"/>
      <c r="B450" s="15"/>
      <c r="C450" s="15"/>
      <c r="D450" s="36" t="s">
        <v>2291</v>
      </c>
      <c r="E450" s="36">
        <v>87514318</v>
      </c>
      <c r="F450" s="36" t="s">
        <v>2292</v>
      </c>
      <c r="G450" s="64" t="s">
        <v>2293</v>
      </c>
      <c r="H450" s="36"/>
      <c r="I450" s="36" t="s">
        <v>2294</v>
      </c>
      <c r="J450" s="15" t="s">
        <v>188</v>
      </c>
      <c r="K450" s="61">
        <v>57000</v>
      </c>
      <c r="L450" s="57" t="s">
        <v>234</v>
      </c>
      <c r="M450" s="64"/>
      <c r="N450" s="65"/>
      <c r="O450" s="66"/>
      <c r="P450" s="15" t="s">
        <v>28</v>
      </c>
      <c r="Q450" s="15" t="s">
        <v>20</v>
      </c>
      <c r="R450" s="15"/>
      <c r="S450" s="15" t="s">
        <v>2295</v>
      </c>
      <c r="T450" s="15" t="s">
        <v>30</v>
      </c>
      <c r="U450" s="31" t="s">
        <v>2296</v>
      </c>
      <c r="V450" s="14"/>
      <c r="W450" s="15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</row>
    <row r="451" spans="1:91" ht="14.25" hidden="1" customHeight="1" x14ac:dyDescent="0.25">
      <c r="A451" s="26"/>
      <c r="B451" s="15"/>
      <c r="C451" s="15"/>
      <c r="D451" s="36" t="s">
        <v>2297</v>
      </c>
      <c r="E451" s="77">
        <v>38195412</v>
      </c>
      <c r="F451" s="36" t="s">
        <v>2298</v>
      </c>
      <c r="G451" s="310" t="s">
        <v>2299</v>
      </c>
      <c r="H451" s="74">
        <v>1</v>
      </c>
      <c r="I451" s="36" t="s">
        <v>2300</v>
      </c>
      <c r="J451" s="14" t="s">
        <v>35</v>
      </c>
      <c r="K451" s="61">
        <v>42000</v>
      </c>
      <c r="L451" s="57" t="s">
        <v>234</v>
      </c>
      <c r="M451" s="64"/>
      <c r="N451" s="65"/>
      <c r="O451" s="66"/>
      <c r="P451" s="15" t="s">
        <v>28</v>
      </c>
      <c r="Q451" s="15" t="s">
        <v>20</v>
      </c>
      <c r="R451" s="15"/>
      <c r="S451" s="15" t="s">
        <v>1674</v>
      </c>
      <c r="T451" s="15" t="s">
        <v>30</v>
      </c>
      <c r="U451" s="31" t="s">
        <v>2301</v>
      </c>
      <c r="V451" s="14"/>
      <c r="W451" s="15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</row>
    <row r="452" spans="1:91" ht="14.25" hidden="1" customHeight="1" x14ac:dyDescent="0.25">
      <c r="A452" s="26"/>
      <c r="B452" s="15"/>
      <c r="C452" s="15"/>
      <c r="D452" s="36" t="s">
        <v>2302</v>
      </c>
      <c r="E452" s="36">
        <v>41953334</v>
      </c>
      <c r="F452" s="36" t="s">
        <v>2303</v>
      </c>
      <c r="G452" s="64" t="s">
        <v>2304</v>
      </c>
      <c r="H452" s="36"/>
      <c r="I452" s="36" t="s">
        <v>2305</v>
      </c>
      <c r="J452" s="14" t="s">
        <v>35</v>
      </c>
      <c r="K452" s="61">
        <v>42000</v>
      </c>
      <c r="L452" s="57" t="s">
        <v>234</v>
      </c>
      <c r="M452" s="64"/>
      <c r="N452" s="65"/>
      <c r="O452" s="66"/>
      <c r="P452" s="15" t="s">
        <v>28</v>
      </c>
      <c r="Q452" s="15" t="s">
        <v>20</v>
      </c>
      <c r="R452" s="15"/>
      <c r="S452" s="15" t="s">
        <v>2306</v>
      </c>
      <c r="T452" s="15" t="s">
        <v>30</v>
      </c>
      <c r="U452" s="31" t="s">
        <v>2307</v>
      </c>
      <c r="V452" s="14"/>
      <c r="W452" s="15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</row>
    <row r="453" spans="1:91" ht="14.25" hidden="1" customHeight="1" x14ac:dyDescent="0.25">
      <c r="A453" s="26"/>
      <c r="B453" s="15"/>
      <c r="C453" s="15"/>
      <c r="D453" s="36" t="s">
        <v>2308</v>
      </c>
      <c r="E453" s="36">
        <v>24675251</v>
      </c>
      <c r="F453" s="36">
        <v>3222208912</v>
      </c>
      <c r="G453" s="301" t="s">
        <v>2309</v>
      </c>
      <c r="H453" s="36"/>
      <c r="I453" s="36"/>
      <c r="J453" s="14" t="s">
        <v>35</v>
      </c>
      <c r="K453" s="61">
        <v>42000</v>
      </c>
      <c r="L453" s="57" t="s">
        <v>234</v>
      </c>
      <c r="M453" s="64"/>
      <c r="N453" s="65"/>
      <c r="O453" s="66"/>
      <c r="P453" s="15" t="s">
        <v>28</v>
      </c>
      <c r="Q453" s="15" t="s">
        <v>20</v>
      </c>
      <c r="R453" s="15"/>
      <c r="S453" s="36" t="s">
        <v>2310</v>
      </c>
      <c r="T453" s="36" t="s">
        <v>92</v>
      </c>
      <c r="U453" s="47" t="s">
        <v>311</v>
      </c>
      <c r="V453" s="15"/>
      <c r="W453" s="15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</row>
    <row r="454" spans="1:91" ht="14.25" hidden="1" customHeight="1" x14ac:dyDescent="0.25">
      <c r="A454" s="26"/>
      <c r="B454" s="15"/>
      <c r="C454" s="15"/>
      <c r="D454" s="36" t="s">
        <v>2311</v>
      </c>
      <c r="E454" s="36">
        <v>1099682796</v>
      </c>
      <c r="F454" s="36" t="s">
        <v>2312</v>
      </c>
      <c r="G454" s="310" t="s">
        <v>2313</v>
      </c>
      <c r="H454" s="74">
        <v>1</v>
      </c>
      <c r="I454" s="36" t="s">
        <v>2314</v>
      </c>
      <c r="J454" s="14" t="s">
        <v>35</v>
      </c>
      <c r="K454" s="61">
        <v>42000</v>
      </c>
      <c r="L454" s="57" t="s">
        <v>234</v>
      </c>
      <c r="M454" s="64"/>
      <c r="N454" s="65"/>
      <c r="O454" s="66"/>
      <c r="P454" s="15" t="s">
        <v>28</v>
      </c>
      <c r="Q454" s="15" t="s">
        <v>20</v>
      </c>
      <c r="R454" s="15"/>
      <c r="S454" s="15" t="s">
        <v>2315</v>
      </c>
      <c r="T454" s="15" t="s">
        <v>716</v>
      </c>
      <c r="U454" s="31" t="s">
        <v>2316</v>
      </c>
      <c r="V454" s="14"/>
      <c r="W454" s="15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</row>
    <row r="455" spans="1:91" ht="14.25" hidden="1" customHeight="1" x14ac:dyDescent="0.25">
      <c r="A455" s="26"/>
      <c r="B455" s="15"/>
      <c r="C455" s="15"/>
      <c r="D455" s="36" t="s">
        <v>2317</v>
      </c>
      <c r="E455" s="36">
        <v>9800690</v>
      </c>
      <c r="F455" s="36" t="s">
        <v>2318</v>
      </c>
      <c r="G455" s="310" t="s">
        <v>2319</v>
      </c>
      <c r="H455" s="74">
        <v>1</v>
      </c>
      <c r="I455" s="36" t="s">
        <v>2320</v>
      </c>
      <c r="J455" s="15" t="s">
        <v>188</v>
      </c>
      <c r="K455" s="61">
        <v>57000</v>
      </c>
      <c r="L455" s="57" t="s">
        <v>234</v>
      </c>
      <c r="M455" s="64"/>
      <c r="N455" s="65"/>
      <c r="O455" s="66"/>
      <c r="P455" s="15" t="s">
        <v>28</v>
      </c>
      <c r="Q455" s="15" t="s">
        <v>20</v>
      </c>
      <c r="R455" s="15"/>
      <c r="S455" s="15" t="s">
        <v>2321</v>
      </c>
      <c r="T455" s="15" t="s">
        <v>286</v>
      </c>
      <c r="U455" s="31" t="s">
        <v>2322</v>
      </c>
      <c r="V455" s="14"/>
      <c r="W455" s="15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</row>
    <row r="456" spans="1:91" ht="14.25" hidden="1" customHeight="1" x14ac:dyDescent="0.25">
      <c r="A456" s="26"/>
      <c r="B456" s="15"/>
      <c r="C456" s="15"/>
      <c r="D456" s="36" t="s">
        <v>2323</v>
      </c>
      <c r="E456" s="36">
        <v>1099682335</v>
      </c>
      <c r="F456" s="36" t="s">
        <v>2324</v>
      </c>
      <c r="G456" s="301" t="s">
        <v>2325</v>
      </c>
      <c r="H456" s="36"/>
      <c r="I456" s="36"/>
      <c r="J456" s="14" t="s">
        <v>35</v>
      </c>
      <c r="K456" s="61">
        <v>42000</v>
      </c>
      <c r="L456" s="57" t="s">
        <v>234</v>
      </c>
      <c r="M456" s="64"/>
      <c r="N456" s="65"/>
      <c r="O456" s="66"/>
      <c r="P456" s="15" t="s">
        <v>28</v>
      </c>
      <c r="Q456" s="15" t="s">
        <v>20</v>
      </c>
      <c r="R456" s="15"/>
      <c r="S456" s="15" t="s">
        <v>2326</v>
      </c>
      <c r="T456" s="15" t="s">
        <v>366</v>
      </c>
      <c r="U456" s="31" t="s">
        <v>831</v>
      </c>
      <c r="V456" s="14"/>
      <c r="W456" s="15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</row>
    <row r="457" spans="1:91" ht="14.25" hidden="1" customHeight="1" x14ac:dyDescent="0.25">
      <c r="A457" s="26"/>
      <c r="B457" s="15"/>
      <c r="C457" s="15"/>
      <c r="D457" s="17" t="s">
        <v>2327</v>
      </c>
      <c r="E457" s="92" t="s">
        <v>2328</v>
      </c>
      <c r="F457" s="17" t="s">
        <v>2329</v>
      </c>
      <c r="G457" s="147" t="s">
        <v>2330</v>
      </c>
      <c r="H457" s="17"/>
      <c r="I457" s="17" t="s">
        <v>2331</v>
      </c>
      <c r="J457" s="14" t="s">
        <v>35</v>
      </c>
      <c r="K457" s="27">
        <v>42000</v>
      </c>
      <c r="L457" s="57" t="s">
        <v>234</v>
      </c>
      <c r="M457" s="28"/>
      <c r="N457" s="29"/>
      <c r="O457" s="30"/>
      <c r="P457" s="15" t="s">
        <v>28</v>
      </c>
      <c r="Q457" s="15" t="s">
        <v>20</v>
      </c>
      <c r="R457" s="15"/>
      <c r="S457" s="15" t="s">
        <v>2332</v>
      </c>
      <c r="T457" s="15" t="s">
        <v>236</v>
      </c>
      <c r="U457" s="31" t="s">
        <v>2333</v>
      </c>
      <c r="V457" s="14"/>
      <c r="W457" s="15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</row>
    <row r="458" spans="1:91" ht="14.25" hidden="1" customHeight="1" x14ac:dyDescent="0.25">
      <c r="A458" s="26"/>
      <c r="B458" s="15"/>
      <c r="C458" s="15"/>
      <c r="D458" s="36" t="s">
        <v>2334</v>
      </c>
      <c r="E458" s="36">
        <v>55110681</v>
      </c>
      <c r="F458" s="36">
        <v>3137861441</v>
      </c>
      <c r="G458" s="301" t="s">
        <v>2335</v>
      </c>
      <c r="H458" s="36"/>
      <c r="I458" s="36"/>
      <c r="J458" s="14" t="s">
        <v>35</v>
      </c>
      <c r="K458" s="61">
        <v>42000</v>
      </c>
      <c r="L458" s="57" t="s">
        <v>234</v>
      </c>
      <c r="M458" s="64"/>
      <c r="N458" s="65"/>
      <c r="O458" s="66"/>
      <c r="P458" s="15" t="s">
        <v>28</v>
      </c>
      <c r="Q458" s="15" t="s">
        <v>20</v>
      </c>
      <c r="R458" s="15"/>
      <c r="S458" s="15" t="s">
        <v>2336</v>
      </c>
      <c r="T458" s="15" t="s">
        <v>107</v>
      </c>
      <c r="U458" s="31" t="s">
        <v>2337</v>
      </c>
      <c r="V458" s="14"/>
      <c r="W458" s="15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</row>
    <row r="459" spans="1:91" ht="14.25" hidden="1" customHeight="1" x14ac:dyDescent="0.25">
      <c r="A459" s="26"/>
      <c r="B459" s="15"/>
      <c r="C459" s="15"/>
      <c r="D459" s="15" t="s">
        <v>2338</v>
      </c>
      <c r="E459" s="17">
        <v>1099683023</v>
      </c>
      <c r="F459" s="17" t="s">
        <v>2339</v>
      </c>
      <c r="G459" s="15" t="s">
        <v>2340</v>
      </c>
      <c r="H459" s="15"/>
      <c r="I459" s="15" t="s">
        <v>2341</v>
      </c>
      <c r="J459" s="14" t="s">
        <v>35</v>
      </c>
      <c r="K459" s="27">
        <v>42000</v>
      </c>
      <c r="L459" s="57" t="s">
        <v>234</v>
      </c>
      <c r="M459" s="28"/>
      <c r="N459" s="29"/>
      <c r="O459" s="30"/>
      <c r="P459" s="15" t="s">
        <v>28</v>
      </c>
      <c r="Q459" s="15" t="s">
        <v>20</v>
      </c>
      <c r="R459" s="15"/>
      <c r="S459" s="15" t="s">
        <v>2342</v>
      </c>
      <c r="T459" s="15" t="s">
        <v>126</v>
      </c>
      <c r="U459" s="31" t="s">
        <v>2343</v>
      </c>
      <c r="V459" s="14"/>
      <c r="W459" s="15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</row>
    <row r="460" spans="1:91" ht="14.25" hidden="1" customHeight="1" x14ac:dyDescent="0.25">
      <c r="A460" s="26"/>
      <c r="B460" s="15"/>
      <c r="C460" s="15"/>
      <c r="D460" s="15" t="s">
        <v>2344</v>
      </c>
      <c r="E460" s="17">
        <v>13499407</v>
      </c>
      <c r="F460" s="17" t="s">
        <v>2345</v>
      </c>
      <c r="G460" s="15" t="s">
        <v>2346</v>
      </c>
      <c r="H460" s="15"/>
      <c r="I460" s="15" t="s">
        <v>2347</v>
      </c>
      <c r="J460" s="64" t="s">
        <v>5480</v>
      </c>
      <c r="K460" s="27">
        <v>82000</v>
      </c>
      <c r="L460" s="57" t="s">
        <v>234</v>
      </c>
      <c r="M460" s="28"/>
      <c r="N460" s="29"/>
      <c r="O460" s="30"/>
      <c r="P460" s="15" t="s">
        <v>1784</v>
      </c>
      <c r="Q460" s="15" t="s">
        <v>20</v>
      </c>
      <c r="R460" s="15"/>
      <c r="S460" s="15" t="s">
        <v>457</v>
      </c>
      <c r="T460" s="15" t="s">
        <v>2348</v>
      </c>
      <c r="U460" s="31" t="s">
        <v>2349</v>
      </c>
      <c r="V460" s="14"/>
      <c r="W460" s="15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</row>
    <row r="461" spans="1:91" ht="14.25" hidden="1" customHeight="1" x14ac:dyDescent="0.25">
      <c r="A461" s="26"/>
      <c r="B461" s="15"/>
      <c r="C461" s="15"/>
      <c r="D461" s="36" t="s">
        <v>2350</v>
      </c>
      <c r="E461" s="36">
        <v>1099682270</v>
      </c>
      <c r="F461" s="36" t="s">
        <v>2351</v>
      </c>
      <c r="G461" s="301" t="s">
        <v>2352</v>
      </c>
      <c r="H461" s="36"/>
      <c r="I461" s="36" t="s">
        <v>2353</v>
      </c>
      <c r="J461" s="14" t="s">
        <v>35</v>
      </c>
      <c r="K461" s="61">
        <v>42000</v>
      </c>
      <c r="L461" s="57" t="s">
        <v>234</v>
      </c>
      <c r="M461" s="64"/>
      <c r="N461" s="65"/>
      <c r="O461" s="66"/>
      <c r="P461" s="15" t="s">
        <v>28</v>
      </c>
      <c r="Q461" s="15" t="s">
        <v>20</v>
      </c>
      <c r="R461" s="15"/>
      <c r="S461" s="15" t="s">
        <v>2354</v>
      </c>
      <c r="T461" s="15" t="s">
        <v>107</v>
      </c>
      <c r="U461" s="31" t="s">
        <v>2355</v>
      </c>
      <c r="V461" s="14"/>
      <c r="W461" s="15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</row>
    <row r="462" spans="1:91" ht="14.25" hidden="1" customHeight="1" x14ac:dyDescent="0.25">
      <c r="A462" s="26"/>
      <c r="B462" s="15"/>
      <c r="C462" s="15"/>
      <c r="D462" s="15" t="s">
        <v>2356</v>
      </c>
      <c r="E462" s="17">
        <v>18396083</v>
      </c>
      <c r="F462" s="17" t="s">
        <v>2357</v>
      </c>
      <c r="G462" s="15" t="s">
        <v>383</v>
      </c>
      <c r="H462" s="15"/>
      <c r="I462" s="15"/>
      <c r="J462" s="15" t="s">
        <v>188</v>
      </c>
      <c r="K462" s="27">
        <v>57000</v>
      </c>
      <c r="L462" s="57" t="s">
        <v>234</v>
      </c>
      <c r="M462" s="28"/>
      <c r="N462" s="29"/>
      <c r="O462" s="30"/>
      <c r="P462" s="15" t="s">
        <v>28</v>
      </c>
      <c r="Q462" s="15" t="s">
        <v>20</v>
      </c>
      <c r="R462" s="15"/>
      <c r="S462" s="15" t="s">
        <v>1852</v>
      </c>
      <c r="T462" s="15" t="s">
        <v>49</v>
      </c>
      <c r="U462" s="31" t="s">
        <v>2358</v>
      </c>
      <c r="V462" s="14"/>
      <c r="W462" s="15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</row>
    <row r="463" spans="1:91" ht="14.25" hidden="1" customHeight="1" x14ac:dyDescent="0.25">
      <c r="A463" s="26"/>
      <c r="B463" s="15"/>
      <c r="C463" s="15"/>
      <c r="D463" s="15" t="s">
        <v>2364</v>
      </c>
      <c r="E463" s="17">
        <v>79781478</v>
      </c>
      <c r="F463" s="17" t="s">
        <v>2365</v>
      </c>
      <c r="G463" s="15" t="s">
        <v>2366</v>
      </c>
      <c r="H463" s="15"/>
      <c r="I463" s="15" t="s">
        <v>2367</v>
      </c>
      <c r="J463" s="15" t="s">
        <v>421</v>
      </c>
      <c r="K463" s="27" t="s">
        <v>2368</v>
      </c>
      <c r="L463" s="57" t="s">
        <v>234</v>
      </c>
      <c r="M463" s="28"/>
      <c r="N463" s="27"/>
      <c r="O463" s="30"/>
      <c r="P463" s="15" t="s">
        <v>1784</v>
      </c>
      <c r="Q463" s="15" t="s">
        <v>20</v>
      </c>
      <c r="R463" s="15"/>
      <c r="S463" s="15" t="s">
        <v>2369</v>
      </c>
      <c r="T463" s="15" t="s">
        <v>2370</v>
      </c>
      <c r="U463" s="31" t="s">
        <v>2371</v>
      </c>
      <c r="V463" s="14"/>
      <c r="W463" s="15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</row>
    <row r="464" spans="1:91" ht="14.25" hidden="1" customHeight="1" x14ac:dyDescent="0.25">
      <c r="A464" s="26"/>
      <c r="B464" s="15"/>
      <c r="C464" s="15"/>
      <c r="D464" s="36" t="s">
        <v>2372</v>
      </c>
      <c r="E464" s="77">
        <v>1048021433</v>
      </c>
      <c r="F464" s="36" t="s">
        <v>2373</v>
      </c>
      <c r="G464" s="301" t="s">
        <v>2374</v>
      </c>
      <c r="H464" s="36"/>
      <c r="I464" s="36" t="s">
        <v>2375</v>
      </c>
      <c r="J464" s="14" t="s">
        <v>35</v>
      </c>
      <c r="K464" s="61">
        <v>42000</v>
      </c>
      <c r="L464" s="57" t="s">
        <v>234</v>
      </c>
      <c r="M464" s="64"/>
      <c r="N464" s="65"/>
      <c r="O464" s="66"/>
      <c r="P464" s="15" t="s">
        <v>28</v>
      </c>
      <c r="Q464" s="15" t="s">
        <v>20</v>
      </c>
      <c r="R464" s="15"/>
      <c r="S464" s="15" t="s">
        <v>2376</v>
      </c>
      <c r="T464" s="15" t="s">
        <v>497</v>
      </c>
      <c r="U464" s="31" t="s">
        <v>2377</v>
      </c>
      <c r="V464" s="14"/>
      <c r="W464" s="15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</row>
    <row r="465" spans="1:91" ht="14.25" hidden="1" customHeight="1" x14ac:dyDescent="0.25">
      <c r="A465" s="26"/>
      <c r="B465" s="15"/>
      <c r="C465" s="15"/>
      <c r="D465" s="15" t="s">
        <v>2378</v>
      </c>
      <c r="E465" s="17">
        <v>9802029</v>
      </c>
      <c r="F465" s="17" t="s">
        <v>2379</v>
      </c>
      <c r="G465" s="15" t="s">
        <v>2380</v>
      </c>
      <c r="H465" s="15"/>
      <c r="I465" s="15" t="s">
        <v>2381</v>
      </c>
      <c r="J465" s="14" t="s">
        <v>35</v>
      </c>
      <c r="K465" s="27">
        <v>42000</v>
      </c>
      <c r="L465" s="57" t="s">
        <v>234</v>
      </c>
      <c r="M465" s="28"/>
      <c r="N465" s="29"/>
      <c r="O465" s="30"/>
      <c r="P465" s="15" t="s">
        <v>28</v>
      </c>
      <c r="Q465" s="15" t="s">
        <v>20</v>
      </c>
      <c r="R465" s="15"/>
      <c r="S465" s="15" t="s">
        <v>2382</v>
      </c>
      <c r="T465" s="15" t="s">
        <v>1817</v>
      </c>
      <c r="U465" s="31" t="s">
        <v>2383</v>
      </c>
      <c r="V465" s="14"/>
      <c r="W465" s="15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</row>
    <row r="466" spans="1:91" ht="14.25" hidden="1" customHeight="1" x14ac:dyDescent="0.25">
      <c r="A466" s="26"/>
      <c r="B466" s="15"/>
      <c r="C466" s="15"/>
      <c r="D466" s="15" t="s">
        <v>2384</v>
      </c>
      <c r="E466" s="16">
        <v>75032949</v>
      </c>
      <c r="F466" s="17" t="s">
        <v>2385</v>
      </c>
      <c r="G466" s="15" t="s">
        <v>2386</v>
      </c>
      <c r="H466" s="15"/>
      <c r="I466" s="15" t="s">
        <v>2387</v>
      </c>
      <c r="J466" s="14" t="s">
        <v>35</v>
      </c>
      <c r="K466" s="27">
        <v>42000</v>
      </c>
      <c r="L466" s="57" t="s">
        <v>234</v>
      </c>
      <c r="M466" s="28"/>
      <c r="N466" s="29"/>
      <c r="O466" s="30"/>
      <c r="P466" s="15" t="s">
        <v>28</v>
      </c>
      <c r="Q466" s="15" t="s">
        <v>20</v>
      </c>
      <c r="R466" s="15"/>
      <c r="S466" s="15" t="s">
        <v>2388</v>
      </c>
      <c r="T466" s="15" t="s">
        <v>30</v>
      </c>
      <c r="U466" s="31" t="s">
        <v>2389</v>
      </c>
      <c r="V466" s="14"/>
      <c r="W466" s="15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</row>
    <row r="467" spans="1:91" ht="14.25" hidden="1" customHeight="1" x14ac:dyDescent="0.25">
      <c r="A467" s="26"/>
      <c r="B467" s="15"/>
      <c r="C467" s="15" t="s">
        <v>2390</v>
      </c>
      <c r="D467" s="15" t="s">
        <v>2391</v>
      </c>
      <c r="E467" s="16">
        <v>14698468</v>
      </c>
      <c r="F467" s="17">
        <v>3156470545</v>
      </c>
      <c r="G467" s="15" t="s">
        <v>2392</v>
      </c>
      <c r="H467" s="15"/>
      <c r="I467" s="15"/>
      <c r="J467" s="64" t="s">
        <v>5480</v>
      </c>
      <c r="K467" s="27">
        <v>82000</v>
      </c>
      <c r="L467" s="57" t="s">
        <v>234</v>
      </c>
      <c r="M467" s="28"/>
      <c r="N467" s="27"/>
      <c r="O467" s="30"/>
      <c r="P467" s="15" t="s">
        <v>28</v>
      </c>
      <c r="Q467" s="15" t="s">
        <v>20</v>
      </c>
      <c r="R467" s="15"/>
      <c r="S467" s="15" t="s">
        <v>2393</v>
      </c>
      <c r="T467" s="15" t="s">
        <v>224</v>
      </c>
      <c r="U467" s="31" t="s">
        <v>2394</v>
      </c>
      <c r="V467" s="14"/>
      <c r="W467" s="15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</row>
    <row r="468" spans="1:91" ht="14.25" hidden="1" customHeight="1" x14ac:dyDescent="0.25">
      <c r="A468" s="26"/>
      <c r="B468" s="15"/>
      <c r="C468" s="15"/>
      <c r="D468" s="15" t="s">
        <v>2395</v>
      </c>
      <c r="E468" s="17">
        <v>24672276</v>
      </c>
      <c r="F468" s="17" t="s">
        <v>2396</v>
      </c>
      <c r="G468" s="15" t="s">
        <v>2397</v>
      </c>
      <c r="H468" s="15"/>
      <c r="I468" s="15" t="s">
        <v>2398</v>
      </c>
      <c r="J468" s="14" t="s">
        <v>35</v>
      </c>
      <c r="K468" s="27">
        <v>42000</v>
      </c>
      <c r="L468" s="57" t="s">
        <v>234</v>
      </c>
      <c r="M468" s="28"/>
      <c r="N468" s="29"/>
      <c r="O468" s="30"/>
      <c r="P468" s="15" t="s">
        <v>28</v>
      </c>
      <c r="Q468" s="15" t="s">
        <v>20</v>
      </c>
      <c r="R468" s="15"/>
      <c r="S468" s="15" t="s">
        <v>2399</v>
      </c>
      <c r="T468" s="15" t="s">
        <v>30</v>
      </c>
      <c r="U468" s="31" t="s">
        <v>2400</v>
      </c>
      <c r="V468" s="14"/>
      <c r="W468" s="15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</row>
    <row r="469" spans="1:91" ht="14.25" hidden="1" customHeight="1" x14ac:dyDescent="0.25">
      <c r="A469" s="280"/>
      <c r="B469" s="95"/>
      <c r="C469" s="94"/>
      <c r="D469" s="96" t="s">
        <v>2401</v>
      </c>
      <c r="E469" s="36">
        <v>1096671697</v>
      </c>
      <c r="F469" s="36" t="s">
        <v>2402</v>
      </c>
      <c r="G469" s="301" t="s">
        <v>2403</v>
      </c>
      <c r="H469" s="36"/>
      <c r="I469" s="36" t="s">
        <v>2404</v>
      </c>
      <c r="J469" s="14" t="s">
        <v>35</v>
      </c>
      <c r="K469" s="61">
        <v>42000</v>
      </c>
      <c r="L469" s="57" t="s">
        <v>234</v>
      </c>
      <c r="M469" s="64"/>
      <c r="N469" s="65"/>
      <c r="O469" s="66"/>
      <c r="P469" s="15" t="s">
        <v>28</v>
      </c>
      <c r="Q469" s="15" t="s">
        <v>20</v>
      </c>
      <c r="R469" s="15"/>
      <c r="S469" s="15" t="s">
        <v>2405</v>
      </c>
      <c r="T469" s="15" t="s">
        <v>107</v>
      </c>
      <c r="U469" s="31" t="s">
        <v>2406</v>
      </c>
      <c r="V469" s="14"/>
      <c r="W469" s="15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</row>
    <row r="470" spans="1:91" ht="14.25" hidden="1" customHeight="1" x14ac:dyDescent="0.25">
      <c r="A470" s="26"/>
      <c r="B470" s="15"/>
      <c r="C470" s="15"/>
      <c r="D470" s="15" t="s">
        <v>2407</v>
      </c>
      <c r="E470" s="16">
        <v>18493392</v>
      </c>
      <c r="F470" s="17">
        <v>3145738339</v>
      </c>
      <c r="G470" s="15" t="s">
        <v>2408</v>
      </c>
      <c r="H470" s="15"/>
      <c r="I470" s="15">
        <v>353</v>
      </c>
      <c r="J470" s="14" t="s">
        <v>35</v>
      </c>
      <c r="K470" s="27">
        <v>42000</v>
      </c>
      <c r="L470" s="57" t="s">
        <v>234</v>
      </c>
      <c r="M470" s="28"/>
      <c r="N470" s="29"/>
      <c r="O470" s="30"/>
      <c r="P470" s="15" t="s">
        <v>28</v>
      </c>
      <c r="Q470" s="15" t="s">
        <v>20</v>
      </c>
      <c r="R470" s="15"/>
      <c r="S470" s="15" t="s">
        <v>2409</v>
      </c>
      <c r="T470" s="15" t="s">
        <v>30</v>
      </c>
      <c r="U470" s="31" t="s">
        <v>2410</v>
      </c>
      <c r="V470" s="14"/>
      <c r="W470" s="15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</row>
    <row r="471" spans="1:91" ht="14.25" hidden="1" customHeight="1" x14ac:dyDescent="0.25">
      <c r="A471" s="26"/>
      <c r="B471" s="15"/>
      <c r="C471" s="15"/>
      <c r="D471" s="36" t="s">
        <v>2411</v>
      </c>
      <c r="E471" s="36">
        <v>31655122</v>
      </c>
      <c r="F471" s="36">
        <v>3206074172</v>
      </c>
      <c r="G471" s="310" t="s">
        <v>2412</v>
      </c>
      <c r="H471" s="74">
        <v>1</v>
      </c>
      <c r="I471" s="36" t="s">
        <v>2413</v>
      </c>
      <c r="J471" s="14" t="s">
        <v>35</v>
      </c>
      <c r="K471" s="61">
        <v>42000</v>
      </c>
      <c r="L471" s="57" t="s">
        <v>234</v>
      </c>
      <c r="M471" s="64"/>
      <c r="N471" s="65"/>
      <c r="O471" s="66"/>
      <c r="P471" s="15" t="s">
        <v>28</v>
      </c>
      <c r="Q471" s="15" t="s">
        <v>20</v>
      </c>
      <c r="R471" s="15"/>
      <c r="S471" s="15" t="s">
        <v>2414</v>
      </c>
      <c r="T471" s="15" t="s">
        <v>2275</v>
      </c>
      <c r="U471" s="31" t="s">
        <v>2415</v>
      </c>
      <c r="V471" s="14"/>
      <c r="W471" s="15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</row>
    <row r="472" spans="1:91" ht="14.25" hidden="1" customHeight="1" x14ac:dyDescent="0.25">
      <c r="A472" s="26"/>
      <c r="B472" s="15"/>
      <c r="C472" s="15"/>
      <c r="D472" s="15" t="s">
        <v>2416</v>
      </c>
      <c r="E472" s="16">
        <v>9801804</v>
      </c>
      <c r="F472" s="17" t="s">
        <v>2417</v>
      </c>
      <c r="G472" s="15" t="s">
        <v>2418</v>
      </c>
      <c r="H472" s="15"/>
      <c r="I472" s="15" t="s">
        <v>2419</v>
      </c>
      <c r="J472" s="14" t="s">
        <v>35</v>
      </c>
      <c r="K472" s="27">
        <v>42000</v>
      </c>
      <c r="L472" s="57" t="s">
        <v>234</v>
      </c>
      <c r="M472" s="28"/>
      <c r="N472" s="29"/>
      <c r="O472" s="30"/>
      <c r="P472" s="15" t="s">
        <v>28</v>
      </c>
      <c r="Q472" s="15" t="s">
        <v>20</v>
      </c>
      <c r="R472" s="15"/>
      <c r="S472" s="15" t="s">
        <v>2420</v>
      </c>
      <c r="T472" s="15" t="s">
        <v>30</v>
      </c>
      <c r="U472" s="31" t="s">
        <v>2421</v>
      </c>
      <c r="V472" s="14"/>
      <c r="W472" s="15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</row>
    <row r="473" spans="1:91" ht="14.25" hidden="1" customHeight="1" x14ac:dyDescent="0.25">
      <c r="A473" s="26"/>
      <c r="B473" s="15"/>
      <c r="C473" s="15"/>
      <c r="D473" s="15" t="s">
        <v>109</v>
      </c>
      <c r="E473" s="36">
        <v>1002921966</v>
      </c>
      <c r="F473" s="17" t="s">
        <v>677</v>
      </c>
      <c r="G473" s="310" t="s">
        <v>2422</v>
      </c>
      <c r="H473" s="74">
        <v>1</v>
      </c>
      <c r="I473" s="36" t="s">
        <v>2423</v>
      </c>
      <c r="J473" s="14" t="s">
        <v>35</v>
      </c>
      <c r="K473" s="61">
        <v>42000</v>
      </c>
      <c r="L473" s="57" t="s">
        <v>234</v>
      </c>
      <c r="M473" s="64"/>
      <c r="N473" s="65"/>
      <c r="O473" s="66"/>
      <c r="P473" s="15" t="s">
        <v>28</v>
      </c>
      <c r="Q473" s="15" t="s">
        <v>20</v>
      </c>
      <c r="R473" s="15"/>
      <c r="S473" s="15" t="s">
        <v>2424</v>
      </c>
      <c r="T473" s="15"/>
      <c r="U473" s="31" t="s">
        <v>114</v>
      </c>
      <c r="V473" s="14"/>
      <c r="W473" s="15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</row>
    <row r="474" spans="1:91" ht="14.25" hidden="1" customHeight="1" x14ac:dyDescent="0.25">
      <c r="A474" s="26"/>
      <c r="B474" s="15"/>
      <c r="C474" s="15"/>
      <c r="D474" s="15" t="s">
        <v>2425</v>
      </c>
      <c r="E474" s="17">
        <v>1099682275</v>
      </c>
      <c r="F474" s="17" t="s">
        <v>2426</v>
      </c>
      <c r="G474" s="15" t="s">
        <v>2427</v>
      </c>
      <c r="H474" s="15"/>
      <c r="I474" s="15" t="s">
        <v>2428</v>
      </c>
      <c r="J474" s="14" t="s">
        <v>35</v>
      </c>
      <c r="K474" s="27">
        <v>42000</v>
      </c>
      <c r="L474" s="57" t="s">
        <v>234</v>
      </c>
      <c r="M474" s="28"/>
      <c r="N474" s="29"/>
      <c r="O474" s="30"/>
      <c r="P474" s="15" t="s">
        <v>28</v>
      </c>
      <c r="Q474" s="15" t="s">
        <v>20</v>
      </c>
      <c r="R474" s="15"/>
      <c r="S474" s="15" t="s">
        <v>2429</v>
      </c>
      <c r="T474" s="15" t="s">
        <v>2430</v>
      </c>
      <c r="U474" s="31" t="s">
        <v>2431</v>
      </c>
      <c r="V474" s="14"/>
      <c r="W474" s="15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</row>
    <row r="475" spans="1:91" ht="14.25" hidden="1" customHeight="1" x14ac:dyDescent="0.25">
      <c r="A475" s="26"/>
      <c r="B475" s="15"/>
      <c r="C475" s="15"/>
      <c r="D475" s="15" t="s">
        <v>2432</v>
      </c>
      <c r="E475" s="17">
        <v>1099683393</v>
      </c>
      <c r="F475" s="17" t="s">
        <v>2433</v>
      </c>
      <c r="G475" s="15" t="s">
        <v>2434</v>
      </c>
      <c r="H475" s="15"/>
      <c r="I475" s="15" t="s">
        <v>2435</v>
      </c>
      <c r="J475" s="14" t="s">
        <v>35</v>
      </c>
      <c r="K475" s="27">
        <v>42000</v>
      </c>
      <c r="L475" s="57" t="s">
        <v>234</v>
      </c>
      <c r="M475" s="28"/>
      <c r="N475" s="29"/>
      <c r="O475" s="30"/>
      <c r="P475" s="15" t="s">
        <v>28</v>
      </c>
      <c r="Q475" s="15" t="s">
        <v>20</v>
      </c>
      <c r="R475" s="15"/>
      <c r="S475" s="15" t="s">
        <v>2436</v>
      </c>
      <c r="T475" s="15" t="s">
        <v>624</v>
      </c>
      <c r="U475" s="31" t="s">
        <v>2437</v>
      </c>
      <c r="V475" s="14"/>
      <c r="W475" s="15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</row>
    <row r="476" spans="1:91" ht="14.25" hidden="1" customHeight="1" x14ac:dyDescent="0.25">
      <c r="A476" s="26"/>
      <c r="B476" s="15"/>
      <c r="C476" s="15"/>
      <c r="D476" s="15" t="s">
        <v>2443</v>
      </c>
      <c r="E476" s="16">
        <v>1094908066</v>
      </c>
      <c r="F476" s="17" t="s">
        <v>2444</v>
      </c>
      <c r="G476" s="15" t="s">
        <v>2445</v>
      </c>
      <c r="H476" s="15"/>
      <c r="I476" s="15"/>
      <c r="J476" s="14" t="s">
        <v>54</v>
      </c>
      <c r="K476" s="27">
        <v>67000</v>
      </c>
      <c r="L476" s="57" t="s">
        <v>234</v>
      </c>
      <c r="M476" s="28"/>
      <c r="N476" s="29"/>
      <c r="O476" s="30"/>
      <c r="P476" s="15" t="s">
        <v>28</v>
      </c>
      <c r="Q476" s="15" t="s">
        <v>20</v>
      </c>
      <c r="R476" s="15"/>
      <c r="S476" s="15" t="s">
        <v>2446</v>
      </c>
      <c r="T476" s="15" t="s">
        <v>1040</v>
      </c>
      <c r="U476" s="31" t="s">
        <v>2447</v>
      </c>
      <c r="V476" s="14"/>
      <c r="W476" s="15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</row>
    <row r="477" spans="1:91" ht="14.25" hidden="1" customHeight="1" x14ac:dyDescent="0.25">
      <c r="A477" s="26"/>
      <c r="B477" s="15"/>
      <c r="C477" s="15"/>
      <c r="D477" s="36" t="s">
        <v>1722</v>
      </c>
      <c r="E477" s="36">
        <v>1005367614</v>
      </c>
      <c r="F477" s="36">
        <v>3234683513</v>
      </c>
      <c r="G477" s="310" t="s">
        <v>2448</v>
      </c>
      <c r="H477" s="74">
        <v>1</v>
      </c>
      <c r="I477" s="36"/>
      <c r="J477" s="15" t="s">
        <v>188</v>
      </c>
      <c r="K477" s="61">
        <v>57000</v>
      </c>
      <c r="L477" s="57" t="s">
        <v>234</v>
      </c>
      <c r="M477" s="28"/>
      <c r="N477" s="65"/>
      <c r="O477" s="66"/>
      <c r="P477" s="15" t="s">
        <v>28</v>
      </c>
      <c r="Q477" s="15" t="s">
        <v>20</v>
      </c>
      <c r="R477" s="15"/>
      <c r="S477" s="36" t="s">
        <v>2449</v>
      </c>
      <c r="T477" s="36" t="s">
        <v>2450</v>
      </c>
      <c r="U477" s="53" t="s">
        <v>1727</v>
      </c>
      <c r="V477" s="14"/>
      <c r="W477" s="15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>
        <v>1</v>
      </c>
    </row>
    <row r="478" spans="1:91" ht="14.25" hidden="1" customHeight="1" x14ac:dyDescent="0.25">
      <c r="A478" s="26"/>
      <c r="B478" s="15"/>
      <c r="C478" s="15"/>
      <c r="D478" s="36" t="s">
        <v>2451</v>
      </c>
      <c r="E478" s="36">
        <v>1099682656</v>
      </c>
      <c r="F478" s="36">
        <v>3214553858</v>
      </c>
      <c r="G478" s="310" t="s">
        <v>2452</v>
      </c>
      <c r="H478" s="74">
        <v>1</v>
      </c>
      <c r="I478" s="36">
        <v>250</v>
      </c>
      <c r="J478" s="14" t="s">
        <v>54</v>
      </c>
      <c r="K478" s="61">
        <v>67000</v>
      </c>
      <c r="L478" s="57" t="s">
        <v>234</v>
      </c>
      <c r="M478" s="64"/>
      <c r="N478" s="65"/>
      <c r="O478" s="66"/>
      <c r="P478" s="15" t="s">
        <v>28</v>
      </c>
      <c r="Q478" s="15" t="s">
        <v>20</v>
      </c>
      <c r="R478" s="15"/>
      <c r="S478" s="36" t="s">
        <v>2453</v>
      </c>
      <c r="T478" s="36" t="s">
        <v>61</v>
      </c>
      <c r="U478" s="47" t="s">
        <v>311</v>
      </c>
      <c r="V478" s="14"/>
      <c r="W478" s="15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</row>
    <row r="479" spans="1:91" ht="14.25" hidden="1" customHeight="1" x14ac:dyDescent="0.25">
      <c r="A479" s="26"/>
      <c r="B479" s="15"/>
      <c r="C479" s="15"/>
      <c r="D479" s="36" t="s">
        <v>2454</v>
      </c>
      <c r="E479" s="36">
        <v>21480245</v>
      </c>
      <c r="F479" s="36" t="s">
        <v>2455</v>
      </c>
      <c r="G479" s="301" t="s">
        <v>2456</v>
      </c>
      <c r="H479" s="36"/>
      <c r="I479" s="36"/>
      <c r="J479" s="14" t="s">
        <v>35</v>
      </c>
      <c r="K479" s="61">
        <v>42000</v>
      </c>
      <c r="L479" s="57" t="s">
        <v>234</v>
      </c>
      <c r="M479" s="64"/>
      <c r="N479" s="65"/>
      <c r="O479" s="66"/>
      <c r="P479" s="15" t="s">
        <v>28</v>
      </c>
      <c r="Q479" s="15" t="s">
        <v>20</v>
      </c>
      <c r="R479" s="15"/>
      <c r="S479" s="15" t="s">
        <v>2457</v>
      </c>
      <c r="T479" s="15" t="s">
        <v>67</v>
      </c>
      <c r="U479" s="31" t="s">
        <v>2458</v>
      </c>
      <c r="V479" s="14"/>
      <c r="W479" s="15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</row>
    <row r="480" spans="1:91" ht="14.25" hidden="1" customHeight="1" x14ac:dyDescent="0.25">
      <c r="A480" s="26"/>
      <c r="B480" s="15"/>
      <c r="C480" s="15"/>
      <c r="D480" s="36" t="s">
        <v>2463</v>
      </c>
      <c r="E480" s="36">
        <v>1099683293</v>
      </c>
      <c r="F480" s="36" t="s">
        <v>2464</v>
      </c>
      <c r="G480" s="310" t="s">
        <v>2465</v>
      </c>
      <c r="H480" s="74">
        <v>1</v>
      </c>
      <c r="I480" s="36" t="s">
        <v>2030</v>
      </c>
      <c r="J480" s="14" t="s">
        <v>35</v>
      </c>
      <c r="K480" s="61">
        <v>42000</v>
      </c>
      <c r="L480" s="57" t="s">
        <v>234</v>
      </c>
      <c r="M480" s="64"/>
      <c r="N480" s="65"/>
      <c r="O480" s="66"/>
      <c r="P480" s="15" t="s">
        <v>28</v>
      </c>
      <c r="Q480" s="15" t="s">
        <v>20</v>
      </c>
      <c r="R480" s="15"/>
      <c r="S480" s="15" t="s">
        <v>2466</v>
      </c>
      <c r="T480" s="15" t="s">
        <v>286</v>
      </c>
      <c r="U480" s="31" t="s">
        <v>2467</v>
      </c>
      <c r="V480" s="14"/>
      <c r="W480" s="15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</row>
    <row r="481" spans="1:91" ht="14.25" hidden="1" customHeight="1" x14ac:dyDescent="0.25">
      <c r="A481" s="26"/>
      <c r="B481" s="15"/>
      <c r="C481" s="15"/>
      <c r="D481" s="36" t="s">
        <v>1646</v>
      </c>
      <c r="E481" s="77">
        <v>1097392808</v>
      </c>
      <c r="F481" s="36">
        <v>3112854166</v>
      </c>
      <c r="G481" s="301" t="s">
        <v>2468</v>
      </c>
      <c r="H481" s="36"/>
      <c r="I481" s="36" t="s">
        <v>2469</v>
      </c>
      <c r="J481" s="14" t="s">
        <v>35</v>
      </c>
      <c r="K481" s="61">
        <v>42000</v>
      </c>
      <c r="L481" s="57" t="s">
        <v>234</v>
      </c>
      <c r="M481" s="64"/>
      <c r="N481" s="65"/>
      <c r="O481" s="66"/>
      <c r="P481" s="15" t="s">
        <v>28</v>
      </c>
      <c r="Q481" s="15" t="s">
        <v>20</v>
      </c>
      <c r="R481" s="15"/>
      <c r="S481" s="15" t="s">
        <v>2470</v>
      </c>
      <c r="T481" s="15"/>
      <c r="U481" s="31" t="s">
        <v>2471</v>
      </c>
      <c r="V481" s="14"/>
      <c r="W481" s="15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</row>
    <row r="482" spans="1:91" ht="14.25" hidden="1" customHeight="1" x14ac:dyDescent="0.25">
      <c r="A482" s="26"/>
      <c r="B482" s="15"/>
      <c r="C482" s="15"/>
      <c r="D482" s="15" t="s">
        <v>2472</v>
      </c>
      <c r="E482" s="34">
        <v>25542871</v>
      </c>
      <c r="F482" s="17" t="s">
        <v>2473</v>
      </c>
      <c r="G482" s="309" t="s">
        <v>2474</v>
      </c>
      <c r="H482" s="34">
        <v>1</v>
      </c>
      <c r="I482" s="15" t="s">
        <v>2475</v>
      </c>
      <c r="J482" s="14" t="s">
        <v>35</v>
      </c>
      <c r="K482" s="27">
        <v>42000</v>
      </c>
      <c r="L482" s="57" t="s">
        <v>234</v>
      </c>
      <c r="M482" s="28"/>
      <c r="N482" s="29"/>
      <c r="O482" s="30"/>
      <c r="P482" s="15" t="s">
        <v>28</v>
      </c>
      <c r="Q482" s="15" t="s">
        <v>20</v>
      </c>
      <c r="R482" s="15"/>
      <c r="S482" s="15" t="s">
        <v>2476</v>
      </c>
      <c r="T482" s="15" t="s">
        <v>61</v>
      </c>
      <c r="U482" s="31" t="s">
        <v>2477</v>
      </c>
      <c r="V482" s="14"/>
      <c r="W482" s="15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</row>
    <row r="483" spans="1:91" ht="14.25" hidden="1" customHeight="1" x14ac:dyDescent="0.25">
      <c r="A483" s="26"/>
      <c r="B483" s="15"/>
      <c r="C483" s="15"/>
      <c r="D483" s="15" t="s">
        <v>161</v>
      </c>
      <c r="E483" s="16">
        <v>1099683396</v>
      </c>
      <c r="F483" s="17" t="s">
        <v>2478</v>
      </c>
      <c r="G483" s="309" t="s">
        <v>2479</v>
      </c>
      <c r="H483" s="34">
        <v>1</v>
      </c>
      <c r="I483" s="15"/>
      <c r="J483" s="14" t="s">
        <v>35</v>
      </c>
      <c r="K483" s="27">
        <v>42000</v>
      </c>
      <c r="L483" s="57" t="s">
        <v>234</v>
      </c>
      <c r="M483" s="28"/>
      <c r="N483" s="29"/>
      <c r="O483" s="30"/>
      <c r="P483" s="15" t="s">
        <v>28</v>
      </c>
      <c r="Q483" s="15" t="s">
        <v>20</v>
      </c>
      <c r="R483" s="15"/>
      <c r="S483" s="15" t="s">
        <v>2480</v>
      </c>
      <c r="T483" s="15" t="s">
        <v>716</v>
      </c>
      <c r="U483" s="31" t="s">
        <v>2481</v>
      </c>
      <c r="V483" s="14"/>
      <c r="W483" s="15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</row>
    <row r="484" spans="1:91" ht="14.25" hidden="1" customHeight="1" x14ac:dyDescent="0.25">
      <c r="A484" s="26"/>
      <c r="B484" s="15"/>
      <c r="C484" s="15"/>
      <c r="D484" s="15" t="s">
        <v>2482</v>
      </c>
      <c r="E484" s="17">
        <v>24676001</v>
      </c>
      <c r="F484" s="17" t="s">
        <v>2483</v>
      </c>
      <c r="G484" s="309" t="s">
        <v>2484</v>
      </c>
      <c r="H484" s="34">
        <v>1</v>
      </c>
      <c r="I484" s="15" t="s">
        <v>2485</v>
      </c>
      <c r="J484" s="15" t="s">
        <v>188</v>
      </c>
      <c r="K484" s="27">
        <v>57000</v>
      </c>
      <c r="L484" s="57" t="s">
        <v>234</v>
      </c>
      <c r="M484" s="28"/>
      <c r="N484" s="29"/>
      <c r="O484" s="30"/>
      <c r="P484" s="15" t="s">
        <v>28</v>
      </c>
      <c r="Q484" s="15" t="s">
        <v>20</v>
      </c>
      <c r="R484" s="15"/>
      <c r="S484" s="15" t="s">
        <v>2486</v>
      </c>
      <c r="T484" s="15" t="s">
        <v>107</v>
      </c>
      <c r="U484" s="31" t="s">
        <v>2487</v>
      </c>
      <c r="V484" s="14"/>
      <c r="W484" s="15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</row>
    <row r="485" spans="1:91" hidden="1" x14ac:dyDescent="0.25">
      <c r="A485" s="26"/>
      <c r="B485" s="15"/>
      <c r="C485" s="15"/>
      <c r="D485" s="15" t="s">
        <v>2488</v>
      </c>
      <c r="E485" s="17">
        <v>27082823</v>
      </c>
      <c r="F485" s="17" t="s">
        <v>2489</v>
      </c>
      <c r="G485" s="309" t="s">
        <v>2490</v>
      </c>
      <c r="H485" s="34">
        <v>1</v>
      </c>
      <c r="I485" s="15" t="s">
        <v>2491</v>
      </c>
      <c r="J485" s="14" t="s">
        <v>35</v>
      </c>
      <c r="K485" s="27">
        <v>42000</v>
      </c>
      <c r="L485" s="57" t="s">
        <v>234</v>
      </c>
      <c r="M485" s="28"/>
      <c r="N485" s="29"/>
      <c r="O485" s="30"/>
      <c r="P485" s="15" t="s">
        <v>28</v>
      </c>
      <c r="Q485" s="15" t="s">
        <v>20</v>
      </c>
      <c r="R485" s="15"/>
      <c r="S485" s="15" t="s">
        <v>2492</v>
      </c>
      <c r="T485" s="15" t="s">
        <v>49</v>
      </c>
      <c r="U485" s="31" t="s">
        <v>2493</v>
      </c>
      <c r="V485" s="14"/>
      <c r="W485" s="15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</row>
    <row r="486" spans="1:91" ht="14.25" hidden="1" customHeight="1" x14ac:dyDescent="0.25">
      <c r="A486" s="26"/>
      <c r="B486" s="15"/>
      <c r="C486" s="15"/>
      <c r="D486" s="36" t="s">
        <v>2494</v>
      </c>
      <c r="E486" s="77">
        <v>1094937268</v>
      </c>
      <c r="F486" s="36">
        <v>3104584959</v>
      </c>
      <c r="G486" s="64" t="s">
        <v>2495</v>
      </c>
      <c r="H486" s="57"/>
      <c r="I486" s="57"/>
      <c r="J486" s="15" t="s">
        <v>188</v>
      </c>
      <c r="K486" s="61">
        <v>57000</v>
      </c>
      <c r="L486" s="57" t="s">
        <v>234</v>
      </c>
      <c r="M486" s="64"/>
      <c r="N486" s="65"/>
      <c r="O486" s="66"/>
      <c r="P486" s="15" t="s">
        <v>28</v>
      </c>
      <c r="Q486" s="15" t="s">
        <v>20</v>
      </c>
      <c r="R486" s="15"/>
      <c r="S486" s="36" t="s">
        <v>2496</v>
      </c>
      <c r="T486" s="36"/>
      <c r="U486" s="47" t="s">
        <v>311</v>
      </c>
      <c r="V486" s="14"/>
      <c r="W486" s="15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</row>
    <row r="487" spans="1:91" ht="14.25" hidden="1" customHeight="1" x14ac:dyDescent="0.25">
      <c r="A487" s="26"/>
      <c r="B487" s="15"/>
      <c r="C487" s="15"/>
      <c r="D487" s="36" t="s">
        <v>2497</v>
      </c>
      <c r="E487" s="77">
        <v>1099683258</v>
      </c>
      <c r="F487" s="36">
        <v>3208889900</v>
      </c>
      <c r="G487" s="301" t="s">
        <v>2498</v>
      </c>
      <c r="H487" s="36"/>
      <c r="I487" s="36"/>
      <c r="J487" s="14" t="s">
        <v>35</v>
      </c>
      <c r="K487" s="61">
        <v>42000</v>
      </c>
      <c r="L487" s="57" t="s">
        <v>234</v>
      </c>
      <c r="M487" s="64"/>
      <c r="N487" s="65"/>
      <c r="O487" s="66"/>
      <c r="P487" s="15" t="s">
        <v>28</v>
      </c>
      <c r="Q487" s="15" t="s">
        <v>20</v>
      </c>
      <c r="R487" s="15"/>
      <c r="S487" s="69"/>
      <c r="T487" s="69"/>
      <c r="U487" s="47" t="s">
        <v>311</v>
      </c>
      <c r="V487" s="15"/>
      <c r="W487" s="15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</row>
    <row r="488" spans="1:91" ht="14.25" hidden="1" customHeight="1" x14ac:dyDescent="0.25">
      <c r="A488" s="26"/>
      <c r="B488" s="15"/>
      <c r="C488" s="15"/>
      <c r="D488" s="36" t="s">
        <v>2499</v>
      </c>
      <c r="E488" s="36">
        <v>94462812</v>
      </c>
      <c r="F488" s="36">
        <v>3137733202</v>
      </c>
      <c r="G488" s="310" t="s">
        <v>2500</v>
      </c>
      <c r="H488" s="75">
        <v>1</v>
      </c>
      <c r="I488" s="68"/>
      <c r="J488" s="64" t="s">
        <v>5480</v>
      </c>
      <c r="K488" s="61">
        <v>82000</v>
      </c>
      <c r="L488" s="57" t="s">
        <v>234</v>
      </c>
      <c r="M488" s="64"/>
      <c r="N488" s="65"/>
      <c r="O488" s="66"/>
      <c r="P488" s="15" t="s">
        <v>28</v>
      </c>
      <c r="Q488" s="15" t="s">
        <v>20</v>
      </c>
      <c r="R488" s="15"/>
      <c r="S488" s="36" t="s">
        <v>2501</v>
      </c>
      <c r="T488" s="36" t="s">
        <v>126</v>
      </c>
      <c r="U488" s="53" t="s">
        <v>2502</v>
      </c>
      <c r="V488" s="15"/>
      <c r="W488" s="15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</row>
    <row r="489" spans="1:91" ht="14.25" hidden="1" customHeight="1" x14ac:dyDescent="0.25">
      <c r="A489" s="26"/>
      <c r="B489" s="15"/>
      <c r="C489" s="15"/>
      <c r="D489" s="36" t="s">
        <v>2503</v>
      </c>
      <c r="E489" s="36">
        <v>38204236</v>
      </c>
      <c r="F489" s="36">
        <v>3222724915</v>
      </c>
      <c r="G489" s="301" t="s">
        <v>2504</v>
      </c>
      <c r="H489" s="36"/>
      <c r="I489" s="36"/>
      <c r="J489" s="14" t="s">
        <v>35</v>
      </c>
      <c r="K489" s="65">
        <v>42000</v>
      </c>
      <c r="L489" s="57" t="s">
        <v>234</v>
      </c>
      <c r="M489" s="64"/>
      <c r="N489" s="65"/>
      <c r="O489" s="66"/>
      <c r="P489" s="15" t="s">
        <v>28</v>
      </c>
      <c r="Q489" s="15" t="s">
        <v>20</v>
      </c>
      <c r="R489" s="15"/>
      <c r="S489" s="36" t="s">
        <v>2505</v>
      </c>
      <c r="T489" s="36" t="s">
        <v>30</v>
      </c>
      <c r="U489" s="47" t="s">
        <v>311</v>
      </c>
      <c r="V489" s="14"/>
      <c r="W489" s="15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</row>
    <row r="490" spans="1:91" ht="14.25" hidden="1" customHeight="1" x14ac:dyDescent="0.25">
      <c r="A490" s="26"/>
      <c r="B490" s="15"/>
      <c r="C490" s="15"/>
      <c r="D490" s="36" t="s">
        <v>2506</v>
      </c>
      <c r="E490" s="36">
        <v>1005367601</v>
      </c>
      <c r="F490" s="36">
        <v>3103955539</v>
      </c>
      <c r="G490" s="310" t="s">
        <v>2507</v>
      </c>
      <c r="H490" s="74">
        <v>1</v>
      </c>
      <c r="I490" s="36"/>
      <c r="J490" s="14" t="s">
        <v>35</v>
      </c>
      <c r="K490" s="65">
        <v>42000</v>
      </c>
      <c r="L490" s="57" t="s">
        <v>234</v>
      </c>
      <c r="M490" s="64"/>
      <c r="N490" s="65"/>
      <c r="O490" s="66"/>
      <c r="P490" s="15" t="s">
        <v>28</v>
      </c>
      <c r="Q490" s="15" t="s">
        <v>20</v>
      </c>
      <c r="R490" s="15"/>
      <c r="S490" s="36" t="s">
        <v>2508</v>
      </c>
      <c r="T490" s="36" t="s">
        <v>30</v>
      </c>
      <c r="U490" s="53" t="s">
        <v>2509</v>
      </c>
      <c r="V490" s="14"/>
      <c r="W490" s="15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</row>
    <row r="491" spans="1:91" ht="14.25" hidden="1" customHeight="1" x14ac:dyDescent="0.25">
      <c r="A491" s="26"/>
      <c r="B491" s="15"/>
      <c r="C491" s="15"/>
      <c r="D491" s="36" t="s">
        <v>1420</v>
      </c>
      <c r="E491" s="36">
        <v>1099684249</v>
      </c>
      <c r="F491" s="36">
        <v>3136081723</v>
      </c>
      <c r="G491" s="310" t="s">
        <v>2510</v>
      </c>
      <c r="H491" s="75">
        <v>1</v>
      </c>
      <c r="I491" s="68">
        <v>100</v>
      </c>
      <c r="J491" s="64" t="s">
        <v>5480</v>
      </c>
      <c r="K491" s="61">
        <v>82000</v>
      </c>
      <c r="L491" s="57" t="s">
        <v>234</v>
      </c>
      <c r="M491" s="64"/>
      <c r="N491" s="82"/>
      <c r="O491" s="66"/>
      <c r="P491" s="15" t="s">
        <v>28</v>
      </c>
      <c r="Q491" s="15" t="s">
        <v>20</v>
      </c>
      <c r="R491" s="15"/>
      <c r="S491" s="36" t="s">
        <v>2511</v>
      </c>
      <c r="T491" s="36"/>
      <c r="U491" s="53" t="s">
        <v>2512</v>
      </c>
      <c r="V491" s="14"/>
      <c r="W491" s="15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</row>
    <row r="492" spans="1:91" ht="14.25" hidden="1" customHeight="1" x14ac:dyDescent="0.25">
      <c r="A492" s="26"/>
      <c r="B492" s="15"/>
      <c r="C492" s="15"/>
      <c r="D492" s="63" t="s">
        <v>2513</v>
      </c>
      <c r="E492" s="36">
        <v>1005367148</v>
      </c>
      <c r="F492" s="36">
        <v>3105408966</v>
      </c>
      <c r="G492" s="310" t="s">
        <v>2514</v>
      </c>
      <c r="H492" s="74">
        <v>1</v>
      </c>
      <c r="I492" s="36"/>
      <c r="J492" s="14" t="s">
        <v>35</v>
      </c>
      <c r="K492" s="61">
        <v>42000</v>
      </c>
      <c r="L492" s="57" t="s">
        <v>234</v>
      </c>
      <c r="M492" s="64"/>
      <c r="N492" s="65"/>
      <c r="O492" s="66"/>
      <c r="P492" s="15" t="s">
        <v>28</v>
      </c>
      <c r="Q492" s="15" t="s">
        <v>20</v>
      </c>
      <c r="R492" s="15"/>
      <c r="S492" s="36" t="s">
        <v>2177</v>
      </c>
      <c r="T492" s="36" t="s">
        <v>126</v>
      </c>
      <c r="U492" s="53" t="s">
        <v>2515</v>
      </c>
      <c r="V492" s="15"/>
      <c r="W492" s="15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</row>
    <row r="493" spans="1:91" ht="14.25" hidden="1" customHeight="1" x14ac:dyDescent="0.25">
      <c r="A493" s="26"/>
      <c r="B493" s="15"/>
      <c r="C493" s="15"/>
      <c r="D493" s="36" t="s">
        <v>2516</v>
      </c>
      <c r="E493" s="36">
        <v>1010126438</v>
      </c>
      <c r="F493" s="36">
        <v>3004136174</v>
      </c>
      <c r="G493" s="310" t="s">
        <v>2517</v>
      </c>
      <c r="H493" s="74">
        <v>1</v>
      </c>
      <c r="I493" s="36"/>
      <c r="J493" s="14" t="s">
        <v>35</v>
      </c>
      <c r="K493" s="61">
        <v>42000</v>
      </c>
      <c r="L493" s="57" t="s">
        <v>234</v>
      </c>
      <c r="M493" s="64"/>
      <c r="N493" s="65"/>
      <c r="O493" s="66"/>
      <c r="P493" s="15" t="s">
        <v>28</v>
      </c>
      <c r="Q493" s="15" t="s">
        <v>20</v>
      </c>
      <c r="R493" s="15"/>
      <c r="S493" s="36" t="s">
        <v>2518</v>
      </c>
      <c r="T493" s="36" t="s">
        <v>2519</v>
      </c>
      <c r="U493" s="53" t="s">
        <v>2520</v>
      </c>
      <c r="V493" s="14"/>
      <c r="W493" s="15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</row>
    <row r="494" spans="1:91" ht="14.25" hidden="1" customHeight="1" x14ac:dyDescent="0.25">
      <c r="A494" s="26"/>
      <c r="B494" s="15"/>
      <c r="C494" s="15"/>
      <c r="D494" s="36" t="s">
        <v>2521</v>
      </c>
      <c r="E494" s="36">
        <v>32474384</v>
      </c>
      <c r="F494" s="36">
        <v>3222631617</v>
      </c>
      <c r="G494" s="310" t="s">
        <v>2522</v>
      </c>
      <c r="H494" s="74">
        <v>1</v>
      </c>
      <c r="I494" s="36" t="s">
        <v>2523</v>
      </c>
      <c r="J494" s="15" t="s">
        <v>188</v>
      </c>
      <c r="K494" s="61">
        <v>57000</v>
      </c>
      <c r="L494" s="57" t="s">
        <v>234</v>
      </c>
      <c r="M494" s="64"/>
      <c r="N494" s="65"/>
      <c r="O494" s="66"/>
      <c r="P494" s="15" t="s">
        <v>28</v>
      </c>
      <c r="Q494" s="15" t="s">
        <v>20</v>
      </c>
      <c r="R494" s="15"/>
      <c r="S494" s="36" t="s">
        <v>2524</v>
      </c>
      <c r="T494" s="36" t="s">
        <v>1224</v>
      </c>
      <c r="U494" s="53" t="s">
        <v>2525</v>
      </c>
      <c r="V494" s="15"/>
      <c r="W494" s="15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</row>
    <row r="495" spans="1:91" ht="14.25" hidden="1" customHeight="1" x14ac:dyDescent="0.25">
      <c r="A495" s="26"/>
      <c r="B495" s="15"/>
      <c r="C495" s="15"/>
      <c r="D495" s="36" t="s">
        <v>2526</v>
      </c>
      <c r="E495" s="77">
        <v>1099683298</v>
      </c>
      <c r="F495" s="36">
        <v>3217567319</v>
      </c>
      <c r="G495" s="301" t="s">
        <v>2527</v>
      </c>
      <c r="H495" s="36"/>
      <c r="I495" s="36"/>
      <c r="J495" s="14" t="s">
        <v>35</v>
      </c>
      <c r="K495" s="61">
        <v>42000</v>
      </c>
      <c r="L495" s="57" t="s">
        <v>234</v>
      </c>
      <c r="M495" s="64"/>
      <c r="N495" s="65"/>
      <c r="O495" s="66"/>
      <c r="P495" s="15" t="s">
        <v>28</v>
      </c>
      <c r="Q495" s="15" t="s">
        <v>20</v>
      </c>
      <c r="R495" s="15"/>
      <c r="S495" s="36" t="s">
        <v>2528</v>
      </c>
      <c r="T495" s="36" t="s">
        <v>36</v>
      </c>
      <c r="U495" s="47" t="s">
        <v>311</v>
      </c>
      <c r="V495" s="15"/>
      <c r="W495" s="15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</row>
    <row r="496" spans="1:91" ht="14.25" hidden="1" customHeight="1" x14ac:dyDescent="0.25">
      <c r="A496" s="26"/>
      <c r="B496" s="15"/>
      <c r="C496" s="15"/>
      <c r="D496" s="36" t="s">
        <v>2529</v>
      </c>
      <c r="E496" s="36">
        <v>24675867</v>
      </c>
      <c r="F496" s="36" t="s">
        <v>2530</v>
      </c>
      <c r="G496" s="310" t="s">
        <v>2531</v>
      </c>
      <c r="H496" s="74">
        <v>1</v>
      </c>
      <c r="I496" s="36" t="s">
        <v>2532</v>
      </c>
      <c r="J496" s="14" t="s">
        <v>35</v>
      </c>
      <c r="K496" s="61">
        <v>42000</v>
      </c>
      <c r="L496" s="57" t="s">
        <v>234</v>
      </c>
      <c r="M496" s="64"/>
      <c r="N496" s="65"/>
      <c r="O496" s="66"/>
      <c r="P496" s="15" t="s">
        <v>28</v>
      </c>
      <c r="Q496" s="15" t="s">
        <v>20</v>
      </c>
      <c r="R496" s="15"/>
      <c r="S496" s="15" t="s">
        <v>2533</v>
      </c>
      <c r="T496" s="15" t="s">
        <v>224</v>
      </c>
      <c r="U496" s="79" t="s">
        <v>2534</v>
      </c>
      <c r="V496" s="14"/>
      <c r="W496" s="15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</row>
    <row r="497" spans="1:91" ht="14.25" hidden="1" customHeight="1" x14ac:dyDescent="0.25">
      <c r="A497" s="26"/>
      <c r="B497" s="15"/>
      <c r="C497" s="15"/>
      <c r="D497" s="36" t="s">
        <v>2535</v>
      </c>
      <c r="E497" s="36">
        <v>1097033725</v>
      </c>
      <c r="F497" s="36">
        <v>3146881882</v>
      </c>
      <c r="G497" s="301" t="s">
        <v>2536</v>
      </c>
      <c r="H497" s="36"/>
      <c r="I497" s="36" t="s">
        <v>2537</v>
      </c>
      <c r="J497" s="14" t="s">
        <v>35</v>
      </c>
      <c r="K497" s="61">
        <v>42000</v>
      </c>
      <c r="L497" s="57" t="s">
        <v>234</v>
      </c>
      <c r="M497" s="64"/>
      <c r="N497" s="65"/>
      <c r="O497" s="66"/>
      <c r="P497" s="15" t="s">
        <v>28</v>
      </c>
      <c r="Q497" s="15" t="s">
        <v>20</v>
      </c>
      <c r="R497" s="15"/>
      <c r="S497" s="36" t="s">
        <v>2538</v>
      </c>
      <c r="T497" s="36" t="s">
        <v>126</v>
      </c>
      <c r="U497" s="53" t="s">
        <v>2539</v>
      </c>
      <c r="V497" s="14"/>
      <c r="W497" s="15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</row>
    <row r="498" spans="1:91" ht="14.25" hidden="1" customHeight="1" x14ac:dyDescent="0.25">
      <c r="A498" s="26"/>
      <c r="B498" s="15"/>
      <c r="C498" s="15"/>
      <c r="D498" s="63" t="s">
        <v>2540</v>
      </c>
      <c r="E498" s="36">
        <v>1066348592</v>
      </c>
      <c r="F498" s="36">
        <v>3172244080</v>
      </c>
      <c r="G498" s="310" t="s">
        <v>2541</v>
      </c>
      <c r="H498" s="74">
        <v>1</v>
      </c>
      <c r="I498" s="36"/>
      <c r="J498" s="14" t="s">
        <v>35</v>
      </c>
      <c r="K498" s="61">
        <v>42000</v>
      </c>
      <c r="L498" s="57" t="s">
        <v>234</v>
      </c>
      <c r="M498" s="64"/>
      <c r="N498" s="65"/>
      <c r="O498" s="66"/>
      <c r="P498" s="15" t="s">
        <v>28</v>
      </c>
      <c r="Q498" s="15" t="s">
        <v>20</v>
      </c>
      <c r="R498" s="15"/>
      <c r="S498" s="36"/>
      <c r="T498" s="36" t="s">
        <v>126</v>
      </c>
      <c r="U498" s="53" t="s">
        <v>2542</v>
      </c>
      <c r="V498" s="15"/>
      <c r="W498" s="15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</row>
    <row r="499" spans="1:91" ht="14.25" hidden="1" customHeight="1" x14ac:dyDescent="0.25">
      <c r="A499" s="26"/>
      <c r="B499" s="15"/>
      <c r="C499" s="15"/>
      <c r="D499" s="36" t="s">
        <v>2543</v>
      </c>
      <c r="E499" s="36">
        <v>24673249</v>
      </c>
      <c r="F499" s="36">
        <v>3137444890</v>
      </c>
      <c r="G499" s="301" t="s">
        <v>2544</v>
      </c>
      <c r="H499" s="68"/>
      <c r="I499" s="68"/>
      <c r="J499" s="14" t="s">
        <v>35</v>
      </c>
      <c r="K499" s="61">
        <v>42000</v>
      </c>
      <c r="L499" s="57" t="s">
        <v>234</v>
      </c>
      <c r="M499" s="36"/>
      <c r="N499" s="61"/>
      <c r="O499" s="66"/>
      <c r="P499" s="15" t="s">
        <v>28</v>
      </c>
      <c r="Q499" s="15" t="s">
        <v>20</v>
      </c>
      <c r="R499" s="15"/>
      <c r="S499" s="36" t="s">
        <v>2545</v>
      </c>
      <c r="T499" s="36" t="s">
        <v>1321</v>
      </c>
      <c r="U499" s="53" t="s">
        <v>2546</v>
      </c>
      <c r="V499" s="15"/>
      <c r="W499" s="15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</row>
    <row r="500" spans="1:91" ht="14.25" hidden="1" customHeight="1" x14ac:dyDescent="0.25">
      <c r="A500" s="26"/>
      <c r="B500" s="15"/>
      <c r="C500" s="15"/>
      <c r="D500" s="36" t="s">
        <v>2547</v>
      </c>
      <c r="E500" s="77">
        <v>24675094</v>
      </c>
      <c r="F500" s="36">
        <v>3143465910</v>
      </c>
      <c r="G500" s="301" t="s">
        <v>2548</v>
      </c>
      <c r="H500" s="68"/>
      <c r="I500" s="68"/>
      <c r="J500" s="14" t="s">
        <v>35</v>
      </c>
      <c r="K500" s="65">
        <v>42000</v>
      </c>
      <c r="L500" s="57" t="s">
        <v>234</v>
      </c>
      <c r="M500" s="64"/>
      <c r="N500" s="65"/>
      <c r="O500" s="66"/>
      <c r="P500" s="15" t="s">
        <v>28</v>
      </c>
      <c r="Q500" s="15" t="s">
        <v>20</v>
      </c>
      <c r="R500" s="15"/>
      <c r="S500" s="36" t="s">
        <v>2549</v>
      </c>
      <c r="T500" s="36" t="s">
        <v>224</v>
      </c>
      <c r="U500" s="47" t="s">
        <v>311</v>
      </c>
      <c r="V500" s="15"/>
      <c r="W500" s="15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</row>
    <row r="501" spans="1:91" ht="14.25" hidden="1" customHeight="1" x14ac:dyDescent="0.25">
      <c r="A501" s="26"/>
      <c r="B501" s="15"/>
      <c r="C501" s="15"/>
      <c r="D501" s="36" t="s">
        <v>2550</v>
      </c>
      <c r="E501" s="36">
        <v>24675513</v>
      </c>
      <c r="F501" s="36">
        <v>3114552542</v>
      </c>
      <c r="G501" s="301" t="s">
        <v>2551</v>
      </c>
      <c r="H501" s="36"/>
      <c r="I501" s="36"/>
      <c r="J501" s="14" t="s">
        <v>35</v>
      </c>
      <c r="K501" s="65">
        <v>42000</v>
      </c>
      <c r="L501" s="57" t="s">
        <v>234</v>
      </c>
      <c r="M501" s="64"/>
      <c r="N501" s="65"/>
      <c r="O501" s="66"/>
      <c r="P501" s="15" t="s">
        <v>28</v>
      </c>
      <c r="Q501" s="15" t="s">
        <v>20</v>
      </c>
      <c r="R501" s="15"/>
      <c r="S501" s="36" t="s">
        <v>2552</v>
      </c>
      <c r="T501" s="36" t="s">
        <v>1352</v>
      </c>
      <c r="U501" s="47" t="s">
        <v>311</v>
      </c>
      <c r="V501" s="15"/>
      <c r="W501" s="15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</row>
    <row r="502" spans="1:91" ht="14.25" hidden="1" customHeight="1" x14ac:dyDescent="0.25">
      <c r="A502" s="26"/>
      <c r="B502" s="15"/>
      <c r="C502" s="15"/>
      <c r="D502" s="36" t="s">
        <v>2553</v>
      </c>
      <c r="E502" s="36">
        <v>24675653</v>
      </c>
      <c r="F502" s="36">
        <v>3148101564</v>
      </c>
      <c r="G502" s="310" t="s">
        <v>2554</v>
      </c>
      <c r="H502" s="74">
        <v>1</v>
      </c>
      <c r="I502" s="36"/>
      <c r="J502" s="14" t="s">
        <v>35</v>
      </c>
      <c r="K502" s="65">
        <v>42000</v>
      </c>
      <c r="L502" s="57" t="s">
        <v>234</v>
      </c>
      <c r="M502" s="64"/>
      <c r="N502" s="65"/>
      <c r="O502" s="66"/>
      <c r="P502" s="15" t="s">
        <v>28</v>
      </c>
      <c r="Q502" s="15" t="s">
        <v>20</v>
      </c>
      <c r="R502" s="15"/>
      <c r="S502" s="36" t="s">
        <v>2555</v>
      </c>
      <c r="T502" s="36" t="s">
        <v>2556</v>
      </c>
      <c r="U502" s="53" t="s">
        <v>2557</v>
      </c>
      <c r="V502" s="14"/>
      <c r="W502" s="15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</row>
    <row r="503" spans="1:91" ht="14.25" hidden="1" customHeight="1" x14ac:dyDescent="0.25">
      <c r="A503" s="26"/>
      <c r="B503" s="15"/>
      <c r="C503" s="15"/>
      <c r="D503" s="36" t="s">
        <v>2558</v>
      </c>
      <c r="E503" s="77">
        <v>890000448</v>
      </c>
      <c r="F503" s="36">
        <v>3113074722</v>
      </c>
      <c r="G503" s="314" t="s">
        <v>2559</v>
      </c>
      <c r="H503" s="74">
        <v>1</v>
      </c>
      <c r="I503" s="36"/>
      <c r="J503" s="14" t="s">
        <v>448</v>
      </c>
      <c r="K503" s="61">
        <v>121380</v>
      </c>
      <c r="L503" s="57" t="s">
        <v>234</v>
      </c>
      <c r="M503" s="36"/>
      <c r="N503" s="61"/>
      <c r="O503" s="66"/>
      <c r="P503" s="15" t="s">
        <v>28</v>
      </c>
      <c r="Q503" s="15" t="s">
        <v>20</v>
      </c>
      <c r="R503" s="15"/>
      <c r="S503" s="36" t="s">
        <v>2560</v>
      </c>
      <c r="T503" s="36" t="s">
        <v>2561</v>
      </c>
      <c r="U503" s="47" t="s">
        <v>2562</v>
      </c>
      <c r="V503" s="103" t="s">
        <v>26</v>
      </c>
      <c r="W503" s="15" t="s">
        <v>2563</v>
      </c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</row>
    <row r="504" spans="1:91" ht="14.25" hidden="1" customHeight="1" x14ac:dyDescent="0.25">
      <c r="A504" s="26"/>
      <c r="B504" s="15"/>
      <c r="C504" s="15"/>
      <c r="D504" s="36" t="s">
        <v>2564</v>
      </c>
      <c r="E504" s="36">
        <v>4428112</v>
      </c>
      <c r="F504" s="36">
        <v>3215694012</v>
      </c>
      <c r="G504" s="310" t="s">
        <v>2565</v>
      </c>
      <c r="H504" s="74">
        <v>1</v>
      </c>
      <c r="I504" s="36"/>
      <c r="J504" s="15" t="s">
        <v>188</v>
      </c>
      <c r="K504" s="61">
        <v>57000</v>
      </c>
      <c r="L504" s="57" t="s">
        <v>234</v>
      </c>
      <c r="M504" s="64"/>
      <c r="N504" s="65"/>
      <c r="O504" s="66"/>
      <c r="P504" s="15" t="s">
        <v>28</v>
      </c>
      <c r="Q504" s="15" t="s">
        <v>20</v>
      </c>
      <c r="R504" s="15"/>
      <c r="S504" s="36" t="s">
        <v>2566</v>
      </c>
      <c r="T504" s="36"/>
      <c r="U504" s="53" t="s">
        <v>1736</v>
      </c>
      <c r="V504" s="14"/>
      <c r="W504" s="15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</row>
    <row r="505" spans="1:91" ht="14.25" hidden="1" customHeight="1" x14ac:dyDescent="0.25">
      <c r="A505" s="26"/>
      <c r="B505" s="15"/>
      <c r="C505" s="15"/>
      <c r="D505" s="36" t="s">
        <v>2567</v>
      </c>
      <c r="E505" s="77">
        <v>9800896</v>
      </c>
      <c r="F505" s="36" t="s">
        <v>2568</v>
      </c>
      <c r="G505" s="301" t="s">
        <v>2569</v>
      </c>
      <c r="H505" s="36"/>
      <c r="I505" s="36" t="s">
        <v>2570</v>
      </c>
      <c r="J505" s="15" t="s">
        <v>188</v>
      </c>
      <c r="K505" s="61">
        <v>57000</v>
      </c>
      <c r="L505" s="57" t="s">
        <v>234</v>
      </c>
      <c r="M505" s="64"/>
      <c r="N505" s="65"/>
      <c r="O505" s="66"/>
      <c r="P505" s="15" t="s">
        <v>28</v>
      </c>
      <c r="Q505" s="15" t="s">
        <v>20</v>
      </c>
      <c r="R505" s="15"/>
      <c r="S505" s="36" t="s">
        <v>2572</v>
      </c>
      <c r="T505" s="36" t="s">
        <v>1224</v>
      </c>
      <c r="U505" s="47" t="s">
        <v>311</v>
      </c>
      <c r="V505" s="15"/>
      <c r="W505" s="15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</row>
    <row r="506" spans="1:91" ht="14.25" hidden="1" customHeight="1" x14ac:dyDescent="0.25">
      <c r="A506" s="26"/>
      <c r="B506" s="15"/>
      <c r="C506" s="15"/>
      <c r="D506" s="36" t="s">
        <v>2573</v>
      </c>
      <c r="E506" s="36" t="s">
        <v>2574</v>
      </c>
      <c r="F506" s="36">
        <v>3128661689</v>
      </c>
      <c r="G506" s="301" t="s">
        <v>2575</v>
      </c>
      <c r="H506" s="68"/>
      <c r="I506" s="68"/>
      <c r="J506" s="64" t="s">
        <v>5480</v>
      </c>
      <c r="K506" s="61">
        <v>97580</v>
      </c>
      <c r="L506" s="57" t="s">
        <v>234</v>
      </c>
      <c r="M506" s="64"/>
      <c r="N506" s="65"/>
      <c r="O506" s="66"/>
      <c r="P506" s="15" t="s">
        <v>28</v>
      </c>
      <c r="Q506" s="15" t="s">
        <v>20</v>
      </c>
      <c r="R506" s="15"/>
      <c r="S506" s="36" t="s">
        <v>2576</v>
      </c>
      <c r="T506" s="36" t="s">
        <v>1224</v>
      </c>
      <c r="U506" s="53" t="s">
        <v>2577</v>
      </c>
      <c r="V506" s="15"/>
      <c r="W506" s="15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</row>
    <row r="507" spans="1:91" ht="14.25" hidden="1" customHeight="1" x14ac:dyDescent="0.25">
      <c r="A507" s="26"/>
      <c r="B507" s="15"/>
      <c r="C507" s="15"/>
      <c r="D507" s="15" t="s">
        <v>2578</v>
      </c>
      <c r="E507" s="16">
        <v>24676022</v>
      </c>
      <c r="F507" s="36">
        <v>3128331428</v>
      </c>
      <c r="G507" s="301" t="s">
        <v>2579</v>
      </c>
      <c r="H507" s="36"/>
      <c r="I507" s="36"/>
      <c r="J507" s="14" t="s">
        <v>54</v>
      </c>
      <c r="K507" s="61">
        <v>67000</v>
      </c>
      <c r="L507" s="57" t="s">
        <v>234</v>
      </c>
      <c r="M507" s="64"/>
      <c r="N507" s="65"/>
      <c r="O507" s="66"/>
      <c r="P507" s="15" t="s">
        <v>28</v>
      </c>
      <c r="Q507" s="15" t="s">
        <v>20</v>
      </c>
      <c r="R507" s="15"/>
      <c r="S507" s="15" t="s">
        <v>2580</v>
      </c>
      <c r="T507" s="36"/>
      <c r="U507" s="53" t="s">
        <v>2581</v>
      </c>
      <c r="V507" s="14"/>
      <c r="W507" s="15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>
        <v>1</v>
      </c>
    </row>
    <row r="508" spans="1:91" ht="14.25" hidden="1" customHeight="1" x14ac:dyDescent="0.25">
      <c r="A508" s="26"/>
      <c r="B508" s="15"/>
      <c r="C508" s="15"/>
      <c r="D508" s="15" t="s">
        <v>2585</v>
      </c>
      <c r="E508" s="16">
        <v>14227052</v>
      </c>
      <c r="F508" s="17" t="s">
        <v>2586</v>
      </c>
      <c r="G508" s="309" t="s">
        <v>2587</v>
      </c>
      <c r="H508" s="34">
        <v>1</v>
      </c>
      <c r="I508" s="17" t="s">
        <v>2588</v>
      </c>
      <c r="J508" s="14" t="s">
        <v>35</v>
      </c>
      <c r="K508" s="61">
        <v>42000</v>
      </c>
      <c r="L508" s="57" t="s">
        <v>234</v>
      </c>
      <c r="M508" s="64"/>
      <c r="N508" s="65"/>
      <c r="O508" s="66"/>
      <c r="P508" s="15" t="s">
        <v>28</v>
      </c>
      <c r="Q508" s="15" t="s">
        <v>20</v>
      </c>
      <c r="R508" s="15"/>
      <c r="S508" s="15" t="s">
        <v>2589</v>
      </c>
      <c r="T508" s="15" t="s">
        <v>67</v>
      </c>
      <c r="U508" s="70" t="s">
        <v>2590</v>
      </c>
      <c r="V508" s="14"/>
      <c r="W508" s="15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</row>
    <row r="509" spans="1:91" ht="14.25" hidden="1" customHeight="1" x14ac:dyDescent="0.25">
      <c r="A509" s="26"/>
      <c r="B509" s="15"/>
      <c r="C509" s="15"/>
      <c r="D509" s="36" t="s">
        <v>2591</v>
      </c>
      <c r="E509" s="36">
        <v>9801226</v>
      </c>
      <c r="F509" s="36">
        <v>3135400385</v>
      </c>
      <c r="G509" s="310" t="s">
        <v>2592</v>
      </c>
      <c r="H509" s="74">
        <v>1</v>
      </c>
      <c r="I509" s="36">
        <v>99</v>
      </c>
      <c r="J509" s="14" t="s">
        <v>54</v>
      </c>
      <c r="K509" s="61">
        <v>67000</v>
      </c>
      <c r="L509" s="57" t="s">
        <v>234</v>
      </c>
      <c r="M509" s="64"/>
      <c r="N509" s="65"/>
      <c r="O509" s="66"/>
      <c r="P509" s="15" t="s">
        <v>28</v>
      </c>
      <c r="Q509" s="15" t="s">
        <v>20</v>
      </c>
      <c r="R509" s="15"/>
      <c r="S509" s="36" t="s">
        <v>2593</v>
      </c>
      <c r="T509" s="36" t="s">
        <v>67</v>
      </c>
      <c r="U509" s="63" t="s">
        <v>2594</v>
      </c>
      <c r="V509" s="15"/>
      <c r="W509" s="15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</row>
    <row r="510" spans="1:91" ht="14.25" hidden="1" customHeight="1" x14ac:dyDescent="0.25">
      <c r="A510" s="26"/>
      <c r="B510" s="15"/>
      <c r="C510" s="15"/>
      <c r="D510" s="36" t="s">
        <v>2595</v>
      </c>
      <c r="E510" s="36">
        <v>24674470</v>
      </c>
      <c r="F510" s="36">
        <v>3206926160</v>
      </c>
      <c r="G510" s="301" t="s">
        <v>2596</v>
      </c>
      <c r="H510" s="68"/>
      <c r="I510" s="68"/>
      <c r="J510" s="14" t="s">
        <v>35</v>
      </c>
      <c r="K510" s="61">
        <v>42000</v>
      </c>
      <c r="L510" s="57" t="s">
        <v>234</v>
      </c>
      <c r="M510" s="64"/>
      <c r="N510" s="65"/>
      <c r="O510" s="66"/>
      <c r="P510" s="15" t="s">
        <v>28</v>
      </c>
      <c r="Q510" s="15" t="s">
        <v>20</v>
      </c>
      <c r="R510" s="15"/>
      <c r="S510" s="36" t="s">
        <v>2597</v>
      </c>
      <c r="T510" s="36" t="s">
        <v>30</v>
      </c>
      <c r="U510" s="86" t="s">
        <v>2598</v>
      </c>
      <c r="V510" s="14"/>
      <c r="W510" s="15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</row>
    <row r="511" spans="1:91" ht="14.25" hidden="1" customHeight="1" x14ac:dyDescent="0.25">
      <c r="A511" s="26"/>
      <c r="B511" s="15"/>
      <c r="C511" s="15"/>
      <c r="D511" s="71" t="s">
        <v>2599</v>
      </c>
      <c r="E511" s="71">
        <v>79539572</v>
      </c>
      <c r="F511" s="71">
        <v>3125042273</v>
      </c>
      <c r="G511" s="299" t="s">
        <v>2600</v>
      </c>
      <c r="H511" s="71"/>
      <c r="I511" s="71" t="s">
        <v>2601</v>
      </c>
      <c r="J511" s="14" t="s">
        <v>35</v>
      </c>
      <c r="K511" s="61">
        <v>42000</v>
      </c>
      <c r="L511" s="57" t="s">
        <v>234</v>
      </c>
      <c r="M511" s="72"/>
      <c r="N511" s="65"/>
      <c r="O511" s="66"/>
      <c r="P511" s="15" t="s">
        <v>28</v>
      </c>
      <c r="Q511" s="15" t="s">
        <v>20</v>
      </c>
      <c r="R511" s="15"/>
      <c r="S511" s="15" t="s">
        <v>2602</v>
      </c>
      <c r="T511" s="15" t="s">
        <v>366</v>
      </c>
      <c r="U511" s="31" t="s">
        <v>2603</v>
      </c>
      <c r="V511" s="14"/>
      <c r="W511" s="15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</row>
    <row r="512" spans="1:91" ht="14.25" hidden="1" customHeight="1" x14ac:dyDescent="0.25">
      <c r="A512" s="26"/>
      <c r="B512" s="15"/>
      <c r="C512" s="15"/>
      <c r="D512" s="36" t="s">
        <v>1381</v>
      </c>
      <c r="E512" s="36">
        <v>1099682158</v>
      </c>
      <c r="F512" s="36">
        <v>3183014316</v>
      </c>
      <c r="G512" s="301" t="s">
        <v>2604</v>
      </c>
      <c r="H512" s="36"/>
      <c r="I512" s="36">
        <v>72</v>
      </c>
      <c r="J512" s="14" t="s">
        <v>35</v>
      </c>
      <c r="K512" s="61">
        <v>42000</v>
      </c>
      <c r="L512" s="57" t="s">
        <v>234</v>
      </c>
      <c r="M512" s="64"/>
      <c r="N512" s="65"/>
      <c r="O512" s="66"/>
      <c r="P512" s="15" t="s">
        <v>28</v>
      </c>
      <c r="Q512" s="15" t="s">
        <v>20</v>
      </c>
      <c r="R512" s="15"/>
      <c r="S512" s="36" t="s">
        <v>2605</v>
      </c>
      <c r="T512" s="36" t="s">
        <v>30</v>
      </c>
      <c r="U512" s="47" t="s">
        <v>311</v>
      </c>
      <c r="V512" s="14"/>
      <c r="W512" s="15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</row>
    <row r="513" spans="1:91" ht="14.25" hidden="1" customHeight="1" x14ac:dyDescent="0.25">
      <c r="A513" s="26"/>
      <c r="B513" s="15"/>
      <c r="C513" s="15"/>
      <c r="D513" s="36" t="s">
        <v>2606</v>
      </c>
      <c r="E513" s="36">
        <v>1005367514</v>
      </c>
      <c r="F513" s="36">
        <v>3126637875</v>
      </c>
      <c r="G513" s="310" t="s">
        <v>2607</v>
      </c>
      <c r="H513" s="74">
        <v>1</v>
      </c>
      <c r="I513" s="36" t="s">
        <v>2608</v>
      </c>
      <c r="J513" s="15" t="s">
        <v>188</v>
      </c>
      <c r="K513" s="61">
        <v>57000</v>
      </c>
      <c r="L513" s="57" t="s">
        <v>234</v>
      </c>
      <c r="M513" s="64"/>
      <c r="N513" s="65"/>
      <c r="O513" s="66"/>
      <c r="P513" s="15" t="s">
        <v>28</v>
      </c>
      <c r="Q513" s="15" t="s">
        <v>20</v>
      </c>
      <c r="R513" s="15"/>
      <c r="S513" s="36" t="s">
        <v>2609</v>
      </c>
      <c r="T513" s="36" t="s">
        <v>1224</v>
      </c>
      <c r="U513" s="53" t="s">
        <v>2610</v>
      </c>
      <c r="V513" s="15"/>
      <c r="W513" s="15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</row>
    <row r="514" spans="1:91" ht="14.25" hidden="1" customHeight="1" x14ac:dyDescent="0.25">
      <c r="A514" s="26"/>
      <c r="B514" s="15"/>
      <c r="C514" s="15"/>
      <c r="D514" s="36" t="s">
        <v>2611</v>
      </c>
      <c r="E514" s="77">
        <v>41946765</v>
      </c>
      <c r="F514" s="36">
        <v>3117717475</v>
      </c>
      <c r="G514" s="301" t="s">
        <v>2612</v>
      </c>
      <c r="H514" s="36"/>
      <c r="I514" s="36">
        <v>18</v>
      </c>
      <c r="J514" s="14" t="s">
        <v>54</v>
      </c>
      <c r="K514" s="61">
        <v>67000</v>
      </c>
      <c r="L514" s="57" t="s">
        <v>234</v>
      </c>
      <c r="M514" s="64"/>
      <c r="N514" s="65"/>
      <c r="O514" s="66"/>
      <c r="P514" s="15" t="s">
        <v>28</v>
      </c>
      <c r="Q514" s="15" t="s">
        <v>20</v>
      </c>
      <c r="R514" s="15"/>
      <c r="S514" s="36" t="s">
        <v>2613</v>
      </c>
      <c r="T514" s="36" t="s">
        <v>450</v>
      </c>
      <c r="U514" s="53" t="s">
        <v>2614</v>
      </c>
      <c r="V514" s="15"/>
      <c r="W514" s="15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</row>
    <row r="515" spans="1:91" ht="14.25" hidden="1" customHeight="1" x14ac:dyDescent="0.25">
      <c r="A515" s="13"/>
      <c r="B515" s="14"/>
      <c r="C515" s="14"/>
      <c r="D515" s="15" t="s">
        <v>2615</v>
      </c>
      <c r="E515" s="16">
        <v>801004910</v>
      </c>
      <c r="F515" s="17">
        <v>3146175234</v>
      </c>
      <c r="G515" s="308" t="s">
        <v>2616</v>
      </c>
      <c r="H515" s="45">
        <v>1</v>
      </c>
      <c r="I515" s="14"/>
      <c r="J515" s="15" t="s">
        <v>2617</v>
      </c>
      <c r="K515" s="27">
        <v>412563</v>
      </c>
      <c r="L515" s="57" t="s">
        <v>234</v>
      </c>
      <c r="M515" s="14"/>
      <c r="N515" s="7"/>
      <c r="O515" s="21"/>
      <c r="P515" s="14" t="s">
        <v>412</v>
      </c>
      <c r="Q515" s="14" t="s">
        <v>20</v>
      </c>
      <c r="R515" s="14"/>
      <c r="S515" s="14" t="s">
        <v>2618</v>
      </c>
      <c r="T515" s="14"/>
      <c r="U515" s="14" t="s">
        <v>2619</v>
      </c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</row>
    <row r="516" spans="1:91" ht="14.25" hidden="1" customHeight="1" x14ac:dyDescent="0.25">
      <c r="A516" s="26"/>
      <c r="B516" s="15"/>
      <c r="C516" s="15"/>
      <c r="D516" s="15" t="s">
        <v>2620</v>
      </c>
      <c r="E516" s="17">
        <v>9800723</v>
      </c>
      <c r="F516" s="17">
        <v>3104132735</v>
      </c>
      <c r="G516" s="309" t="s">
        <v>2621</v>
      </c>
      <c r="H516" s="34">
        <v>1</v>
      </c>
      <c r="I516" s="17" t="s">
        <v>2622</v>
      </c>
      <c r="J516" s="14" t="s">
        <v>35</v>
      </c>
      <c r="K516" s="61">
        <v>42000</v>
      </c>
      <c r="L516" s="57" t="s">
        <v>234</v>
      </c>
      <c r="M516" s="28"/>
      <c r="N516" s="29"/>
      <c r="O516" s="30"/>
      <c r="P516" s="15" t="s">
        <v>28</v>
      </c>
      <c r="Q516" s="15" t="s">
        <v>20</v>
      </c>
      <c r="R516" s="15"/>
      <c r="S516" s="15" t="s">
        <v>2623</v>
      </c>
      <c r="T516" s="15" t="s">
        <v>107</v>
      </c>
      <c r="U516" s="70" t="s">
        <v>2624</v>
      </c>
      <c r="V516" s="14"/>
      <c r="W516" s="15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</row>
    <row r="517" spans="1:91" ht="14.25" hidden="1" customHeight="1" x14ac:dyDescent="0.25">
      <c r="A517" s="26"/>
      <c r="B517" s="15"/>
      <c r="C517" s="15"/>
      <c r="D517" s="36" t="s">
        <v>2625</v>
      </c>
      <c r="E517" s="36">
        <v>24487966</v>
      </c>
      <c r="F517" s="36">
        <v>3206718302</v>
      </c>
      <c r="G517" s="301" t="s">
        <v>2626</v>
      </c>
      <c r="H517" s="36"/>
      <c r="I517" s="36"/>
      <c r="J517" s="14" t="s">
        <v>54</v>
      </c>
      <c r="K517" s="61">
        <v>67000</v>
      </c>
      <c r="L517" s="57" t="s">
        <v>234</v>
      </c>
      <c r="M517" s="64"/>
      <c r="N517" s="65"/>
      <c r="O517" s="66"/>
      <c r="P517" s="15" t="s">
        <v>28</v>
      </c>
      <c r="Q517" s="15" t="s">
        <v>20</v>
      </c>
      <c r="R517" s="15"/>
      <c r="S517" s="36" t="s">
        <v>2627</v>
      </c>
      <c r="T517" s="36" t="s">
        <v>30</v>
      </c>
      <c r="U517" s="53" t="s">
        <v>2628</v>
      </c>
      <c r="V517" s="14"/>
      <c r="W517" s="15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</row>
    <row r="518" spans="1:91" ht="17.25" hidden="1" customHeight="1" x14ac:dyDescent="0.25">
      <c r="A518" s="26"/>
      <c r="B518" s="15"/>
      <c r="C518" s="15"/>
      <c r="D518" s="71" t="s">
        <v>2629</v>
      </c>
      <c r="E518" s="71">
        <v>1007371817</v>
      </c>
      <c r="F518" s="71">
        <v>3136622316</v>
      </c>
      <c r="G518" s="311" t="s">
        <v>2630</v>
      </c>
      <c r="H518" s="76">
        <v>1</v>
      </c>
      <c r="I518" s="71"/>
      <c r="J518" s="14" t="s">
        <v>35</v>
      </c>
      <c r="K518" s="61">
        <v>42000</v>
      </c>
      <c r="L518" s="57" t="s">
        <v>234</v>
      </c>
      <c r="M518" s="72"/>
      <c r="N518" s="65"/>
      <c r="O518" s="66"/>
      <c r="P518" s="15" t="s">
        <v>28</v>
      </c>
      <c r="Q518" s="15" t="s">
        <v>20</v>
      </c>
      <c r="R518" s="15"/>
      <c r="S518" s="15" t="s">
        <v>2631</v>
      </c>
      <c r="T518" s="15"/>
      <c r="U518" s="31" t="s">
        <v>2632</v>
      </c>
      <c r="V518" s="14"/>
      <c r="W518" s="15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</row>
    <row r="519" spans="1:91" s="306" customFormat="1" ht="14.25" hidden="1" customHeight="1" x14ac:dyDescent="0.25">
      <c r="A519" s="26">
        <v>45930</v>
      </c>
      <c r="B519" s="15" t="s">
        <v>21</v>
      </c>
      <c r="C519" s="15"/>
      <c r="D519" s="15" t="s">
        <v>2635</v>
      </c>
      <c r="E519" s="15">
        <v>24675366</v>
      </c>
      <c r="F519" s="15" t="s">
        <v>2636</v>
      </c>
      <c r="G519" s="15" t="s">
        <v>2637</v>
      </c>
      <c r="H519" s="15"/>
      <c r="I519" s="15" t="s">
        <v>2638</v>
      </c>
      <c r="J519" s="14" t="s">
        <v>35</v>
      </c>
      <c r="K519" s="316">
        <v>42000</v>
      </c>
      <c r="L519" s="57" t="s">
        <v>234</v>
      </c>
      <c r="M519" s="317"/>
      <c r="N519" s="318"/>
      <c r="O519" s="319"/>
      <c r="P519" s="320" t="s">
        <v>28</v>
      </c>
      <c r="Q519" s="320" t="s">
        <v>20</v>
      </c>
      <c r="R519" s="320"/>
      <c r="S519" s="320" t="s">
        <v>2639</v>
      </c>
      <c r="T519" s="320" t="s">
        <v>198</v>
      </c>
      <c r="U519" s="321" t="s">
        <v>2640</v>
      </c>
      <c r="V519" s="308"/>
      <c r="W519" s="308"/>
      <c r="X519" s="308"/>
      <c r="Y519" s="308"/>
      <c r="Z519" s="308"/>
      <c r="AA519" s="308"/>
      <c r="AB519" s="308"/>
      <c r="AC519" s="308"/>
      <c r="AD519" s="308"/>
      <c r="AE519" s="308"/>
      <c r="AF519" s="308"/>
      <c r="AG519" s="308"/>
      <c r="AH519" s="308"/>
      <c r="AI519" s="308"/>
      <c r="AJ519" s="308"/>
      <c r="AK519" s="308"/>
      <c r="AL519" s="308"/>
      <c r="AM519" s="308"/>
      <c r="AN519" s="308"/>
      <c r="AO519" s="308"/>
      <c r="AP519" s="308"/>
      <c r="AQ519" s="308"/>
      <c r="AR519" s="308"/>
      <c r="AS519" s="308"/>
      <c r="AT519" s="308"/>
      <c r="AU519" s="308"/>
      <c r="AV519" s="308"/>
      <c r="AW519" s="308"/>
      <c r="AX519" s="308"/>
      <c r="AY519" s="308"/>
      <c r="AZ519" s="308"/>
      <c r="BA519" s="308"/>
      <c r="BB519" s="308"/>
      <c r="BC519" s="308"/>
      <c r="BD519" s="308"/>
      <c r="BE519" s="308"/>
      <c r="BF519" s="308"/>
      <c r="BG519" s="308"/>
      <c r="BH519" s="308"/>
      <c r="BI519" s="308"/>
      <c r="BJ519" s="308"/>
      <c r="BK519" s="308"/>
      <c r="BL519" s="308"/>
      <c r="BM519" s="308"/>
      <c r="BN519" s="308"/>
      <c r="BO519" s="308"/>
      <c r="BP519" s="308"/>
      <c r="BQ519" s="308"/>
      <c r="BR519" s="308"/>
      <c r="BS519" s="308"/>
      <c r="BT519" s="308"/>
      <c r="BU519" s="308"/>
      <c r="BV519" s="308"/>
      <c r="BW519" s="308"/>
      <c r="BX519" s="308"/>
      <c r="BY519" s="308"/>
      <c r="BZ519" s="308"/>
      <c r="CA519" s="308"/>
      <c r="CB519" s="308"/>
      <c r="CC519" s="308"/>
      <c r="CD519" s="308"/>
      <c r="CE519" s="308"/>
      <c r="CF519" s="308"/>
      <c r="CG519" s="308"/>
      <c r="CH519" s="308"/>
      <c r="CI519" s="308"/>
      <c r="CJ519" s="308"/>
      <c r="CK519" s="308"/>
      <c r="CL519" s="308"/>
      <c r="CM519" s="308"/>
    </row>
    <row r="520" spans="1:91" s="306" customFormat="1" ht="14.25" hidden="1" customHeight="1" x14ac:dyDescent="0.25">
      <c r="A520" s="26">
        <v>45935</v>
      </c>
      <c r="B520" s="15" t="s">
        <v>21</v>
      </c>
      <c r="C520" s="15" t="s">
        <v>5474</v>
      </c>
      <c r="D520" s="15" t="s">
        <v>2641</v>
      </c>
      <c r="E520" s="15">
        <v>1099683774</v>
      </c>
      <c r="F520" s="15" t="s">
        <v>2642</v>
      </c>
      <c r="G520" s="15" t="s">
        <v>2643</v>
      </c>
      <c r="H520" s="15"/>
      <c r="I520" s="15" t="s">
        <v>2644</v>
      </c>
      <c r="J520" s="14" t="s">
        <v>35</v>
      </c>
      <c r="K520" s="316">
        <v>42000</v>
      </c>
      <c r="L520" s="57" t="s">
        <v>234</v>
      </c>
      <c r="M520" s="320"/>
      <c r="N520" s="316"/>
      <c r="O520" s="319"/>
      <c r="P520" s="320" t="s">
        <v>28</v>
      </c>
      <c r="Q520" s="320" t="s">
        <v>20</v>
      </c>
      <c r="R520" s="320"/>
      <c r="S520" s="320" t="s">
        <v>2645</v>
      </c>
      <c r="T520" s="320" t="s">
        <v>198</v>
      </c>
      <c r="U520" s="321" t="s">
        <v>2646</v>
      </c>
      <c r="V520" s="308"/>
      <c r="W520" s="308"/>
      <c r="X520" s="308"/>
      <c r="Y520" s="308"/>
      <c r="Z520" s="308"/>
      <c r="AA520" s="308"/>
      <c r="AB520" s="308"/>
      <c r="AC520" s="308"/>
      <c r="AD520" s="308"/>
      <c r="AE520" s="308"/>
      <c r="AF520" s="308"/>
      <c r="AG520" s="308"/>
      <c r="AH520" s="308"/>
      <c r="AI520" s="308"/>
      <c r="AJ520" s="308"/>
      <c r="AK520" s="308"/>
      <c r="AL520" s="308"/>
      <c r="AM520" s="308"/>
      <c r="AN520" s="308"/>
      <c r="AO520" s="308"/>
      <c r="AP520" s="308"/>
      <c r="AQ520" s="308"/>
      <c r="AR520" s="308"/>
      <c r="AS520" s="308"/>
      <c r="AT520" s="308"/>
      <c r="AU520" s="308"/>
      <c r="AV520" s="308"/>
      <c r="AW520" s="308"/>
      <c r="AX520" s="308"/>
      <c r="AY520" s="308"/>
      <c r="AZ520" s="308"/>
      <c r="BA520" s="308"/>
      <c r="BB520" s="308"/>
      <c r="BC520" s="308"/>
      <c r="BD520" s="308"/>
      <c r="BE520" s="308"/>
      <c r="BF520" s="308"/>
      <c r="BG520" s="308"/>
      <c r="BH520" s="308"/>
      <c r="BI520" s="308"/>
      <c r="BJ520" s="308"/>
      <c r="BK520" s="308"/>
      <c r="BL520" s="308"/>
      <c r="BM520" s="308"/>
      <c r="BN520" s="308"/>
      <c r="BO520" s="308"/>
      <c r="BP520" s="308"/>
      <c r="BQ520" s="308"/>
      <c r="BR520" s="308"/>
      <c r="BS520" s="308"/>
      <c r="BT520" s="308"/>
      <c r="BU520" s="308"/>
      <c r="BV520" s="308"/>
      <c r="BW520" s="308"/>
      <c r="BX520" s="308"/>
      <c r="BY520" s="308"/>
      <c r="BZ520" s="308"/>
      <c r="CA520" s="308"/>
      <c r="CB520" s="308"/>
      <c r="CC520" s="308"/>
      <c r="CD520" s="308"/>
      <c r="CE520" s="308"/>
      <c r="CF520" s="308"/>
      <c r="CG520" s="308"/>
      <c r="CH520" s="308"/>
      <c r="CI520" s="308"/>
      <c r="CJ520" s="308"/>
      <c r="CK520" s="308"/>
      <c r="CL520" s="308"/>
      <c r="CM520" s="308"/>
    </row>
    <row r="521" spans="1:91" s="306" customFormat="1" ht="14.25" hidden="1" customHeight="1" x14ac:dyDescent="0.25">
      <c r="A521" s="26">
        <v>45936</v>
      </c>
      <c r="B521" s="15" t="s">
        <v>21</v>
      </c>
      <c r="C521" s="15"/>
      <c r="D521" s="15" t="s">
        <v>2647</v>
      </c>
      <c r="E521" s="15">
        <v>1094956153</v>
      </c>
      <c r="F521" s="15" t="s">
        <v>2648</v>
      </c>
      <c r="G521" s="15" t="s">
        <v>2649</v>
      </c>
      <c r="H521" s="15"/>
      <c r="I521" s="15" t="s">
        <v>303</v>
      </c>
      <c r="J521" s="14" t="s">
        <v>35</v>
      </c>
      <c r="K521" s="316">
        <v>42000</v>
      </c>
      <c r="L521" s="57" t="s">
        <v>234</v>
      </c>
      <c r="M521" s="320"/>
      <c r="N521" s="316"/>
      <c r="O521" s="319"/>
      <c r="P521" s="320" t="s">
        <v>28</v>
      </c>
      <c r="Q521" s="320" t="s">
        <v>20</v>
      </c>
      <c r="R521" s="320"/>
      <c r="S521" s="320" t="s">
        <v>2650</v>
      </c>
      <c r="T521" s="320" t="s">
        <v>198</v>
      </c>
      <c r="U521" s="321" t="s">
        <v>2651</v>
      </c>
      <c r="V521" s="308"/>
      <c r="W521" s="308"/>
      <c r="X521" s="308"/>
      <c r="Y521" s="308"/>
      <c r="Z521" s="308"/>
      <c r="AA521" s="308"/>
      <c r="AB521" s="308"/>
      <c r="AC521" s="308"/>
      <c r="AD521" s="308"/>
      <c r="AE521" s="308"/>
      <c r="AF521" s="308"/>
      <c r="AG521" s="308"/>
      <c r="AH521" s="308"/>
      <c r="AI521" s="308"/>
      <c r="AJ521" s="308"/>
      <c r="AK521" s="308"/>
      <c r="AL521" s="308"/>
      <c r="AM521" s="308"/>
      <c r="AN521" s="308"/>
      <c r="AO521" s="308"/>
      <c r="AP521" s="308"/>
      <c r="AQ521" s="308"/>
      <c r="AR521" s="308"/>
      <c r="AS521" s="308"/>
      <c r="AT521" s="308"/>
      <c r="AU521" s="308"/>
      <c r="AV521" s="308"/>
      <c r="AW521" s="308"/>
      <c r="AX521" s="308"/>
      <c r="AY521" s="308"/>
      <c r="AZ521" s="308"/>
      <c r="BA521" s="308"/>
      <c r="BB521" s="308"/>
      <c r="BC521" s="308"/>
      <c r="BD521" s="308"/>
      <c r="BE521" s="308"/>
      <c r="BF521" s="308"/>
      <c r="BG521" s="308"/>
      <c r="BH521" s="308"/>
      <c r="BI521" s="308"/>
      <c r="BJ521" s="308"/>
      <c r="BK521" s="308"/>
      <c r="BL521" s="308"/>
      <c r="BM521" s="308"/>
      <c r="BN521" s="308"/>
      <c r="BO521" s="308"/>
      <c r="BP521" s="308"/>
      <c r="BQ521" s="308"/>
      <c r="BR521" s="308"/>
      <c r="BS521" s="308"/>
      <c r="BT521" s="308"/>
      <c r="BU521" s="308"/>
      <c r="BV521" s="308"/>
      <c r="BW521" s="308"/>
      <c r="BX521" s="308"/>
      <c r="BY521" s="308"/>
      <c r="BZ521" s="308"/>
      <c r="CA521" s="308"/>
      <c r="CB521" s="308"/>
      <c r="CC521" s="308"/>
      <c r="CD521" s="308"/>
      <c r="CE521" s="308"/>
      <c r="CF521" s="308"/>
      <c r="CG521" s="308"/>
      <c r="CH521" s="308"/>
      <c r="CI521" s="308"/>
      <c r="CJ521" s="308"/>
      <c r="CK521" s="308"/>
      <c r="CL521" s="308"/>
      <c r="CM521" s="308"/>
    </row>
    <row r="522" spans="1:91" s="306" customFormat="1" ht="14.25" hidden="1" customHeight="1" x14ac:dyDescent="0.25">
      <c r="A522" s="26">
        <v>45944</v>
      </c>
      <c r="B522" s="15" t="s">
        <v>21</v>
      </c>
      <c r="C522" s="15"/>
      <c r="D522" s="15" t="s">
        <v>2652</v>
      </c>
      <c r="E522" s="15">
        <v>1094945650</v>
      </c>
      <c r="F522" s="15" t="s">
        <v>2653</v>
      </c>
      <c r="G522" s="15" t="s">
        <v>2654</v>
      </c>
      <c r="H522" s="15"/>
      <c r="I522" s="15" t="s">
        <v>2655</v>
      </c>
      <c r="J522" s="14" t="s">
        <v>35</v>
      </c>
      <c r="K522" s="316">
        <v>42000</v>
      </c>
      <c r="L522" s="57" t="s">
        <v>234</v>
      </c>
      <c r="M522" s="317"/>
      <c r="N522" s="318"/>
      <c r="O522" s="319"/>
      <c r="P522" s="320" t="s">
        <v>28</v>
      </c>
      <c r="Q522" s="320" t="s">
        <v>20</v>
      </c>
      <c r="R522" s="320"/>
      <c r="S522" s="320" t="s">
        <v>2656</v>
      </c>
      <c r="T522" s="320"/>
      <c r="U522" s="321" t="s">
        <v>2657</v>
      </c>
      <c r="V522" s="308"/>
      <c r="W522" s="308"/>
      <c r="X522" s="308"/>
      <c r="Y522" s="308"/>
      <c r="Z522" s="308"/>
      <c r="AA522" s="308"/>
      <c r="AB522" s="308"/>
      <c r="AC522" s="308"/>
      <c r="AD522" s="308"/>
      <c r="AE522" s="308"/>
      <c r="AF522" s="308"/>
      <c r="AG522" s="308"/>
      <c r="AH522" s="308"/>
      <c r="AI522" s="308"/>
      <c r="AJ522" s="308"/>
      <c r="AK522" s="308"/>
      <c r="AL522" s="308"/>
      <c r="AM522" s="308"/>
      <c r="AN522" s="308"/>
      <c r="AO522" s="308"/>
      <c r="AP522" s="308"/>
      <c r="AQ522" s="308"/>
      <c r="AR522" s="308"/>
      <c r="AS522" s="308"/>
      <c r="AT522" s="308"/>
      <c r="AU522" s="308"/>
      <c r="AV522" s="308"/>
      <c r="AW522" s="308"/>
      <c r="AX522" s="308"/>
      <c r="AY522" s="308"/>
      <c r="AZ522" s="308"/>
      <c r="BA522" s="308"/>
      <c r="BB522" s="308"/>
      <c r="BC522" s="308"/>
      <c r="BD522" s="308"/>
      <c r="BE522" s="308"/>
      <c r="BF522" s="308"/>
      <c r="BG522" s="308"/>
      <c r="BH522" s="308"/>
      <c r="BI522" s="308"/>
      <c r="BJ522" s="308"/>
      <c r="BK522" s="308"/>
      <c r="BL522" s="308"/>
      <c r="BM522" s="308"/>
      <c r="BN522" s="308"/>
      <c r="BO522" s="308"/>
      <c r="BP522" s="308"/>
      <c r="BQ522" s="308"/>
      <c r="BR522" s="308"/>
      <c r="BS522" s="308"/>
      <c r="BT522" s="308"/>
      <c r="BU522" s="308"/>
      <c r="BV522" s="308"/>
      <c r="BW522" s="308"/>
      <c r="BX522" s="308"/>
      <c r="BY522" s="308"/>
      <c r="BZ522" s="308"/>
      <c r="CA522" s="308"/>
      <c r="CB522" s="308"/>
      <c r="CC522" s="308"/>
      <c r="CD522" s="308"/>
      <c r="CE522" s="308"/>
      <c r="CF522" s="308"/>
      <c r="CG522" s="308"/>
      <c r="CH522" s="308"/>
      <c r="CI522" s="308"/>
      <c r="CJ522" s="308"/>
      <c r="CK522" s="308"/>
      <c r="CL522" s="308"/>
      <c r="CM522" s="308"/>
    </row>
    <row r="523" spans="1:91" s="306" customFormat="1" ht="14.25" hidden="1" customHeight="1" x14ac:dyDescent="0.25">
      <c r="A523" s="26">
        <v>45946</v>
      </c>
      <c r="B523" s="15" t="s">
        <v>21</v>
      </c>
      <c r="C523" s="15"/>
      <c r="D523" s="15" t="s">
        <v>2658</v>
      </c>
      <c r="E523" s="15">
        <v>24674726</v>
      </c>
      <c r="F523" s="15" t="s">
        <v>2659</v>
      </c>
      <c r="G523" s="15" t="s">
        <v>308</v>
      </c>
      <c r="H523" s="15"/>
      <c r="I523" s="15" t="s">
        <v>2660</v>
      </c>
      <c r="J523" s="14" t="s">
        <v>35</v>
      </c>
      <c r="K523" s="316">
        <v>42000</v>
      </c>
      <c r="L523" s="57" t="s">
        <v>234</v>
      </c>
      <c r="M523" s="317"/>
      <c r="N523" s="318"/>
      <c r="O523" s="319"/>
      <c r="P523" s="320" t="s">
        <v>28</v>
      </c>
      <c r="Q523" s="320" t="s">
        <v>20</v>
      </c>
      <c r="R523" s="320"/>
      <c r="S523" s="320" t="s">
        <v>2661</v>
      </c>
      <c r="T523" s="320" t="s">
        <v>36</v>
      </c>
      <c r="U523" s="321" t="s">
        <v>2662</v>
      </c>
      <c r="V523" s="308"/>
      <c r="W523" s="308"/>
      <c r="X523" s="308"/>
      <c r="Y523" s="308"/>
      <c r="Z523" s="308"/>
      <c r="AA523" s="308"/>
      <c r="AB523" s="308"/>
      <c r="AC523" s="308"/>
      <c r="AD523" s="308"/>
      <c r="AE523" s="308"/>
      <c r="AF523" s="308"/>
      <c r="AG523" s="308"/>
      <c r="AH523" s="308"/>
      <c r="AI523" s="308"/>
      <c r="AJ523" s="308"/>
      <c r="AK523" s="308"/>
      <c r="AL523" s="308"/>
      <c r="AM523" s="308"/>
      <c r="AN523" s="308"/>
      <c r="AO523" s="308"/>
      <c r="AP523" s="308"/>
      <c r="AQ523" s="308"/>
      <c r="AR523" s="308"/>
      <c r="AS523" s="308"/>
      <c r="AT523" s="308"/>
      <c r="AU523" s="308"/>
      <c r="AV523" s="308"/>
      <c r="AW523" s="308"/>
      <c r="AX523" s="308"/>
      <c r="AY523" s="308"/>
      <c r="AZ523" s="308"/>
      <c r="BA523" s="308"/>
      <c r="BB523" s="308"/>
      <c r="BC523" s="308"/>
      <c r="BD523" s="308"/>
      <c r="BE523" s="308"/>
      <c r="BF523" s="308"/>
      <c r="BG523" s="308"/>
      <c r="BH523" s="308"/>
      <c r="BI523" s="308"/>
      <c r="BJ523" s="308"/>
      <c r="BK523" s="308"/>
      <c r="BL523" s="308"/>
      <c r="BM523" s="308"/>
      <c r="BN523" s="308"/>
      <c r="BO523" s="308"/>
      <c r="BP523" s="308"/>
      <c r="BQ523" s="308"/>
      <c r="BR523" s="308"/>
      <c r="BS523" s="308"/>
      <c r="BT523" s="308"/>
      <c r="BU523" s="308"/>
      <c r="BV523" s="308"/>
      <c r="BW523" s="308"/>
      <c r="BX523" s="308"/>
      <c r="BY523" s="308"/>
      <c r="BZ523" s="308"/>
      <c r="CA523" s="308"/>
      <c r="CB523" s="308"/>
      <c r="CC523" s="308"/>
      <c r="CD523" s="308"/>
      <c r="CE523" s="308"/>
      <c r="CF523" s="308"/>
      <c r="CG523" s="308"/>
      <c r="CH523" s="308"/>
      <c r="CI523" s="308"/>
      <c r="CJ523" s="308"/>
      <c r="CK523" s="308"/>
      <c r="CL523" s="308"/>
      <c r="CM523" s="308"/>
    </row>
    <row r="524" spans="1:91" s="306" customFormat="1" ht="14.25" hidden="1" customHeight="1" x14ac:dyDescent="0.25">
      <c r="A524" s="26">
        <v>45951</v>
      </c>
      <c r="B524" s="15" t="s">
        <v>21</v>
      </c>
      <c r="C524" s="15"/>
      <c r="D524" s="15" t="s">
        <v>2667</v>
      </c>
      <c r="E524" s="15">
        <v>24675643</v>
      </c>
      <c r="F524" s="15" t="s">
        <v>2668</v>
      </c>
      <c r="G524" s="15" t="s">
        <v>2669</v>
      </c>
      <c r="H524" s="15"/>
      <c r="I524" s="15" t="s">
        <v>2670</v>
      </c>
      <c r="J524" s="14" t="s">
        <v>35</v>
      </c>
      <c r="K524" s="316">
        <v>42000</v>
      </c>
      <c r="L524" s="57" t="s">
        <v>234</v>
      </c>
      <c r="M524" s="317"/>
      <c r="N524" s="318"/>
      <c r="O524" s="319"/>
      <c r="P524" s="320" t="s">
        <v>28</v>
      </c>
      <c r="Q524" s="320" t="s">
        <v>20</v>
      </c>
      <c r="R524" s="320"/>
      <c r="S524" s="320" t="s">
        <v>2671</v>
      </c>
      <c r="T524" s="320" t="s">
        <v>67</v>
      </c>
      <c r="U524" s="321" t="s">
        <v>2672</v>
      </c>
      <c r="V524" s="308"/>
      <c r="W524" s="308"/>
      <c r="X524" s="308"/>
      <c r="Y524" s="308"/>
      <c r="Z524" s="308"/>
      <c r="AA524" s="308"/>
      <c r="AB524" s="308"/>
      <c r="AC524" s="308"/>
      <c r="AD524" s="308"/>
      <c r="AE524" s="308"/>
      <c r="AF524" s="308"/>
      <c r="AG524" s="308"/>
      <c r="AH524" s="308"/>
      <c r="AI524" s="308"/>
      <c r="AJ524" s="308"/>
      <c r="AK524" s="308"/>
      <c r="AL524" s="308"/>
      <c r="AM524" s="308"/>
      <c r="AN524" s="308"/>
      <c r="AO524" s="308"/>
      <c r="AP524" s="308"/>
      <c r="AQ524" s="308"/>
      <c r="AR524" s="308"/>
      <c r="AS524" s="308"/>
      <c r="AT524" s="308"/>
      <c r="AU524" s="308"/>
      <c r="AV524" s="308"/>
      <c r="AW524" s="308"/>
      <c r="AX524" s="308"/>
      <c r="AY524" s="308"/>
      <c r="AZ524" s="308"/>
      <c r="BA524" s="308"/>
      <c r="BB524" s="308"/>
      <c r="BC524" s="308"/>
      <c r="BD524" s="308"/>
      <c r="BE524" s="308"/>
      <c r="BF524" s="308"/>
      <c r="BG524" s="308"/>
      <c r="BH524" s="308"/>
      <c r="BI524" s="308"/>
      <c r="BJ524" s="308"/>
      <c r="BK524" s="308"/>
      <c r="BL524" s="308"/>
      <c r="BM524" s="308"/>
      <c r="BN524" s="308"/>
      <c r="BO524" s="308"/>
      <c r="BP524" s="308"/>
      <c r="BQ524" s="308"/>
      <c r="BR524" s="308"/>
      <c r="BS524" s="308"/>
      <c r="BT524" s="308"/>
      <c r="BU524" s="308"/>
      <c r="BV524" s="308"/>
      <c r="BW524" s="308"/>
      <c r="BX524" s="308"/>
      <c r="BY524" s="308"/>
      <c r="BZ524" s="308"/>
      <c r="CA524" s="308"/>
      <c r="CB524" s="308"/>
      <c r="CC524" s="308"/>
      <c r="CD524" s="308"/>
      <c r="CE524" s="308"/>
      <c r="CF524" s="308"/>
      <c r="CG524" s="308"/>
      <c r="CH524" s="308"/>
      <c r="CI524" s="308"/>
      <c r="CJ524" s="308"/>
      <c r="CK524" s="308"/>
      <c r="CL524" s="308"/>
      <c r="CM524" s="308"/>
    </row>
    <row r="525" spans="1:91" s="306" customFormat="1" ht="14.25" hidden="1" customHeight="1" x14ac:dyDescent="0.25">
      <c r="A525" s="26">
        <v>45952</v>
      </c>
      <c r="B525" s="15" t="s">
        <v>400</v>
      </c>
      <c r="C525" s="15"/>
      <c r="D525" s="15" t="s">
        <v>2673</v>
      </c>
      <c r="E525" s="15">
        <v>1099683705</v>
      </c>
      <c r="F525" s="15" t="s">
        <v>2674</v>
      </c>
      <c r="G525" s="15" t="s">
        <v>2675</v>
      </c>
      <c r="H525" s="15"/>
      <c r="I525" s="15"/>
      <c r="J525" s="14" t="s">
        <v>35</v>
      </c>
      <c r="K525" s="316">
        <v>42000</v>
      </c>
      <c r="L525" s="57" t="s">
        <v>234</v>
      </c>
      <c r="M525" s="317"/>
      <c r="N525" s="318"/>
      <c r="O525" s="319"/>
      <c r="P525" s="320" t="s">
        <v>28</v>
      </c>
      <c r="Q525" s="320" t="s">
        <v>20</v>
      </c>
      <c r="R525" s="320"/>
      <c r="S525" s="320" t="s">
        <v>2676</v>
      </c>
      <c r="T525" s="320"/>
      <c r="U525" s="321" t="s">
        <v>2677</v>
      </c>
      <c r="V525" s="308"/>
      <c r="W525" s="308"/>
      <c r="X525" s="308"/>
      <c r="Y525" s="308"/>
      <c r="Z525" s="308"/>
      <c r="AA525" s="308"/>
      <c r="AB525" s="308"/>
      <c r="AC525" s="308"/>
      <c r="AD525" s="308"/>
      <c r="AE525" s="308"/>
      <c r="AF525" s="308"/>
      <c r="AG525" s="308"/>
      <c r="AH525" s="308"/>
      <c r="AI525" s="308"/>
      <c r="AJ525" s="308"/>
      <c r="AK525" s="308"/>
      <c r="AL525" s="308"/>
      <c r="AM525" s="308"/>
      <c r="AN525" s="308"/>
      <c r="AO525" s="308"/>
      <c r="AP525" s="308"/>
      <c r="AQ525" s="308"/>
      <c r="AR525" s="308"/>
      <c r="AS525" s="308"/>
      <c r="AT525" s="308"/>
      <c r="AU525" s="308"/>
      <c r="AV525" s="308"/>
      <c r="AW525" s="308"/>
      <c r="AX525" s="308"/>
      <c r="AY525" s="308"/>
      <c r="AZ525" s="308"/>
      <c r="BA525" s="308"/>
      <c r="BB525" s="308"/>
      <c r="BC525" s="308"/>
      <c r="BD525" s="308"/>
      <c r="BE525" s="308"/>
      <c r="BF525" s="308"/>
      <c r="BG525" s="308"/>
      <c r="BH525" s="308"/>
      <c r="BI525" s="308"/>
      <c r="BJ525" s="308"/>
      <c r="BK525" s="308"/>
      <c r="BL525" s="308"/>
      <c r="BM525" s="308"/>
      <c r="BN525" s="308"/>
      <c r="BO525" s="308"/>
      <c r="BP525" s="308"/>
      <c r="BQ525" s="308"/>
      <c r="BR525" s="308"/>
      <c r="BS525" s="308"/>
      <c r="BT525" s="308"/>
      <c r="BU525" s="308"/>
      <c r="BV525" s="308"/>
      <c r="BW525" s="308"/>
      <c r="BX525" s="308"/>
      <c r="BY525" s="308"/>
      <c r="BZ525" s="308"/>
      <c r="CA525" s="308"/>
      <c r="CB525" s="308"/>
      <c r="CC525" s="308"/>
      <c r="CD525" s="308"/>
      <c r="CE525" s="308"/>
      <c r="CF525" s="308"/>
      <c r="CG525" s="308"/>
      <c r="CH525" s="308"/>
      <c r="CI525" s="308"/>
      <c r="CJ525" s="308"/>
      <c r="CK525" s="308"/>
      <c r="CL525" s="308"/>
      <c r="CM525" s="308"/>
    </row>
    <row r="526" spans="1:91" s="306" customFormat="1" ht="14.25" hidden="1" customHeight="1" x14ac:dyDescent="0.25">
      <c r="A526" s="26">
        <v>45953</v>
      </c>
      <c r="B526" s="15" t="s">
        <v>21</v>
      </c>
      <c r="C526" s="15"/>
      <c r="D526" s="15" t="s">
        <v>2678</v>
      </c>
      <c r="E526" s="15">
        <v>33818507</v>
      </c>
      <c r="F526" s="15" t="s">
        <v>2679</v>
      </c>
      <c r="G526" s="15" t="s">
        <v>2680</v>
      </c>
      <c r="H526" s="15"/>
      <c r="I526" s="15"/>
      <c r="J526" s="14" t="s">
        <v>448</v>
      </c>
      <c r="K526" s="316">
        <v>102000</v>
      </c>
      <c r="L526" s="57" t="s">
        <v>234</v>
      </c>
      <c r="M526" s="317"/>
      <c r="N526" s="318"/>
      <c r="O526" s="319"/>
      <c r="P526" s="320" t="s">
        <v>28</v>
      </c>
      <c r="Q526" s="320" t="s">
        <v>20</v>
      </c>
      <c r="R526" s="320"/>
      <c r="S526" s="320" t="s">
        <v>2681</v>
      </c>
      <c r="T526" s="320" t="s">
        <v>30</v>
      </c>
      <c r="U526" s="321" t="s">
        <v>2682</v>
      </c>
      <c r="V526" s="308"/>
      <c r="W526" s="308"/>
      <c r="X526" s="308"/>
      <c r="Y526" s="308"/>
      <c r="Z526" s="308"/>
      <c r="AA526" s="308"/>
      <c r="AB526" s="308"/>
      <c r="AC526" s="308"/>
      <c r="AD526" s="308"/>
      <c r="AE526" s="308"/>
      <c r="AF526" s="308"/>
      <c r="AG526" s="308"/>
      <c r="AH526" s="308"/>
      <c r="AI526" s="308"/>
      <c r="AJ526" s="308"/>
      <c r="AK526" s="308"/>
      <c r="AL526" s="308"/>
      <c r="AM526" s="308"/>
      <c r="AN526" s="308"/>
      <c r="AO526" s="308"/>
      <c r="AP526" s="308"/>
      <c r="AQ526" s="308"/>
      <c r="AR526" s="308"/>
      <c r="AS526" s="308"/>
      <c r="AT526" s="308"/>
      <c r="AU526" s="308"/>
      <c r="AV526" s="308"/>
      <c r="AW526" s="308"/>
      <c r="AX526" s="308"/>
      <c r="AY526" s="308"/>
      <c r="AZ526" s="308"/>
      <c r="BA526" s="308"/>
      <c r="BB526" s="308"/>
      <c r="BC526" s="308"/>
      <c r="BD526" s="308"/>
      <c r="BE526" s="308"/>
      <c r="BF526" s="308"/>
      <c r="BG526" s="308"/>
      <c r="BH526" s="308"/>
      <c r="BI526" s="308"/>
      <c r="BJ526" s="308"/>
      <c r="BK526" s="308"/>
      <c r="BL526" s="308"/>
      <c r="BM526" s="308"/>
      <c r="BN526" s="308"/>
      <c r="BO526" s="308"/>
      <c r="BP526" s="308"/>
      <c r="BQ526" s="308"/>
      <c r="BR526" s="308"/>
      <c r="BS526" s="308"/>
      <c r="BT526" s="308"/>
      <c r="BU526" s="308"/>
      <c r="BV526" s="308"/>
      <c r="BW526" s="308"/>
      <c r="BX526" s="308"/>
      <c r="BY526" s="308"/>
      <c r="BZ526" s="308"/>
      <c r="CA526" s="308"/>
      <c r="CB526" s="308"/>
      <c r="CC526" s="308"/>
      <c r="CD526" s="308"/>
      <c r="CE526" s="308"/>
      <c r="CF526" s="308"/>
      <c r="CG526" s="308"/>
      <c r="CH526" s="308"/>
      <c r="CI526" s="308"/>
      <c r="CJ526" s="308"/>
      <c r="CK526" s="308"/>
      <c r="CL526" s="308"/>
      <c r="CM526" s="308"/>
    </row>
    <row r="527" spans="1:91" s="306" customFormat="1" ht="14.25" hidden="1" customHeight="1" x14ac:dyDescent="0.25">
      <c r="A527" s="26">
        <v>45953</v>
      </c>
      <c r="B527" s="15" t="s">
        <v>21</v>
      </c>
      <c r="C527" s="15"/>
      <c r="D527" s="15" t="s">
        <v>2683</v>
      </c>
      <c r="E527" s="15">
        <v>9801683</v>
      </c>
      <c r="F527" s="15" t="s">
        <v>2684</v>
      </c>
      <c r="G527" s="15" t="s">
        <v>2685</v>
      </c>
      <c r="H527" s="15"/>
      <c r="I527" s="15" t="s">
        <v>2686</v>
      </c>
      <c r="J527" s="14" t="s">
        <v>35</v>
      </c>
      <c r="K527" s="316">
        <v>42000</v>
      </c>
      <c r="L527" s="57" t="s">
        <v>234</v>
      </c>
      <c r="M527" s="317"/>
      <c r="N527" s="318"/>
      <c r="O527" s="319"/>
      <c r="P527" s="320" t="s">
        <v>28</v>
      </c>
      <c r="Q527" s="320" t="s">
        <v>20</v>
      </c>
      <c r="R527" s="320"/>
      <c r="S527" s="320" t="s">
        <v>2687</v>
      </c>
      <c r="T527" s="320" t="s">
        <v>43</v>
      </c>
      <c r="U527" s="321" t="s">
        <v>2688</v>
      </c>
      <c r="V527" s="308"/>
      <c r="W527" s="308"/>
      <c r="X527" s="308"/>
      <c r="Y527" s="308"/>
      <c r="Z527" s="308"/>
      <c r="AA527" s="308"/>
      <c r="AB527" s="308"/>
      <c r="AC527" s="308"/>
      <c r="AD527" s="308"/>
      <c r="AE527" s="308"/>
      <c r="AF527" s="308"/>
      <c r="AG527" s="308"/>
      <c r="AH527" s="308"/>
      <c r="AI527" s="308"/>
      <c r="AJ527" s="308"/>
      <c r="AK527" s="308"/>
      <c r="AL527" s="308"/>
      <c r="AM527" s="308"/>
      <c r="AN527" s="308"/>
      <c r="AO527" s="308"/>
      <c r="AP527" s="308"/>
      <c r="AQ527" s="308"/>
      <c r="AR527" s="308"/>
      <c r="AS527" s="308"/>
      <c r="AT527" s="308"/>
      <c r="AU527" s="308"/>
      <c r="AV527" s="308"/>
      <c r="AW527" s="308"/>
      <c r="AX527" s="308"/>
      <c r="AY527" s="308"/>
      <c r="AZ527" s="308"/>
      <c r="BA527" s="308"/>
      <c r="BB527" s="308"/>
      <c r="BC527" s="308"/>
      <c r="BD527" s="308"/>
      <c r="BE527" s="308"/>
      <c r="BF527" s="308"/>
      <c r="BG527" s="308"/>
      <c r="BH527" s="308"/>
      <c r="BI527" s="308"/>
      <c r="BJ527" s="308"/>
      <c r="BK527" s="308"/>
      <c r="BL527" s="308"/>
      <c r="BM527" s="308"/>
      <c r="BN527" s="308"/>
      <c r="BO527" s="308"/>
      <c r="BP527" s="308"/>
      <c r="BQ527" s="308"/>
      <c r="BR527" s="308"/>
      <c r="BS527" s="308"/>
      <c r="BT527" s="308"/>
      <c r="BU527" s="308"/>
      <c r="BV527" s="308"/>
      <c r="BW527" s="308"/>
      <c r="BX527" s="308"/>
      <c r="BY527" s="308"/>
      <c r="BZ527" s="308"/>
      <c r="CA527" s="308"/>
      <c r="CB527" s="308"/>
      <c r="CC527" s="308"/>
      <c r="CD527" s="308"/>
      <c r="CE527" s="308"/>
      <c r="CF527" s="308"/>
      <c r="CG527" s="308"/>
      <c r="CH527" s="308"/>
      <c r="CI527" s="308"/>
      <c r="CJ527" s="308"/>
      <c r="CK527" s="308"/>
      <c r="CL527" s="308"/>
      <c r="CM527" s="308"/>
    </row>
    <row r="528" spans="1:91" s="306" customFormat="1" ht="14.25" hidden="1" customHeight="1" x14ac:dyDescent="0.25">
      <c r="A528" s="26">
        <v>45954</v>
      </c>
      <c r="B528" s="15" t="s">
        <v>21</v>
      </c>
      <c r="C528" s="15"/>
      <c r="D528" s="15" t="s">
        <v>2689</v>
      </c>
      <c r="E528" s="15">
        <v>24672166</v>
      </c>
      <c r="F528" s="15" t="s">
        <v>2690</v>
      </c>
      <c r="G528" s="15" t="s">
        <v>2691</v>
      </c>
      <c r="H528" s="15"/>
      <c r="I528" s="15"/>
      <c r="J528" s="14" t="s">
        <v>35</v>
      </c>
      <c r="K528" s="316">
        <v>42000</v>
      </c>
      <c r="L528" s="57" t="s">
        <v>234</v>
      </c>
      <c r="M528" s="317"/>
      <c r="N528" s="318"/>
      <c r="O528" s="319"/>
      <c r="P528" s="320" t="s">
        <v>28</v>
      </c>
      <c r="Q528" s="320" t="s">
        <v>20</v>
      </c>
      <c r="R528" s="320"/>
      <c r="S528" s="320" t="s">
        <v>2692</v>
      </c>
      <c r="T528" s="320" t="s">
        <v>2693</v>
      </c>
      <c r="U528" s="321" t="s">
        <v>2694</v>
      </c>
      <c r="V528" s="308"/>
      <c r="W528" s="308"/>
      <c r="X528" s="308"/>
      <c r="Y528" s="308"/>
      <c r="Z528" s="308"/>
      <c r="AA528" s="308"/>
      <c r="AB528" s="308"/>
      <c r="AC528" s="308"/>
      <c r="AD528" s="308"/>
      <c r="AE528" s="308"/>
      <c r="AF528" s="308"/>
      <c r="AG528" s="308"/>
      <c r="AH528" s="308"/>
      <c r="AI528" s="308"/>
      <c r="AJ528" s="308"/>
      <c r="AK528" s="308"/>
      <c r="AL528" s="308"/>
      <c r="AM528" s="308"/>
      <c r="AN528" s="308"/>
      <c r="AO528" s="308"/>
      <c r="AP528" s="308"/>
      <c r="AQ528" s="308"/>
      <c r="AR528" s="308"/>
      <c r="AS528" s="308"/>
      <c r="AT528" s="308"/>
      <c r="AU528" s="308"/>
      <c r="AV528" s="308"/>
      <c r="AW528" s="308"/>
      <c r="AX528" s="308"/>
      <c r="AY528" s="308"/>
      <c r="AZ528" s="308"/>
      <c r="BA528" s="308"/>
      <c r="BB528" s="308"/>
      <c r="BC528" s="308"/>
      <c r="BD528" s="308"/>
      <c r="BE528" s="308"/>
      <c r="BF528" s="308"/>
      <c r="BG528" s="308"/>
      <c r="BH528" s="308"/>
      <c r="BI528" s="308"/>
      <c r="BJ528" s="308"/>
      <c r="BK528" s="308"/>
      <c r="BL528" s="308"/>
      <c r="BM528" s="308"/>
      <c r="BN528" s="308"/>
      <c r="BO528" s="308"/>
      <c r="BP528" s="308"/>
      <c r="BQ528" s="308"/>
      <c r="BR528" s="308"/>
      <c r="BS528" s="308"/>
      <c r="BT528" s="308"/>
      <c r="BU528" s="308"/>
      <c r="BV528" s="308"/>
      <c r="BW528" s="308"/>
      <c r="BX528" s="308"/>
      <c r="BY528" s="308"/>
      <c r="BZ528" s="308"/>
      <c r="CA528" s="308"/>
      <c r="CB528" s="308"/>
      <c r="CC528" s="308"/>
      <c r="CD528" s="308"/>
      <c r="CE528" s="308"/>
      <c r="CF528" s="308"/>
      <c r="CG528" s="308"/>
      <c r="CH528" s="308"/>
      <c r="CI528" s="308"/>
      <c r="CJ528" s="308"/>
      <c r="CK528" s="308"/>
      <c r="CL528" s="308"/>
      <c r="CM528" s="308"/>
    </row>
    <row r="529" spans="1:91" s="306" customFormat="1" ht="14.25" hidden="1" customHeight="1" x14ac:dyDescent="0.25">
      <c r="A529" s="26">
        <v>45954</v>
      </c>
      <c r="B529" s="15" t="s">
        <v>21</v>
      </c>
      <c r="C529" s="15"/>
      <c r="D529" s="15" t="s">
        <v>2695</v>
      </c>
      <c r="E529" s="15">
        <v>25364238</v>
      </c>
      <c r="F529" s="15" t="s">
        <v>2696</v>
      </c>
      <c r="G529" s="15" t="s">
        <v>2697</v>
      </c>
      <c r="H529" s="15"/>
      <c r="I529" s="15"/>
      <c r="J529" s="15" t="s">
        <v>188</v>
      </c>
      <c r="K529" s="316">
        <v>57000</v>
      </c>
      <c r="L529" s="57" t="s">
        <v>234</v>
      </c>
      <c r="M529" s="317"/>
      <c r="N529" s="318"/>
      <c r="O529" s="319"/>
      <c r="P529" s="320" t="s">
        <v>28</v>
      </c>
      <c r="Q529" s="320" t="s">
        <v>20</v>
      </c>
      <c r="R529" s="320"/>
      <c r="S529" s="320" t="s">
        <v>2698</v>
      </c>
      <c r="T529" s="320" t="s">
        <v>384</v>
      </c>
      <c r="U529" s="321" t="s">
        <v>2699</v>
      </c>
      <c r="V529" s="308"/>
      <c r="W529" s="308"/>
      <c r="X529" s="308"/>
      <c r="Y529" s="308"/>
      <c r="Z529" s="308"/>
      <c r="AA529" s="308"/>
      <c r="AB529" s="308"/>
      <c r="AC529" s="308"/>
      <c r="AD529" s="308"/>
      <c r="AE529" s="308"/>
      <c r="AF529" s="308"/>
      <c r="AG529" s="308"/>
      <c r="AH529" s="308"/>
      <c r="AI529" s="308"/>
      <c r="AJ529" s="308"/>
      <c r="AK529" s="308"/>
      <c r="AL529" s="308"/>
      <c r="AM529" s="308"/>
      <c r="AN529" s="308"/>
      <c r="AO529" s="308"/>
      <c r="AP529" s="308"/>
      <c r="AQ529" s="308"/>
      <c r="AR529" s="308"/>
      <c r="AS529" s="308"/>
      <c r="AT529" s="308"/>
      <c r="AU529" s="308"/>
      <c r="AV529" s="308"/>
      <c r="AW529" s="308"/>
      <c r="AX529" s="308"/>
      <c r="AY529" s="308"/>
      <c r="AZ529" s="308"/>
      <c r="BA529" s="308"/>
      <c r="BB529" s="308"/>
      <c r="BC529" s="308"/>
      <c r="BD529" s="308"/>
      <c r="BE529" s="308"/>
      <c r="BF529" s="308"/>
      <c r="BG529" s="308"/>
      <c r="BH529" s="308"/>
      <c r="BI529" s="308"/>
      <c r="BJ529" s="308"/>
      <c r="BK529" s="308"/>
      <c r="BL529" s="308"/>
      <c r="BM529" s="308"/>
      <c r="BN529" s="308"/>
      <c r="BO529" s="308"/>
      <c r="BP529" s="308"/>
      <c r="BQ529" s="308"/>
      <c r="BR529" s="308"/>
      <c r="BS529" s="308"/>
      <c r="BT529" s="308"/>
      <c r="BU529" s="308"/>
      <c r="BV529" s="308"/>
      <c r="BW529" s="308"/>
      <c r="BX529" s="308"/>
      <c r="BY529" s="308"/>
      <c r="BZ529" s="308"/>
      <c r="CA529" s="308"/>
      <c r="CB529" s="308"/>
      <c r="CC529" s="308"/>
      <c r="CD529" s="308"/>
      <c r="CE529" s="308"/>
      <c r="CF529" s="308"/>
      <c r="CG529" s="308"/>
      <c r="CH529" s="308"/>
      <c r="CI529" s="308"/>
      <c r="CJ529" s="308"/>
      <c r="CK529" s="308"/>
      <c r="CL529" s="308"/>
      <c r="CM529" s="308"/>
    </row>
    <row r="530" spans="1:91" ht="14.25" hidden="1" customHeight="1" x14ac:dyDescent="0.25">
      <c r="A530" s="26">
        <v>45961</v>
      </c>
      <c r="B530" s="15" t="s">
        <v>21</v>
      </c>
      <c r="C530" s="15"/>
      <c r="D530" s="15" t="s">
        <v>2704</v>
      </c>
      <c r="E530" s="15">
        <v>890003084</v>
      </c>
      <c r="F530" s="15" t="s">
        <v>2705</v>
      </c>
      <c r="G530" s="15" t="s">
        <v>2706</v>
      </c>
      <c r="H530" s="15"/>
      <c r="I530" s="15" t="s">
        <v>2707</v>
      </c>
      <c r="J530" s="14" t="s">
        <v>35</v>
      </c>
      <c r="K530" s="7">
        <v>49980</v>
      </c>
      <c r="L530" s="57" t="s">
        <v>234</v>
      </c>
      <c r="M530" s="19"/>
      <c r="N530" s="20"/>
      <c r="O530" s="21"/>
      <c r="P530" s="14" t="s">
        <v>28</v>
      </c>
      <c r="Q530" s="14" t="s">
        <v>20</v>
      </c>
      <c r="R530" s="14"/>
      <c r="S530" s="14" t="s">
        <v>2708</v>
      </c>
      <c r="T530" s="14"/>
      <c r="U530" s="22" t="s">
        <v>2709</v>
      </c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</row>
    <row r="531" spans="1:91" ht="14.25" hidden="1" customHeight="1" x14ac:dyDescent="0.25">
      <c r="A531" s="26">
        <v>45961</v>
      </c>
      <c r="B531" s="15" t="s">
        <v>21</v>
      </c>
      <c r="C531" s="15"/>
      <c r="D531" s="15" t="s">
        <v>2710</v>
      </c>
      <c r="E531" s="15">
        <v>1099682727</v>
      </c>
      <c r="F531" s="15" t="s">
        <v>2711</v>
      </c>
      <c r="G531" s="15" t="s">
        <v>2712</v>
      </c>
      <c r="H531" s="15"/>
      <c r="I531" s="15" t="s">
        <v>2713</v>
      </c>
      <c r="J531" s="14" t="s">
        <v>35</v>
      </c>
      <c r="K531" s="7">
        <v>42000</v>
      </c>
      <c r="L531" s="57" t="s">
        <v>234</v>
      </c>
      <c r="M531" s="19"/>
      <c r="N531" s="20"/>
      <c r="O531" s="21"/>
      <c r="P531" s="14" t="s">
        <v>28</v>
      </c>
      <c r="Q531" s="14" t="s">
        <v>20</v>
      </c>
      <c r="R531" s="14"/>
      <c r="S531" s="14" t="s">
        <v>819</v>
      </c>
      <c r="T531" s="14" t="s">
        <v>2714</v>
      </c>
      <c r="U531" s="22" t="s">
        <v>2715</v>
      </c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</row>
    <row r="532" spans="1:91" ht="14.25" hidden="1" customHeight="1" x14ac:dyDescent="0.25">
      <c r="A532" s="26">
        <v>45938</v>
      </c>
      <c r="B532" s="15" t="s">
        <v>21</v>
      </c>
      <c r="C532" s="15"/>
      <c r="D532" s="15" t="s">
        <v>2716</v>
      </c>
      <c r="E532" s="15">
        <v>1099683479</v>
      </c>
      <c r="F532" s="15" t="s">
        <v>2717</v>
      </c>
      <c r="G532" s="15" t="s">
        <v>1613</v>
      </c>
      <c r="H532" s="15"/>
      <c r="I532" s="15" t="s">
        <v>2718</v>
      </c>
      <c r="J532" s="15" t="s">
        <v>188</v>
      </c>
      <c r="K532" s="7">
        <v>57000</v>
      </c>
      <c r="L532" s="57" t="s">
        <v>234</v>
      </c>
      <c r="M532" s="19"/>
      <c r="N532" s="20"/>
      <c r="O532" s="21"/>
      <c r="P532" s="14" t="s">
        <v>28</v>
      </c>
      <c r="Q532" s="14" t="s">
        <v>20</v>
      </c>
      <c r="R532" s="14"/>
      <c r="S532" s="14" t="s">
        <v>2719</v>
      </c>
      <c r="T532" s="14" t="s">
        <v>67</v>
      </c>
      <c r="U532" s="14" t="s">
        <v>2720</v>
      </c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</row>
    <row r="533" spans="1:91" ht="14.25" hidden="1" customHeight="1" x14ac:dyDescent="0.25">
      <c r="A533" s="13">
        <v>45965</v>
      </c>
      <c r="B533" s="14" t="s">
        <v>21</v>
      </c>
      <c r="C533" s="14"/>
      <c r="D533" s="14" t="s">
        <v>4715</v>
      </c>
      <c r="E533" s="24">
        <v>24674472</v>
      </c>
      <c r="F533" s="25" t="s">
        <v>5418</v>
      </c>
      <c r="G533" s="308" t="s">
        <v>5419</v>
      </c>
      <c r="H533" s="45"/>
      <c r="I533" s="14"/>
      <c r="J533" s="14" t="s">
        <v>35</v>
      </c>
      <c r="K533" s="7">
        <v>42000</v>
      </c>
      <c r="L533" s="57" t="s">
        <v>234</v>
      </c>
      <c r="M533" s="14"/>
      <c r="N533" s="7"/>
      <c r="O533" s="21"/>
      <c r="P533" s="14" t="s">
        <v>28</v>
      </c>
      <c r="Q533" s="14" t="s">
        <v>20</v>
      </c>
      <c r="R533" s="14"/>
      <c r="S533" s="14" t="s">
        <v>5420</v>
      </c>
      <c r="T533" s="14" t="s">
        <v>5421</v>
      </c>
      <c r="U533" s="283" t="s">
        <v>5422</v>
      </c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</row>
    <row r="534" spans="1:91" ht="14.25" hidden="1" customHeight="1" x14ac:dyDescent="0.25">
      <c r="A534" s="13">
        <v>45966</v>
      </c>
      <c r="B534" s="14" t="s">
        <v>21</v>
      </c>
      <c r="C534" s="14"/>
      <c r="D534" s="14" t="s">
        <v>5423</v>
      </c>
      <c r="E534" s="24">
        <v>4426815</v>
      </c>
      <c r="F534" s="25" t="s">
        <v>5424</v>
      </c>
      <c r="G534" s="308" t="s">
        <v>5425</v>
      </c>
      <c r="H534" s="45"/>
      <c r="I534" s="14"/>
      <c r="J534" s="14" t="s">
        <v>35</v>
      </c>
      <c r="K534" s="7">
        <v>42000</v>
      </c>
      <c r="L534" s="57" t="s">
        <v>234</v>
      </c>
      <c r="M534" s="14"/>
      <c r="N534" s="7"/>
      <c r="O534" s="21"/>
      <c r="P534" s="14" t="s">
        <v>28</v>
      </c>
      <c r="Q534" s="14" t="s">
        <v>20</v>
      </c>
      <c r="R534" s="14"/>
      <c r="S534" s="14" t="s">
        <v>5426</v>
      </c>
      <c r="T534" s="14" t="s">
        <v>30</v>
      </c>
      <c r="U534" s="283" t="s">
        <v>5427</v>
      </c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</row>
    <row r="535" spans="1:91" ht="14.25" hidden="1" customHeight="1" x14ac:dyDescent="0.25">
      <c r="A535" s="13">
        <v>45973</v>
      </c>
      <c r="B535" s="14" t="s">
        <v>21</v>
      </c>
      <c r="C535" s="14"/>
      <c r="D535" s="14" t="s">
        <v>5433</v>
      </c>
      <c r="E535" s="24">
        <v>3482575</v>
      </c>
      <c r="F535" s="25" t="s">
        <v>5434</v>
      </c>
      <c r="G535" s="308" t="s">
        <v>5435</v>
      </c>
      <c r="H535" s="45"/>
      <c r="I535" s="14"/>
      <c r="J535" s="14" t="s">
        <v>35</v>
      </c>
      <c r="K535" s="7">
        <v>42000</v>
      </c>
      <c r="L535" s="57" t="s">
        <v>234</v>
      </c>
      <c r="M535" s="14"/>
      <c r="N535" s="7"/>
      <c r="O535" s="21"/>
      <c r="P535" s="14" t="s">
        <v>28</v>
      </c>
      <c r="Q535" s="14" t="s">
        <v>20</v>
      </c>
      <c r="R535" s="14"/>
      <c r="S535" s="14" t="s">
        <v>5436</v>
      </c>
      <c r="T535" s="14" t="s">
        <v>30</v>
      </c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</row>
    <row r="536" spans="1:91" ht="14.25" hidden="1" customHeight="1" x14ac:dyDescent="0.25">
      <c r="A536" s="13">
        <v>45979</v>
      </c>
      <c r="B536" s="14" t="s">
        <v>21</v>
      </c>
      <c r="C536" s="14"/>
      <c r="D536" s="14" t="s">
        <v>5440</v>
      </c>
      <c r="E536" s="24">
        <v>10061451769</v>
      </c>
      <c r="F536" s="25" t="s">
        <v>5441</v>
      </c>
      <c r="G536" s="308" t="s">
        <v>2460</v>
      </c>
      <c r="H536" s="45"/>
      <c r="I536" s="14" t="s">
        <v>5442</v>
      </c>
      <c r="J536" s="14" t="s">
        <v>35</v>
      </c>
      <c r="K536" s="7">
        <v>42000</v>
      </c>
      <c r="L536" s="57" t="s">
        <v>234</v>
      </c>
      <c r="M536" s="14"/>
      <c r="N536" s="7"/>
      <c r="O536" s="21"/>
      <c r="P536" s="14" t="s">
        <v>28</v>
      </c>
      <c r="Q536" s="14" t="s">
        <v>20</v>
      </c>
      <c r="R536" s="14"/>
      <c r="S536" s="14" t="s">
        <v>5443</v>
      </c>
      <c r="T536" s="14" t="s">
        <v>67</v>
      </c>
      <c r="U536" s="14" t="s">
        <v>5444</v>
      </c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</row>
    <row r="537" spans="1:91" ht="14.25" hidden="1" customHeight="1" x14ac:dyDescent="0.25">
      <c r="A537" s="13">
        <v>45979</v>
      </c>
      <c r="B537" s="14" t="s">
        <v>21</v>
      </c>
      <c r="C537" s="14"/>
      <c r="D537" s="14" t="s">
        <v>5445</v>
      </c>
      <c r="E537" s="24">
        <v>1097394260</v>
      </c>
      <c r="F537" s="25" t="s">
        <v>5446</v>
      </c>
      <c r="G537" s="308" t="s">
        <v>2440</v>
      </c>
      <c r="H537" s="45"/>
      <c r="I537" s="14" t="s">
        <v>5447</v>
      </c>
      <c r="J537" s="14" t="s">
        <v>188</v>
      </c>
      <c r="K537" s="7">
        <v>57000</v>
      </c>
      <c r="L537" s="57" t="s">
        <v>234</v>
      </c>
      <c r="M537" s="14"/>
      <c r="N537" s="7"/>
      <c r="O537" s="21"/>
      <c r="P537" s="14" t="s">
        <v>28</v>
      </c>
      <c r="Q537" s="14" t="s">
        <v>20</v>
      </c>
      <c r="R537" s="14"/>
      <c r="S537" s="14" t="s">
        <v>5448</v>
      </c>
      <c r="T537" s="14" t="s">
        <v>5449</v>
      </c>
      <c r="U537" s="283" t="s">
        <v>5450</v>
      </c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</row>
    <row r="538" spans="1:91" ht="14.25" hidden="1" customHeight="1" x14ac:dyDescent="0.25">
      <c r="A538" s="13">
        <v>45983</v>
      </c>
      <c r="B538" s="14" t="s">
        <v>21</v>
      </c>
      <c r="C538" s="14"/>
      <c r="D538" s="14" t="s">
        <v>5463</v>
      </c>
      <c r="E538" s="24">
        <v>66961329</v>
      </c>
      <c r="F538" s="25" t="s">
        <v>5464</v>
      </c>
      <c r="G538" s="308" t="s">
        <v>2665</v>
      </c>
      <c r="H538" s="45"/>
      <c r="I538" s="14" t="s">
        <v>5465</v>
      </c>
      <c r="J538" s="14" t="s">
        <v>35</v>
      </c>
      <c r="K538" s="7">
        <v>42000</v>
      </c>
      <c r="L538" s="57" t="s">
        <v>234</v>
      </c>
      <c r="M538" s="14"/>
      <c r="N538" s="7"/>
      <c r="O538" s="21"/>
      <c r="P538" s="14" t="s">
        <v>28</v>
      </c>
      <c r="Q538" s="14" t="s">
        <v>20</v>
      </c>
      <c r="R538" s="14"/>
      <c r="S538" s="14" t="s">
        <v>5466</v>
      </c>
      <c r="T538" s="14" t="s">
        <v>30</v>
      </c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</row>
    <row r="539" spans="1:91" ht="14.25" hidden="1" customHeight="1" x14ac:dyDescent="0.25">
      <c r="A539" s="13">
        <v>45986</v>
      </c>
      <c r="B539" s="14" t="s">
        <v>21</v>
      </c>
      <c r="C539" s="14"/>
      <c r="D539" s="14" t="s">
        <v>5471</v>
      </c>
      <c r="E539" s="24">
        <v>1048021433</v>
      </c>
      <c r="F539" s="25" t="s">
        <v>5472</v>
      </c>
      <c r="G539" s="308" t="s">
        <v>1015</v>
      </c>
      <c r="H539" s="45"/>
      <c r="I539" s="14"/>
      <c r="J539" s="14" t="s">
        <v>35</v>
      </c>
      <c r="K539" s="7">
        <v>42000</v>
      </c>
      <c r="L539" s="57" t="s">
        <v>234</v>
      </c>
      <c r="M539" s="14"/>
      <c r="N539" s="7"/>
      <c r="O539" s="21"/>
      <c r="P539" s="14" t="s">
        <v>28</v>
      </c>
      <c r="Q539" s="14" t="s">
        <v>20</v>
      </c>
      <c r="R539" s="14"/>
      <c r="S539" s="14" t="s">
        <v>5473</v>
      </c>
      <c r="T539" s="14" t="s">
        <v>497</v>
      </c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</row>
    <row r="540" spans="1:91" ht="14.25" hidden="1" customHeight="1" x14ac:dyDescent="0.25">
      <c r="A540" s="13"/>
      <c r="B540" s="14" t="s">
        <v>21</v>
      </c>
      <c r="C540" s="14"/>
      <c r="D540" s="14" t="s">
        <v>5481</v>
      </c>
      <c r="E540" s="24">
        <v>9800259</v>
      </c>
      <c r="F540" s="25">
        <v>3163569596</v>
      </c>
      <c r="G540" s="308" t="s">
        <v>5482</v>
      </c>
      <c r="H540" s="45"/>
      <c r="I540" s="14"/>
      <c r="J540" s="14"/>
      <c r="K540" s="7">
        <v>145180</v>
      </c>
      <c r="L540" s="57" t="s">
        <v>234</v>
      </c>
      <c r="M540" s="14"/>
      <c r="N540" s="7"/>
      <c r="O540" s="21"/>
      <c r="P540" s="14" t="s">
        <v>28</v>
      </c>
      <c r="Q540" s="14" t="s">
        <v>20</v>
      </c>
      <c r="R540" s="14"/>
      <c r="S540" s="14" t="s">
        <v>5483</v>
      </c>
      <c r="T540" s="14"/>
      <c r="U540" s="283" t="s">
        <v>5484</v>
      </c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</row>
    <row r="541" spans="1:91" ht="14.25" hidden="1" customHeight="1" x14ac:dyDescent="0.25">
      <c r="A541" s="364">
        <v>45988</v>
      </c>
      <c r="B541" s="365" t="s">
        <v>21</v>
      </c>
      <c r="C541" s="365"/>
      <c r="D541" s="365" t="s">
        <v>5498</v>
      </c>
      <c r="E541" s="24">
        <v>24675546</v>
      </c>
      <c r="F541" s="25" t="s">
        <v>5499</v>
      </c>
      <c r="G541" s="308" t="s">
        <v>1630</v>
      </c>
      <c r="H541" s="45"/>
      <c r="I541" s="14"/>
      <c r="J541" s="14" t="s">
        <v>35</v>
      </c>
      <c r="K541" s="7">
        <v>42000</v>
      </c>
      <c r="L541" s="57" t="s">
        <v>234</v>
      </c>
      <c r="M541" s="14"/>
      <c r="N541" s="7"/>
      <c r="O541" s="21"/>
      <c r="P541" s="14" t="s">
        <v>28</v>
      </c>
      <c r="Q541" s="14" t="s">
        <v>20</v>
      </c>
      <c r="R541" s="14"/>
      <c r="S541" s="14" t="s">
        <v>5500</v>
      </c>
      <c r="T541" s="14" t="s">
        <v>126</v>
      </c>
      <c r="U541" s="283" t="s">
        <v>5501</v>
      </c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</row>
    <row r="542" spans="1:91" ht="14.25" hidden="1" customHeight="1" x14ac:dyDescent="0.25">
      <c r="A542" s="13">
        <v>45992</v>
      </c>
      <c r="B542" s="14" t="s">
        <v>21</v>
      </c>
      <c r="C542" s="14"/>
      <c r="D542" s="14" t="s">
        <v>5502</v>
      </c>
      <c r="E542" s="24">
        <v>1099683586</v>
      </c>
      <c r="F542" s="25" t="s">
        <v>5503</v>
      </c>
      <c r="G542" s="308" t="s">
        <v>174</v>
      </c>
      <c r="H542" s="45"/>
      <c r="I542" s="14" t="s">
        <v>5504</v>
      </c>
      <c r="J542" s="14" t="s">
        <v>35</v>
      </c>
      <c r="K542" s="7">
        <v>42000</v>
      </c>
      <c r="L542" s="57" t="s">
        <v>234</v>
      </c>
      <c r="M542" s="14"/>
      <c r="N542" s="7"/>
      <c r="O542" s="21"/>
      <c r="P542" s="14" t="s">
        <v>28</v>
      </c>
      <c r="Q542" s="14" t="s">
        <v>20</v>
      </c>
      <c r="R542" s="14"/>
      <c r="S542" s="14" t="s">
        <v>5505</v>
      </c>
      <c r="T542" s="14" t="s">
        <v>30</v>
      </c>
      <c r="U542" s="283" t="s">
        <v>5506</v>
      </c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</row>
    <row r="543" spans="1:91" ht="14.25" hidden="1" customHeight="1" x14ac:dyDescent="0.25">
      <c r="A543" s="13">
        <v>45992</v>
      </c>
      <c r="B543" s="14" t="s">
        <v>21</v>
      </c>
      <c r="C543" s="14"/>
      <c r="D543" s="14" t="s">
        <v>5507</v>
      </c>
      <c r="E543" s="24">
        <v>24674321</v>
      </c>
      <c r="F543" s="25" t="s">
        <v>5508</v>
      </c>
      <c r="G543" s="308" t="s">
        <v>4768</v>
      </c>
      <c r="H543" s="45"/>
      <c r="I543" s="14" t="s">
        <v>5509</v>
      </c>
      <c r="J543" s="14" t="s">
        <v>188</v>
      </c>
      <c r="K543" s="7">
        <v>57000</v>
      </c>
      <c r="L543" s="57" t="s">
        <v>234</v>
      </c>
      <c r="M543" s="14"/>
      <c r="N543" s="7"/>
      <c r="O543" s="21"/>
      <c r="P543" s="14" t="s">
        <v>28</v>
      </c>
      <c r="Q543" s="14" t="s">
        <v>20</v>
      </c>
      <c r="R543" s="14"/>
      <c r="S543" s="14" t="s">
        <v>5510</v>
      </c>
      <c r="T543" s="14" t="s">
        <v>716</v>
      </c>
      <c r="U543" s="283" t="s">
        <v>5511</v>
      </c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</row>
    <row r="544" spans="1:91" ht="14.25" hidden="1" customHeight="1" x14ac:dyDescent="0.25">
      <c r="A544" s="13">
        <v>45992</v>
      </c>
      <c r="B544" s="14" t="s">
        <v>21</v>
      </c>
      <c r="C544" s="14"/>
      <c r="D544" s="14" t="s">
        <v>5512</v>
      </c>
      <c r="E544" s="24">
        <v>1001499996</v>
      </c>
      <c r="F544" s="25" t="s">
        <v>5513</v>
      </c>
      <c r="G544" s="308" t="s">
        <v>2264</v>
      </c>
      <c r="H544" s="45"/>
      <c r="I544" s="14" t="s">
        <v>2080</v>
      </c>
      <c r="J544" s="14" t="s">
        <v>35</v>
      </c>
      <c r="K544" s="7">
        <v>42000</v>
      </c>
      <c r="L544" s="57" t="s">
        <v>234</v>
      </c>
      <c r="M544" s="14"/>
      <c r="N544" s="7"/>
      <c r="O544" s="21"/>
      <c r="P544" s="14" t="s">
        <v>28</v>
      </c>
      <c r="Q544" s="14" t="s">
        <v>20</v>
      </c>
      <c r="R544" s="14"/>
      <c r="S544" s="14" t="s">
        <v>5514</v>
      </c>
      <c r="T544" s="14" t="s">
        <v>5515</v>
      </c>
      <c r="U544" s="283" t="s">
        <v>5516</v>
      </c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</row>
    <row r="545" spans="1:91" ht="14.25" hidden="1" customHeight="1" x14ac:dyDescent="0.25">
      <c r="A545" s="13">
        <v>45992</v>
      </c>
      <c r="B545" s="14" t="s">
        <v>21</v>
      </c>
      <c r="C545" s="14"/>
      <c r="D545" s="14" t="s">
        <v>5517</v>
      </c>
      <c r="E545" s="24">
        <v>24581111</v>
      </c>
      <c r="F545" s="25" t="s">
        <v>5518</v>
      </c>
      <c r="G545" s="308" t="s">
        <v>232</v>
      </c>
      <c r="H545" s="45"/>
      <c r="I545" s="14" t="s">
        <v>5191</v>
      </c>
      <c r="J545" s="14" t="s">
        <v>54</v>
      </c>
      <c r="K545" s="7">
        <v>67000</v>
      </c>
      <c r="L545" s="57" t="s">
        <v>234</v>
      </c>
      <c r="M545" s="14"/>
      <c r="N545" s="7"/>
      <c r="O545" s="21"/>
      <c r="P545" s="14" t="s">
        <v>28</v>
      </c>
      <c r="Q545" s="14" t="s">
        <v>20</v>
      </c>
      <c r="R545" s="14"/>
      <c r="S545" s="14" t="s">
        <v>5519</v>
      </c>
      <c r="T545" s="14" t="s">
        <v>67</v>
      </c>
      <c r="U545" s="283" t="s">
        <v>5520</v>
      </c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</row>
    <row r="546" spans="1:91" ht="14.25" hidden="1" customHeight="1" x14ac:dyDescent="0.25">
      <c r="A546" s="13">
        <v>45992</v>
      </c>
      <c r="B546" s="14" t="s">
        <v>21</v>
      </c>
      <c r="C546" s="14"/>
      <c r="D546" s="14" t="s">
        <v>2214</v>
      </c>
      <c r="E546" s="24">
        <v>1094887306</v>
      </c>
      <c r="F546" s="25">
        <v>3112311919</v>
      </c>
      <c r="G546" s="308" t="s">
        <v>1350</v>
      </c>
      <c r="H546" s="45"/>
      <c r="I546" s="14" t="s">
        <v>5521</v>
      </c>
      <c r="J546" s="14" t="s">
        <v>35</v>
      </c>
      <c r="K546" s="7">
        <v>42000</v>
      </c>
      <c r="L546" s="57" t="s">
        <v>234</v>
      </c>
      <c r="M546" s="14"/>
      <c r="N546" s="7"/>
      <c r="O546" s="21"/>
      <c r="P546" s="14" t="s">
        <v>28</v>
      </c>
      <c r="Q546" s="14" t="s">
        <v>20</v>
      </c>
      <c r="R546" s="14"/>
      <c r="S546" s="14" t="s">
        <v>5522</v>
      </c>
      <c r="T546" s="14" t="s">
        <v>30</v>
      </c>
      <c r="U546" s="283" t="s">
        <v>2219</v>
      </c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</row>
    <row r="547" spans="1:91" ht="14.25" hidden="1" customHeight="1" x14ac:dyDescent="0.25">
      <c r="A547" s="13">
        <v>45992</v>
      </c>
      <c r="B547" s="14" t="s">
        <v>21</v>
      </c>
      <c r="C547" s="14"/>
      <c r="D547" s="14" t="s">
        <v>851</v>
      </c>
      <c r="E547" s="24">
        <v>9800242</v>
      </c>
      <c r="F547" s="25" t="s">
        <v>5523</v>
      </c>
      <c r="G547" s="308" t="s">
        <v>2583</v>
      </c>
      <c r="H547" s="45"/>
      <c r="I547" s="14" t="s">
        <v>5524</v>
      </c>
      <c r="J547" s="14" t="s">
        <v>35</v>
      </c>
      <c r="K547" s="7">
        <v>42000</v>
      </c>
      <c r="L547" s="57" t="s">
        <v>234</v>
      </c>
      <c r="M547" s="14"/>
      <c r="N547" s="7"/>
      <c r="O547" s="21"/>
      <c r="P547" s="14" t="s">
        <v>28</v>
      </c>
      <c r="Q547" s="14" t="s">
        <v>20</v>
      </c>
      <c r="R547" s="14"/>
      <c r="S547" s="14" t="s">
        <v>5525</v>
      </c>
      <c r="T547" s="14" t="s">
        <v>30</v>
      </c>
      <c r="U547" s="283" t="s">
        <v>5526</v>
      </c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</row>
    <row r="548" spans="1:91" ht="14.25" hidden="1" customHeight="1" x14ac:dyDescent="0.25">
      <c r="A548" s="13">
        <v>45992</v>
      </c>
      <c r="B548" s="14" t="s">
        <v>21</v>
      </c>
      <c r="C548" s="14"/>
      <c r="D548" s="14" t="s">
        <v>5433</v>
      </c>
      <c r="E548" s="25">
        <v>3482575</v>
      </c>
      <c r="F548" s="366" t="s">
        <v>5527</v>
      </c>
      <c r="G548" s="308" t="s">
        <v>5528</v>
      </c>
      <c r="H548" s="45"/>
      <c r="I548" s="14"/>
      <c r="J548" s="14" t="s">
        <v>35</v>
      </c>
      <c r="K548" s="7">
        <v>42000</v>
      </c>
      <c r="L548" s="57" t="s">
        <v>234</v>
      </c>
      <c r="M548" s="14"/>
      <c r="N548" s="7"/>
      <c r="O548" s="21"/>
      <c r="P548" s="14" t="s">
        <v>28</v>
      </c>
      <c r="Q548" s="14" t="s">
        <v>20</v>
      </c>
      <c r="R548" s="14"/>
      <c r="S548" s="14" t="s">
        <v>5529</v>
      </c>
      <c r="T548" s="14" t="s">
        <v>450</v>
      </c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</row>
    <row r="549" spans="1:91" ht="14.25" hidden="1" customHeight="1" x14ac:dyDescent="0.25">
      <c r="A549" s="13">
        <v>45992</v>
      </c>
      <c r="B549" s="14" t="s">
        <v>21</v>
      </c>
      <c r="C549" s="14"/>
      <c r="D549" s="14" t="s">
        <v>5530</v>
      </c>
      <c r="E549" s="24">
        <v>1005367546</v>
      </c>
      <c r="F549" s="25"/>
      <c r="G549" s="308" t="s">
        <v>665</v>
      </c>
      <c r="H549" s="45"/>
      <c r="I549" s="14" t="s">
        <v>5531</v>
      </c>
      <c r="J549" s="14" t="s">
        <v>35</v>
      </c>
      <c r="K549" s="7">
        <v>42000</v>
      </c>
      <c r="L549" s="57" t="s">
        <v>234</v>
      </c>
      <c r="M549" s="14"/>
      <c r="N549" s="7"/>
      <c r="O549" s="21"/>
      <c r="P549" s="14" t="s">
        <v>28</v>
      </c>
      <c r="Q549" s="14" t="s">
        <v>20</v>
      </c>
      <c r="R549" s="14"/>
      <c r="S549" s="14" t="s">
        <v>5532</v>
      </c>
      <c r="T549" s="14" t="s">
        <v>5533</v>
      </c>
      <c r="U549" s="283" t="s">
        <v>5534</v>
      </c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</row>
    <row r="550" spans="1:91" ht="14.25" hidden="1" customHeight="1" x14ac:dyDescent="0.25">
      <c r="A550" s="13">
        <v>45994</v>
      </c>
      <c r="B550" s="14" t="s">
        <v>21</v>
      </c>
      <c r="C550" s="14"/>
      <c r="D550" s="14" t="s">
        <v>5535</v>
      </c>
      <c r="E550" s="24">
        <v>24674565</v>
      </c>
      <c r="F550" s="25" t="s">
        <v>5536</v>
      </c>
      <c r="G550" s="308" t="s">
        <v>693</v>
      </c>
      <c r="H550" s="45"/>
      <c r="I550" s="14" t="s">
        <v>5537</v>
      </c>
      <c r="J550" s="14" t="s">
        <v>35</v>
      </c>
      <c r="K550" s="7">
        <v>42000</v>
      </c>
      <c r="L550" s="57" t="s">
        <v>234</v>
      </c>
      <c r="M550" s="14"/>
      <c r="N550" s="7"/>
      <c r="O550" s="21"/>
      <c r="P550" s="14" t="s">
        <v>28</v>
      </c>
      <c r="Q550" s="14" t="s">
        <v>20</v>
      </c>
      <c r="R550" s="14"/>
      <c r="S550" s="14" t="s">
        <v>5538</v>
      </c>
      <c r="T550" s="14" t="s">
        <v>67</v>
      </c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</row>
    <row r="551" spans="1:91" ht="14.25" hidden="1" customHeight="1" x14ac:dyDescent="0.25">
      <c r="A551" s="13">
        <v>45994</v>
      </c>
      <c r="B551" s="14" t="s">
        <v>21</v>
      </c>
      <c r="C551" s="14"/>
      <c r="D551" s="14" t="s">
        <v>1640</v>
      </c>
      <c r="E551" s="24">
        <v>1099683132</v>
      </c>
      <c r="F551" s="25" t="s">
        <v>5539</v>
      </c>
      <c r="G551" s="308" t="s">
        <v>2264</v>
      </c>
      <c r="H551" s="45"/>
      <c r="I551" s="14"/>
      <c r="J551" s="14" t="s">
        <v>35</v>
      </c>
      <c r="K551" s="7">
        <v>42000</v>
      </c>
      <c r="L551" s="57" t="s">
        <v>234</v>
      </c>
      <c r="M551" s="14"/>
      <c r="N551" s="7"/>
      <c r="O551" s="21"/>
      <c r="P551" s="14" t="s">
        <v>28</v>
      </c>
      <c r="Q551" s="14" t="s">
        <v>20</v>
      </c>
      <c r="R551" s="14"/>
      <c r="S551" s="14" t="s">
        <v>5540</v>
      </c>
      <c r="T551" s="14" t="s">
        <v>286</v>
      </c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</row>
    <row r="552" spans="1:91" ht="14.25" hidden="1" customHeight="1" x14ac:dyDescent="0.25">
      <c r="A552" s="13">
        <v>45994</v>
      </c>
      <c r="B552" s="14" t="s">
        <v>21</v>
      </c>
      <c r="C552" s="14"/>
      <c r="D552" s="14" t="s">
        <v>5541</v>
      </c>
      <c r="E552" s="24">
        <v>1023007994</v>
      </c>
      <c r="F552" s="25" t="s">
        <v>5542</v>
      </c>
      <c r="G552" s="308" t="s">
        <v>1453</v>
      </c>
      <c r="H552" s="45"/>
      <c r="I552" s="14" t="s">
        <v>3994</v>
      </c>
      <c r="J552" s="14" t="s">
        <v>188</v>
      </c>
      <c r="K552" s="7">
        <v>57000</v>
      </c>
      <c r="L552" s="57" t="s">
        <v>234</v>
      </c>
      <c r="M552" s="14"/>
      <c r="N552" s="7"/>
      <c r="O552" s="21"/>
      <c r="P552" s="14" t="s">
        <v>28</v>
      </c>
      <c r="Q552" s="14" t="s">
        <v>20</v>
      </c>
      <c r="R552" s="14"/>
      <c r="S552" s="14" t="s">
        <v>5543</v>
      </c>
      <c r="T552" s="14" t="s">
        <v>30</v>
      </c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</row>
    <row r="553" spans="1:91" ht="14.25" hidden="1" customHeight="1" x14ac:dyDescent="0.25">
      <c r="A553" s="13">
        <v>45994</v>
      </c>
      <c r="B553" s="14" t="s">
        <v>21</v>
      </c>
      <c r="C553" s="14"/>
      <c r="D553" s="14" t="s">
        <v>5545</v>
      </c>
      <c r="E553" s="24">
        <v>24673527</v>
      </c>
      <c r="F553" s="25" t="s">
        <v>5546</v>
      </c>
      <c r="G553" s="308" t="s">
        <v>4602</v>
      </c>
      <c r="H553" s="45"/>
      <c r="I553" s="14" t="s">
        <v>5547</v>
      </c>
      <c r="J553" s="14" t="s">
        <v>35</v>
      </c>
      <c r="K553" s="7">
        <v>42000</v>
      </c>
      <c r="L553" s="57" t="s">
        <v>234</v>
      </c>
      <c r="M553" s="14"/>
      <c r="N553" s="7"/>
      <c r="O553" s="21"/>
      <c r="P553" s="14" t="s">
        <v>28</v>
      </c>
      <c r="Q553" s="14" t="s">
        <v>20</v>
      </c>
      <c r="R553" s="14"/>
      <c r="S553" s="14" t="s">
        <v>5548</v>
      </c>
      <c r="T553" s="14" t="s">
        <v>30</v>
      </c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</row>
    <row r="554" spans="1:91" ht="14.25" hidden="1" customHeight="1" x14ac:dyDescent="0.25">
      <c r="A554" s="13">
        <v>45994</v>
      </c>
      <c r="B554" s="14" t="s">
        <v>21</v>
      </c>
      <c r="C554" s="14"/>
      <c r="D554" s="14" t="s">
        <v>891</v>
      </c>
      <c r="E554" s="24">
        <v>31791789</v>
      </c>
      <c r="F554" s="25">
        <v>3104494900</v>
      </c>
      <c r="G554" s="308" t="s">
        <v>5549</v>
      </c>
      <c r="H554" s="45"/>
      <c r="I554" s="14" t="s">
        <v>4088</v>
      </c>
      <c r="J554" s="14" t="s">
        <v>35</v>
      </c>
      <c r="K554" s="7">
        <v>42000</v>
      </c>
      <c r="L554" s="57" t="s">
        <v>234</v>
      </c>
      <c r="M554" s="14"/>
      <c r="N554" s="7"/>
      <c r="O554" s="21"/>
      <c r="P554" s="14" t="s">
        <v>28</v>
      </c>
      <c r="Q554" s="14" t="s">
        <v>20</v>
      </c>
      <c r="R554" s="14"/>
      <c r="S554" s="14" t="s">
        <v>5550</v>
      </c>
      <c r="T554" s="14" t="s">
        <v>30</v>
      </c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</row>
    <row r="555" spans="1:91" ht="14.25" hidden="1" customHeight="1" x14ac:dyDescent="0.25">
      <c r="A555" s="13">
        <v>45997</v>
      </c>
      <c r="B555" s="14" t="s">
        <v>21</v>
      </c>
      <c r="C555" s="14"/>
      <c r="D555" s="14" t="s">
        <v>5555</v>
      </c>
      <c r="E555" s="24">
        <v>1057756369</v>
      </c>
      <c r="F555" s="25" t="s">
        <v>5556</v>
      </c>
      <c r="G555" s="308" t="s">
        <v>4669</v>
      </c>
      <c r="H555" s="45"/>
      <c r="I555" s="14" t="s">
        <v>5557</v>
      </c>
      <c r="J555" s="14" t="s">
        <v>35</v>
      </c>
      <c r="K555" s="7">
        <v>42000</v>
      </c>
      <c r="L555" s="57" t="s">
        <v>234</v>
      </c>
      <c r="M555" s="14"/>
      <c r="N555" s="7"/>
      <c r="O555" s="21"/>
      <c r="P555" s="14" t="s">
        <v>28</v>
      </c>
      <c r="Q555" s="14" t="s">
        <v>20</v>
      </c>
      <c r="R555" s="14"/>
      <c r="S555" s="14" t="s">
        <v>5558</v>
      </c>
      <c r="T555" s="14" t="s">
        <v>198</v>
      </c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</row>
    <row r="556" spans="1:91" ht="14.25" hidden="1" customHeight="1" x14ac:dyDescent="0.25">
      <c r="A556" s="13">
        <v>45997</v>
      </c>
      <c r="B556" s="14" t="s">
        <v>21</v>
      </c>
      <c r="C556" s="14"/>
      <c r="D556" s="14" t="s">
        <v>5559</v>
      </c>
      <c r="E556" s="24">
        <v>24674050</v>
      </c>
      <c r="F556" s="25" t="s">
        <v>5560</v>
      </c>
      <c r="G556" s="308" t="s">
        <v>1178</v>
      </c>
      <c r="H556" s="45"/>
      <c r="I556" s="14" t="s">
        <v>4201</v>
      </c>
      <c r="J556" s="14" t="s">
        <v>35</v>
      </c>
      <c r="K556" s="7">
        <v>42000</v>
      </c>
      <c r="L556" s="57" t="s">
        <v>234</v>
      </c>
      <c r="M556" s="14"/>
      <c r="N556" s="7"/>
      <c r="O556" s="21"/>
      <c r="P556" s="14" t="s">
        <v>28</v>
      </c>
      <c r="Q556" s="14" t="s">
        <v>20</v>
      </c>
      <c r="R556" s="14"/>
      <c r="S556" s="14" t="s">
        <v>5561</v>
      </c>
      <c r="T556" s="14" t="s">
        <v>30</v>
      </c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</row>
    <row r="557" spans="1:91" ht="14.25" hidden="1" customHeight="1" x14ac:dyDescent="0.25">
      <c r="A557" s="13">
        <v>45997</v>
      </c>
      <c r="B557" s="14" t="s">
        <v>21</v>
      </c>
      <c r="C557" s="14"/>
      <c r="D557" s="14" t="s">
        <v>5562</v>
      </c>
      <c r="E557" s="24">
        <v>24322234</v>
      </c>
      <c r="F557" s="25">
        <v>3232440138</v>
      </c>
      <c r="G557" s="308" t="s">
        <v>5563</v>
      </c>
      <c r="H557" s="45"/>
      <c r="I557" s="14" t="s">
        <v>5564</v>
      </c>
      <c r="J557" s="14" t="s">
        <v>35</v>
      </c>
      <c r="K557" s="7">
        <v>42000</v>
      </c>
      <c r="L557" s="57" t="s">
        <v>234</v>
      </c>
      <c r="M557" s="14"/>
      <c r="N557" s="7"/>
      <c r="O557" s="21"/>
      <c r="P557" s="14" t="s">
        <v>28</v>
      </c>
      <c r="Q557" s="14" t="s">
        <v>20</v>
      </c>
      <c r="R557" s="14"/>
      <c r="S557" s="14" t="s">
        <v>5565</v>
      </c>
      <c r="T557" s="14" t="s">
        <v>30</v>
      </c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</row>
    <row r="558" spans="1:91" ht="14.25" hidden="1" customHeight="1" x14ac:dyDescent="0.25">
      <c r="A558" s="13"/>
      <c r="B558" s="14"/>
      <c r="C558" s="14"/>
      <c r="D558" s="14" t="s">
        <v>676</v>
      </c>
      <c r="E558" s="24">
        <v>1094888608</v>
      </c>
      <c r="F558" s="147" t="s">
        <v>677</v>
      </c>
      <c r="G558" s="308" t="s">
        <v>2422</v>
      </c>
      <c r="H558" s="45"/>
      <c r="I558" s="14"/>
      <c r="J558" s="14" t="s">
        <v>35</v>
      </c>
      <c r="K558" s="7">
        <v>42000</v>
      </c>
      <c r="L558" s="57" t="s">
        <v>234</v>
      </c>
      <c r="M558" s="14"/>
      <c r="N558" s="7"/>
      <c r="O558" s="21"/>
      <c r="P558" s="14" t="s">
        <v>28</v>
      </c>
      <c r="Q558" s="14" t="s">
        <v>20</v>
      </c>
      <c r="R558" s="14"/>
      <c r="S558" s="14" t="s">
        <v>5566</v>
      </c>
      <c r="T558" s="14" t="s">
        <v>30</v>
      </c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</row>
    <row r="559" spans="1:91" ht="14.25" hidden="1" customHeight="1" x14ac:dyDescent="0.25">
      <c r="A559" s="13">
        <v>46003</v>
      </c>
      <c r="B559" s="14" t="s">
        <v>21</v>
      </c>
      <c r="C559" s="14"/>
      <c r="D559" s="14" t="s">
        <v>5567</v>
      </c>
      <c r="E559" s="24">
        <v>1006027751</v>
      </c>
      <c r="F559" s="25" t="s">
        <v>5568</v>
      </c>
      <c r="G559" s="308" t="s">
        <v>2448</v>
      </c>
      <c r="H559" s="45"/>
      <c r="I559" s="14" t="s">
        <v>303</v>
      </c>
      <c r="J559" s="14" t="s">
        <v>35</v>
      </c>
      <c r="K559" s="7">
        <v>42000</v>
      </c>
      <c r="L559" s="57" t="s">
        <v>234</v>
      </c>
      <c r="M559" s="14"/>
      <c r="N559" s="7"/>
      <c r="O559" s="21"/>
      <c r="P559" s="14" t="s">
        <v>28</v>
      </c>
      <c r="Q559" s="14" t="s">
        <v>20</v>
      </c>
      <c r="R559" s="14"/>
      <c r="S559" s="14" t="s">
        <v>5569</v>
      </c>
      <c r="T559" s="14" t="s">
        <v>30</v>
      </c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</row>
    <row r="560" spans="1:91" ht="14.25" hidden="1" customHeight="1" x14ac:dyDescent="0.25">
      <c r="A560" s="13">
        <v>46004</v>
      </c>
      <c r="B560" s="14" t="s">
        <v>21</v>
      </c>
      <c r="C560" s="14"/>
      <c r="D560" s="14" t="s">
        <v>5573</v>
      </c>
      <c r="E560" s="24">
        <v>1005207135</v>
      </c>
      <c r="F560" s="25" t="s">
        <v>5574</v>
      </c>
      <c r="G560" s="308" t="s">
        <v>1752</v>
      </c>
      <c r="H560" s="45"/>
      <c r="I560" s="14" t="s">
        <v>5575</v>
      </c>
      <c r="J560" s="14" t="s">
        <v>188</v>
      </c>
      <c r="K560" s="7">
        <v>57000</v>
      </c>
      <c r="L560" s="57" t="s">
        <v>234</v>
      </c>
      <c r="M560" s="14"/>
      <c r="N560" s="7"/>
      <c r="O560" s="21"/>
      <c r="P560" s="14" t="s">
        <v>28</v>
      </c>
      <c r="Q560" s="14" t="s">
        <v>20</v>
      </c>
      <c r="R560" s="14"/>
      <c r="S560" s="14" t="s">
        <v>5576</v>
      </c>
      <c r="T560" s="14" t="s">
        <v>5577</v>
      </c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</row>
    <row r="561" spans="1:91" ht="14.25" hidden="1" customHeight="1" x14ac:dyDescent="0.25">
      <c r="A561" s="13">
        <v>46004</v>
      </c>
      <c r="B561" s="14" t="s">
        <v>21</v>
      </c>
      <c r="C561" s="14"/>
      <c r="D561" s="14" t="s">
        <v>5578</v>
      </c>
      <c r="E561" s="24">
        <v>24675185</v>
      </c>
      <c r="F561" s="25" t="s">
        <v>5579</v>
      </c>
      <c r="G561" s="308" t="s">
        <v>5580</v>
      </c>
      <c r="H561" s="45"/>
      <c r="I561" s="14" t="s">
        <v>1485</v>
      </c>
      <c r="J561" s="14" t="s">
        <v>35</v>
      </c>
      <c r="K561" s="7">
        <v>42000</v>
      </c>
      <c r="L561" s="57" t="s">
        <v>234</v>
      </c>
      <c r="M561" s="14"/>
      <c r="N561" s="7"/>
      <c r="O561" s="21"/>
      <c r="P561" s="14" t="s">
        <v>28</v>
      </c>
      <c r="Q561" s="14" t="s">
        <v>20</v>
      </c>
      <c r="R561" s="14"/>
      <c r="S561" s="14" t="s">
        <v>107</v>
      </c>
      <c r="T561" s="14" t="s">
        <v>5581</v>
      </c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</row>
    <row r="562" spans="1:91" ht="14.25" hidden="1" customHeight="1" x14ac:dyDescent="0.25">
      <c r="A562" s="13">
        <v>46004</v>
      </c>
      <c r="B562" s="14" t="s">
        <v>21</v>
      </c>
      <c r="C562" s="14"/>
      <c r="D562" s="14" t="s">
        <v>5582</v>
      </c>
      <c r="E562" s="24">
        <v>52209026</v>
      </c>
      <c r="F562" s="25" t="s">
        <v>5583</v>
      </c>
      <c r="G562" s="308" t="s">
        <v>394</v>
      </c>
      <c r="H562" s="45"/>
      <c r="I562" s="14" t="s">
        <v>5584</v>
      </c>
      <c r="J562" s="14" t="s">
        <v>35</v>
      </c>
      <c r="K562" s="7">
        <v>42000</v>
      </c>
      <c r="L562" s="57" t="s">
        <v>234</v>
      </c>
      <c r="M562" s="14"/>
      <c r="N562" s="7"/>
      <c r="O562" s="21"/>
      <c r="P562" s="14" t="s">
        <v>28</v>
      </c>
      <c r="Q562" s="14" t="s">
        <v>20</v>
      </c>
      <c r="R562" s="14"/>
      <c r="S562" s="14" t="s">
        <v>1224</v>
      </c>
      <c r="T562" s="14" t="s">
        <v>5585</v>
      </c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</row>
    <row r="563" spans="1:91" ht="14.25" hidden="1" customHeight="1" x14ac:dyDescent="0.25">
      <c r="A563" s="13">
        <v>46004</v>
      </c>
      <c r="B563" s="14" t="s">
        <v>21</v>
      </c>
      <c r="C563" s="14"/>
      <c r="D563" s="14" t="s">
        <v>5586</v>
      </c>
      <c r="E563" s="24">
        <v>5748527</v>
      </c>
      <c r="F563" s="25" t="s">
        <v>5587</v>
      </c>
      <c r="G563" s="308" t="s">
        <v>1484</v>
      </c>
      <c r="H563" s="45"/>
      <c r="I563" s="14" t="s">
        <v>5588</v>
      </c>
      <c r="J563" s="14" t="s">
        <v>35</v>
      </c>
      <c r="K563" s="7">
        <v>42000</v>
      </c>
      <c r="L563" s="57" t="s">
        <v>234</v>
      </c>
      <c r="M563" s="14"/>
      <c r="N563" s="7"/>
      <c r="O563" s="21"/>
      <c r="P563" s="14" t="s">
        <v>28</v>
      </c>
      <c r="Q563" s="14" t="s">
        <v>20</v>
      </c>
      <c r="R563" s="14"/>
      <c r="S563" s="14" t="s">
        <v>67</v>
      </c>
      <c r="T563" s="14" t="s">
        <v>5589</v>
      </c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</row>
    <row r="564" spans="1:91" ht="14.25" hidden="1" customHeight="1" x14ac:dyDescent="0.25">
      <c r="A564" s="13">
        <v>46005</v>
      </c>
      <c r="B564" s="14" t="s">
        <v>419</v>
      </c>
      <c r="C564" s="14"/>
      <c r="D564" s="14" t="s">
        <v>5590</v>
      </c>
      <c r="E564" s="24">
        <v>9802207</v>
      </c>
      <c r="F564" s="25">
        <v>3148049465</v>
      </c>
      <c r="G564" s="308" t="s">
        <v>2361</v>
      </c>
      <c r="H564" s="45"/>
      <c r="I564" s="14" t="s">
        <v>297</v>
      </c>
      <c r="J564" s="14" t="s">
        <v>188</v>
      </c>
      <c r="K564" s="7">
        <v>67000</v>
      </c>
      <c r="L564" s="57" t="s">
        <v>234</v>
      </c>
      <c r="M564" s="14"/>
      <c r="N564" s="7"/>
      <c r="O564" s="21"/>
      <c r="P564" s="14" t="s">
        <v>28</v>
      </c>
      <c r="Q564" s="14" t="s">
        <v>20</v>
      </c>
      <c r="R564" s="14"/>
      <c r="S564" s="14" t="s">
        <v>5591</v>
      </c>
      <c r="T564" s="14" t="s">
        <v>5592</v>
      </c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</row>
    <row r="565" spans="1:91" ht="14.25" hidden="1" customHeight="1" x14ac:dyDescent="0.25">
      <c r="A565" s="13">
        <v>46005</v>
      </c>
      <c r="B565" s="14" t="s">
        <v>419</v>
      </c>
      <c r="C565" s="14"/>
      <c r="D565" s="14" t="s">
        <v>5593</v>
      </c>
      <c r="E565" s="24">
        <v>4428298</v>
      </c>
      <c r="F565" s="25">
        <v>3127843102</v>
      </c>
      <c r="G565" s="308" t="s">
        <v>5117</v>
      </c>
      <c r="H565" s="45"/>
      <c r="I565" s="14" t="s">
        <v>5594</v>
      </c>
      <c r="J565" s="14" t="s">
        <v>25</v>
      </c>
      <c r="K565" s="7">
        <v>84000</v>
      </c>
      <c r="L565" s="57" t="s">
        <v>234</v>
      </c>
      <c r="M565" s="14"/>
      <c r="N565" s="7"/>
      <c r="O565" s="21"/>
      <c r="P565" s="14" t="s">
        <v>28</v>
      </c>
      <c r="Q565" s="14" t="s">
        <v>20</v>
      </c>
      <c r="R565" s="14"/>
      <c r="S565" s="14" t="s">
        <v>5595</v>
      </c>
      <c r="T565" s="14" t="s">
        <v>5596</v>
      </c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</row>
    <row r="566" spans="1:91" ht="14.25" hidden="1" customHeight="1" x14ac:dyDescent="0.25">
      <c r="A566" s="13">
        <v>46005</v>
      </c>
      <c r="B566" s="14" t="s">
        <v>419</v>
      </c>
      <c r="C566" s="14"/>
      <c r="D566" s="14" t="s">
        <v>4950</v>
      </c>
      <c r="E566" s="24">
        <v>94524026</v>
      </c>
      <c r="F566" s="25">
        <v>3057996301</v>
      </c>
      <c r="G566" s="308" t="s">
        <v>4691</v>
      </c>
      <c r="H566" s="45"/>
      <c r="I566" s="14" t="s">
        <v>5597</v>
      </c>
      <c r="J566" s="14" t="s">
        <v>25</v>
      </c>
      <c r="K566" s="7">
        <v>42000</v>
      </c>
      <c r="L566" s="57" t="s">
        <v>234</v>
      </c>
      <c r="M566" s="14"/>
      <c r="N566" s="7"/>
      <c r="O566" s="21"/>
      <c r="P566" s="14" t="s">
        <v>28</v>
      </c>
      <c r="Q566" s="14" t="s">
        <v>20</v>
      </c>
      <c r="R566" s="14"/>
      <c r="S566" s="14" t="s">
        <v>5598</v>
      </c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</row>
    <row r="567" spans="1:91" ht="14.25" hidden="1" customHeight="1" x14ac:dyDescent="0.25">
      <c r="A567" s="13">
        <v>46006</v>
      </c>
      <c r="B567" s="14" t="s">
        <v>419</v>
      </c>
      <c r="C567" s="14"/>
      <c r="D567" s="14" t="s">
        <v>5599</v>
      </c>
      <c r="E567" s="24">
        <v>1007410993</v>
      </c>
      <c r="F567" s="25">
        <v>3127062035</v>
      </c>
      <c r="G567" s="308" t="s">
        <v>4837</v>
      </c>
      <c r="H567" s="45"/>
      <c r="I567" s="14" t="s">
        <v>5600</v>
      </c>
      <c r="J567" s="14" t="s">
        <v>25</v>
      </c>
      <c r="K567" s="7">
        <v>42000</v>
      </c>
      <c r="L567" s="57" t="s">
        <v>234</v>
      </c>
      <c r="M567" s="14"/>
      <c r="N567" s="7"/>
      <c r="O567" s="21"/>
      <c r="P567" s="14" t="s">
        <v>28</v>
      </c>
      <c r="Q567" s="14" t="s">
        <v>20</v>
      </c>
      <c r="R567" s="14"/>
      <c r="S567" s="14" t="s">
        <v>5576</v>
      </c>
      <c r="T567" s="14" t="s">
        <v>5601</v>
      </c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>
        <v>1</v>
      </c>
    </row>
    <row r="568" spans="1:91" ht="14.25" hidden="1" customHeight="1" x14ac:dyDescent="0.25">
      <c r="A568" s="13">
        <v>46010</v>
      </c>
      <c r="B568" s="14" t="s">
        <v>419</v>
      </c>
      <c r="C568" s="14"/>
      <c r="D568" s="14" t="s">
        <v>5606</v>
      </c>
      <c r="E568" s="24">
        <v>1099682345</v>
      </c>
      <c r="F568" s="25"/>
      <c r="G568" s="308" t="s">
        <v>623</v>
      </c>
      <c r="H568" s="45"/>
      <c r="I568" s="14"/>
      <c r="J568" s="14" t="s">
        <v>25</v>
      </c>
      <c r="K568" s="7">
        <v>42000</v>
      </c>
      <c r="L568" s="57" t="s">
        <v>234</v>
      </c>
      <c r="M568" s="14"/>
      <c r="N568" s="7"/>
      <c r="O568" s="21"/>
      <c r="P568" s="14" t="s">
        <v>28</v>
      </c>
      <c r="Q568" s="14" t="s">
        <v>20</v>
      </c>
      <c r="R568" s="14"/>
      <c r="S568" s="14" t="s">
        <v>1770</v>
      </c>
      <c r="T568" s="14" t="s">
        <v>5607</v>
      </c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</row>
    <row r="569" spans="1:91" ht="14.25" hidden="1" customHeight="1" x14ac:dyDescent="0.25">
      <c r="A569" s="13">
        <v>46010</v>
      </c>
      <c r="B569" s="14" t="s">
        <v>419</v>
      </c>
      <c r="C569" s="14"/>
      <c r="D569" s="14" t="s">
        <v>5608</v>
      </c>
      <c r="E569" s="24">
        <v>4428047</v>
      </c>
      <c r="F569" s="25" t="s">
        <v>5609</v>
      </c>
      <c r="G569" s="308" t="s">
        <v>4834</v>
      </c>
      <c r="H569" s="45"/>
      <c r="I569" s="14"/>
      <c r="J569" s="14" t="s">
        <v>25</v>
      </c>
      <c r="K569" s="7">
        <v>42000</v>
      </c>
      <c r="L569" s="57" t="s">
        <v>234</v>
      </c>
      <c r="M569" s="14"/>
      <c r="N569" s="7"/>
      <c r="O569" s="21"/>
      <c r="P569" s="14" t="s">
        <v>28</v>
      </c>
      <c r="Q569" s="14" t="s">
        <v>20</v>
      </c>
      <c r="R569" s="14"/>
      <c r="S569" s="14" t="s">
        <v>36</v>
      </c>
      <c r="T569" s="14" t="s">
        <v>5610</v>
      </c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</row>
    <row r="570" spans="1:91" ht="14.25" hidden="1" customHeight="1" x14ac:dyDescent="0.25">
      <c r="A570" s="13">
        <v>46014</v>
      </c>
      <c r="B570" s="14" t="s">
        <v>419</v>
      </c>
      <c r="C570" s="14"/>
      <c r="D570" s="14" t="s">
        <v>5618</v>
      </c>
      <c r="E570" s="24"/>
      <c r="F570" s="25" t="s">
        <v>5619</v>
      </c>
      <c r="G570" s="308" t="s">
        <v>5620</v>
      </c>
      <c r="H570" s="45"/>
      <c r="I570" s="14"/>
      <c r="J570" s="14" t="s">
        <v>25</v>
      </c>
      <c r="K570" s="7">
        <v>42000</v>
      </c>
      <c r="L570" s="57" t="s">
        <v>234</v>
      </c>
      <c r="M570" s="14"/>
      <c r="N570" s="7"/>
      <c r="O570" s="21"/>
      <c r="P570" s="14" t="s">
        <v>28</v>
      </c>
      <c r="Q570" s="14" t="s">
        <v>20</v>
      </c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</row>
    <row r="571" spans="1:91" ht="14.25" hidden="1" customHeight="1" x14ac:dyDescent="0.25">
      <c r="A571" s="13">
        <v>46021</v>
      </c>
      <c r="B571" s="14" t="s">
        <v>419</v>
      </c>
      <c r="C571" s="14"/>
      <c r="D571" s="14" t="s">
        <v>5639</v>
      </c>
      <c r="E571" s="24">
        <v>9800140</v>
      </c>
      <c r="F571" s="25" t="s">
        <v>5640</v>
      </c>
      <c r="G571" s="308" t="s">
        <v>5641</v>
      </c>
      <c r="H571" s="45"/>
      <c r="I571" s="14" t="s">
        <v>2347</v>
      </c>
      <c r="J571" s="14" t="s">
        <v>421</v>
      </c>
      <c r="K571" s="7">
        <v>82000</v>
      </c>
      <c r="L571" s="57" t="s">
        <v>234</v>
      </c>
      <c r="M571" s="14"/>
      <c r="N571" s="7"/>
      <c r="O571" s="21"/>
      <c r="P571" s="14" t="s">
        <v>28</v>
      </c>
      <c r="Q571" s="14" t="s">
        <v>20</v>
      </c>
      <c r="R571" s="14"/>
      <c r="S571" s="14" t="s">
        <v>5642</v>
      </c>
      <c r="T571" s="14" t="s">
        <v>4160</v>
      </c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</row>
    <row r="572" spans="1:91" ht="14.25" hidden="1" customHeight="1" x14ac:dyDescent="0.25">
      <c r="A572" s="13">
        <v>46022</v>
      </c>
      <c r="B572" s="14" t="s">
        <v>419</v>
      </c>
      <c r="C572" s="14"/>
      <c r="D572" s="14" t="s">
        <v>5643</v>
      </c>
      <c r="E572" s="24">
        <v>1099683774</v>
      </c>
      <c r="F572" s="25" t="s">
        <v>5644</v>
      </c>
      <c r="G572" s="308" t="s">
        <v>5645</v>
      </c>
      <c r="H572" s="45"/>
      <c r="I572" s="14"/>
      <c r="J572" s="14" t="s">
        <v>25</v>
      </c>
      <c r="K572" s="7">
        <v>42000</v>
      </c>
      <c r="L572" s="57" t="s">
        <v>234</v>
      </c>
      <c r="M572" s="14"/>
      <c r="N572" s="7"/>
      <c r="O572" s="21"/>
      <c r="P572" s="14" t="s">
        <v>28</v>
      </c>
      <c r="Q572" s="14" t="s">
        <v>20</v>
      </c>
      <c r="R572" s="14"/>
      <c r="S572" s="14" t="s">
        <v>5646</v>
      </c>
      <c r="T572" s="14" t="s">
        <v>4714</v>
      </c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</row>
    <row r="573" spans="1:91" ht="14.25" customHeight="1" x14ac:dyDescent="0.25">
      <c r="A573" s="13"/>
      <c r="B573" s="14"/>
      <c r="C573" s="14"/>
      <c r="D573" s="14"/>
      <c r="E573" s="24"/>
      <c r="F573" s="25"/>
      <c r="G573" s="308"/>
      <c r="H573" s="45"/>
      <c r="I573" s="14"/>
      <c r="J573" s="14"/>
      <c r="K573" s="7"/>
      <c r="L573" s="14"/>
      <c r="M573" s="14"/>
      <c r="N573" s="7"/>
      <c r="O573" s="21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</row>
    <row r="574" spans="1:91" ht="14.25" customHeight="1" x14ac:dyDescent="0.25">
      <c r="A574" s="13"/>
      <c r="B574" s="14"/>
      <c r="C574" s="14"/>
      <c r="D574" s="14"/>
      <c r="E574" s="24"/>
      <c r="F574" s="25"/>
      <c r="G574" s="308"/>
      <c r="H574" s="45"/>
      <c r="I574" s="14"/>
      <c r="J574" s="14"/>
      <c r="K574" s="7"/>
      <c r="L574" s="14"/>
      <c r="M574" s="14"/>
      <c r="N574" s="7"/>
      <c r="O574" s="21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</row>
    <row r="575" spans="1:91" ht="14.25" customHeight="1" x14ac:dyDescent="0.25">
      <c r="A575" s="13"/>
      <c r="B575" s="14"/>
      <c r="C575" s="14"/>
      <c r="D575" s="14"/>
      <c r="E575" s="24"/>
      <c r="F575" s="25"/>
      <c r="G575" s="308"/>
      <c r="H575" s="45"/>
      <c r="I575" s="14"/>
      <c r="J575" s="14"/>
      <c r="K575" s="7"/>
      <c r="L575" s="14"/>
      <c r="M575" s="14"/>
      <c r="N575" s="7"/>
      <c r="O575" s="21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</row>
    <row r="576" spans="1:91" ht="14.25" customHeight="1" x14ac:dyDescent="0.25">
      <c r="A576" s="13"/>
      <c r="B576" s="14"/>
      <c r="C576" s="14"/>
      <c r="D576" s="14"/>
      <c r="E576" s="24"/>
      <c r="F576" s="25"/>
      <c r="G576" s="308"/>
      <c r="H576" s="45"/>
      <c r="I576" s="14"/>
      <c r="J576" s="14"/>
      <c r="K576" s="7"/>
      <c r="L576" s="14"/>
      <c r="M576" s="14"/>
      <c r="N576" s="7"/>
      <c r="O576" s="21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</row>
    <row r="577" spans="1:91" ht="14.25" customHeight="1" x14ac:dyDescent="0.25">
      <c r="A577" s="13"/>
      <c r="B577" s="14"/>
      <c r="C577" s="14"/>
      <c r="D577" s="14"/>
      <c r="E577" s="24"/>
      <c r="F577" s="25"/>
      <c r="G577" s="308"/>
      <c r="H577" s="45"/>
      <c r="I577" s="14"/>
      <c r="J577" s="14"/>
      <c r="K577" s="7"/>
      <c r="L577" s="14"/>
      <c r="M577" s="14"/>
      <c r="N577" s="7"/>
      <c r="O577" s="21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</row>
    <row r="578" spans="1:91" ht="14.25" customHeight="1" x14ac:dyDescent="0.25">
      <c r="A578" s="13"/>
      <c r="B578" s="14"/>
      <c r="C578" s="14"/>
      <c r="D578" s="14"/>
      <c r="E578" s="24"/>
      <c r="F578" s="25"/>
      <c r="G578" s="308"/>
      <c r="H578" s="45"/>
      <c r="I578" s="14"/>
      <c r="J578" s="14"/>
      <c r="K578" s="7"/>
      <c r="L578" s="14"/>
      <c r="M578" s="14"/>
      <c r="N578" s="7"/>
      <c r="O578" s="21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</row>
    <row r="579" spans="1:91" ht="14.25" customHeight="1" x14ac:dyDescent="0.25">
      <c r="A579" s="13"/>
      <c r="B579" s="14"/>
      <c r="C579" s="14"/>
      <c r="D579" s="14"/>
      <c r="E579" s="24"/>
      <c r="F579" s="25"/>
      <c r="G579" s="308"/>
      <c r="H579" s="45"/>
      <c r="I579" s="14"/>
      <c r="J579" s="14"/>
      <c r="K579" s="7"/>
      <c r="L579" s="14"/>
      <c r="M579" s="14"/>
      <c r="N579" s="7"/>
      <c r="O579" s="21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</row>
    <row r="580" spans="1:91" ht="14.25" customHeight="1" x14ac:dyDescent="0.25">
      <c r="A580" s="13"/>
      <c r="B580" s="14"/>
      <c r="C580" s="14"/>
      <c r="D580" s="14"/>
      <c r="E580" s="24"/>
      <c r="F580" s="25"/>
      <c r="G580" s="308"/>
      <c r="H580" s="45"/>
      <c r="I580" s="14"/>
      <c r="J580" s="14"/>
      <c r="K580" s="7"/>
      <c r="L580" s="14"/>
      <c r="M580" s="14"/>
      <c r="N580" s="7"/>
      <c r="O580" s="21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</row>
    <row r="581" spans="1:91" ht="14.25" customHeight="1" x14ac:dyDescent="0.25">
      <c r="A581" s="13"/>
      <c r="B581" s="14"/>
      <c r="C581" s="14"/>
      <c r="D581" s="14"/>
      <c r="E581" s="24"/>
      <c r="F581" s="25"/>
      <c r="G581" s="308"/>
      <c r="H581" s="45"/>
      <c r="I581" s="14"/>
      <c r="J581" s="14"/>
      <c r="K581" s="7"/>
      <c r="L581" s="14"/>
      <c r="M581" s="14"/>
      <c r="N581" s="7"/>
      <c r="O581" s="21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</row>
    <row r="582" spans="1:91" ht="14.25" customHeight="1" x14ac:dyDescent="0.25">
      <c r="A582" s="13"/>
      <c r="B582" s="14"/>
      <c r="C582" s="14"/>
      <c r="D582" s="14"/>
      <c r="E582" s="24"/>
      <c r="F582" s="25"/>
      <c r="G582" s="308"/>
      <c r="H582" s="45"/>
      <c r="I582" s="14"/>
      <c r="J582" s="14"/>
      <c r="K582" s="7"/>
      <c r="L582" s="14"/>
      <c r="M582" s="14"/>
      <c r="N582" s="7"/>
      <c r="O582" s="21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</row>
    <row r="583" spans="1:91" ht="14.25" customHeight="1" x14ac:dyDescent="0.25">
      <c r="A583" s="13"/>
      <c r="B583" s="14"/>
      <c r="C583" s="14"/>
      <c r="D583" s="14"/>
      <c r="E583" s="24"/>
      <c r="F583" s="25"/>
      <c r="G583" s="308"/>
      <c r="H583" s="45"/>
      <c r="I583" s="14"/>
      <c r="J583" s="14"/>
      <c r="K583" s="7"/>
      <c r="L583" s="14"/>
      <c r="M583" s="14"/>
      <c r="N583" s="7"/>
      <c r="O583" s="21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</row>
    <row r="584" spans="1:91" ht="14.25" customHeight="1" x14ac:dyDescent="0.25">
      <c r="A584" s="13"/>
      <c r="B584" s="14"/>
      <c r="C584" s="14"/>
      <c r="D584" s="14"/>
      <c r="E584" s="24"/>
      <c r="F584" s="25"/>
      <c r="G584" s="308"/>
      <c r="H584" s="45"/>
      <c r="I584" s="14"/>
      <c r="J584" s="14"/>
      <c r="K584" s="7"/>
      <c r="L584" s="14"/>
      <c r="M584" s="14"/>
      <c r="N584" s="7"/>
      <c r="O584" s="21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</row>
    <row r="585" spans="1:91" ht="14.25" customHeight="1" x14ac:dyDescent="0.25">
      <c r="A585" s="13"/>
      <c r="B585" s="14"/>
      <c r="C585" s="14"/>
      <c r="D585" s="14"/>
      <c r="E585" s="24"/>
      <c r="F585" s="25"/>
      <c r="G585" s="308"/>
      <c r="H585" s="45"/>
      <c r="I585" s="14"/>
      <c r="J585" s="14"/>
      <c r="K585" s="7"/>
      <c r="L585" s="14"/>
      <c r="M585" s="14"/>
      <c r="N585" s="7"/>
      <c r="O585" s="21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</row>
    <row r="586" spans="1:91" ht="14.25" customHeight="1" x14ac:dyDescent="0.25">
      <c r="A586" s="13"/>
      <c r="B586" s="14"/>
      <c r="C586" s="14"/>
      <c r="D586" s="14"/>
      <c r="E586" s="24"/>
      <c r="F586" s="25"/>
      <c r="G586" s="308"/>
      <c r="H586" s="45"/>
      <c r="I586" s="14"/>
      <c r="J586" s="14"/>
      <c r="K586" s="7"/>
      <c r="L586" s="14"/>
      <c r="M586" s="14"/>
      <c r="N586" s="7"/>
      <c r="O586" s="21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</row>
    <row r="587" spans="1:91" ht="14.25" customHeight="1" x14ac:dyDescent="0.25">
      <c r="A587" s="13"/>
      <c r="B587" s="14"/>
      <c r="C587" s="14"/>
      <c r="D587" s="14"/>
      <c r="E587" s="24"/>
      <c r="F587" s="25"/>
      <c r="G587" s="308"/>
      <c r="H587" s="45"/>
      <c r="I587" s="14"/>
      <c r="J587" s="14"/>
      <c r="K587" s="7"/>
      <c r="L587" s="14"/>
      <c r="M587" s="14"/>
      <c r="N587" s="7"/>
      <c r="O587" s="21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</row>
    <row r="588" spans="1:91" ht="14.25" customHeight="1" x14ac:dyDescent="0.25">
      <c r="A588" s="13"/>
      <c r="B588" s="14"/>
      <c r="C588" s="14"/>
      <c r="D588" s="14"/>
      <c r="E588" s="24"/>
      <c r="F588" s="25"/>
      <c r="G588" s="308"/>
      <c r="H588" s="45"/>
      <c r="I588" s="14"/>
      <c r="J588" s="14"/>
      <c r="K588" s="7"/>
      <c r="L588" s="14"/>
      <c r="M588" s="14"/>
      <c r="N588" s="7"/>
      <c r="O588" s="21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</row>
    <row r="589" spans="1:91" ht="14.25" customHeight="1" x14ac:dyDescent="0.25">
      <c r="A589" s="13"/>
      <c r="B589" s="14"/>
      <c r="C589" s="14"/>
      <c r="D589" s="14"/>
      <c r="E589" s="24"/>
      <c r="F589" s="25"/>
      <c r="G589" s="308"/>
      <c r="H589" s="45"/>
      <c r="I589" s="14"/>
      <c r="J589" s="14"/>
      <c r="K589" s="7"/>
      <c r="L589" s="14"/>
      <c r="M589" s="14"/>
      <c r="N589" s="7"/>
      <c r="O589" s="21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</row>
    <row r="590" spans="1:91" ht="14.25" customHeight="1" x14ac:dyDescent="0.25">
      <c r="A590" s="13"/>
      <c r="B590" s="14"/>
      <c r="C590" s="14"/>
      <c r="D590" s="14"/>
      <c r="E590" s="24"/>
      <c r="F590" s="25"/>
      <c r="G590" s="308"/>
      <c r="H590" s="45"/>
      <c r="I590" s="14"/>
      <c r="J590" s="14"/>
      <c r="K590" s="7"/>
      <c r="L590" s="14"/>
      <c r="M590" s="14"/>
      <c r="N590" s="7"/>
      <c r="O590" s="21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</row>
    <row r="591" spans="1:91" ht="14.25" customHeight="1" x14ac:dyDescent="0.25">
      <c r="A591" s="13"/>
      <c r="B591" s="14"/>
      <c r="C591" s="14"/>
      <c r="D591" s="14"/>
      <c r="E591" s="24"/>
      <c r="F591" s="25"/>
      <c r="G591" s="308"/>
      <c r="H591" s="45"/>
      <c r="I591" s="14"/>
      <c r="J591" s="14"/>
      <c r="K591" s="7"/>
      <c r="L591" s="14"/>
      <c r="M591" s="14"/>
      <c r="N591" s="7"/>
      <c r="O591" s="21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</row>
    <row r="592" spans="1:91" ht="14.25" customHeight="1" x14ac:dyDescent="0.25">
      <c r="A592" s="13"/>
      <c r="B592" s="14"/>
      <c r="C592" s="14"/>
      <c r="D592" s="14"/>
      <c r="E592" s="24"/>
      <c r="F592" s="25"/>
      <c r="G592" s="308"/>
      <c r="H592" s="45"/>
      <c r="I592" s="14"/>
      <c r="J592" s="14"/>
      <c r="K592" s="7"/>
      <c r="L592" s="14"/>
      <c r="M592" s="14"/>
      <c r="N592" s="7"/>
      <c r="O592" s="21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</row>
    <row r="593" spans="1:91" ht="14.25" customHeight="1" x14ac:dyDescent="0.25">
      <c r="A593" s="13"/>
      <c r="B593" s="14"/>
      <c r="C593" s="14"/>
      <c r="D593" s="14"/>
      <c r="E593" s="24"/>
      <c r="F593" s="25"/>
      <c r="G593" s="308"/>
      <c r="H593" s="45"/>
      <c r="I593" s="14"/>
      <c r="J593" s="14"/>
      <c r="K593" s="7"/>
      <c r="L593" s="14"/>
      <c r="M593" s="14"/>
      <c r="N593" s="7"/>
      <c r="O593" s="21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</row>
    <row r="594" spans="1:91" ht="14.25" customHeight="1" x14ac:dyDescent="0.25">
      <c r="A594" s="13"/>
      <c r="B594" s="14"/>
      <c r="C594" s="14"/>
      <c r="D594" s="14"/>
      <c r="E594" s="24"/>
      <c r="F594" s="25"/>
      <c r="G594" s="308"/>
      <c r="H594" s="45"/>
      <c r="I594" s="14"/>
      <c r="J594" s="14"/>
      <c r="K594" s="7"/>
      <c r="L594" s="14"/>
      <c r="M594" s="14"/>
      <c r="N594" s="7"/>
      <c r="O594" s="21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</row>
    <row r="595" spans="1:91" ht="14.25" customHeight="1" x14ac:dyDescent="0.25">
      <c r="A595" s="13"/>
      <c r="B595" s="14"/>
      <c r="C595" s="14"/>
      <c r="D595" s="14"/>
      <c r="E595" s="24"/>
      <c r="F595" s="25"/>
      <c r="G595" s="308"/>
      <c r="H595" s="45"/>
      <c r="I595" s="14"/>
      <c r="J595" s="14"/>
      <c r="K595" s="7"/>
      <c r="L595" s="14"/>
      <c r="M595" s="14"/>
      <c r="N595" s="7"/>
      <c r="O595" s="21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</row>
    <row r="596" spans="1:91" ht="14.25" customHeight="1" x14ac:dyDescent="0.25">
      <c r="A596" s="13"/>
      <c r="B596" s="14"/>
      <c r="C596" s="14"/>
      <c r="D596" s="14"/>
      <c r="E596" s="24"/>
      <c r="F596" s="25"/>
      <c r="G596" s="308"/>
      <c r="H596" s="45"/>
      <c r="I596" s="14"/>
      <c r="J596" s="14"/>
      <c r="K596" s="7"/>
      <c r="L596" s="14"/>
      <c r="M596" s="14"/>
      <c r="N596" s="7"/>
      <c r="O596" s="21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</row>
    <row r="597" spans="1:91" ht="14.25" customHeight="1" x14ac:dyDescent="0.25">
      <c r="A597" s="13"/>
      <c r="B597" s="14"/>
      <c r="C597" s="14"/>
      <c r="D597" s="14"/>
      <c r="E597" s="24"/>
      <c r="F597" s="25"/>
      <c r="G597" s="308"/>
      <c r="H597" s="45"/>
      <c r="I597" s="14"/>
      <c r="J597" s="14"/>
      <c r="K597" s="7"/>
      <c r="L597" s="14"/>
      <c r="M597" s="14"/>
      <c r="N597" s="7"/>
      <c r="O597" s="21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</row>
    <row r="598" spans="1:91" ht="14.25" customHeight="1" x14ac:dyDescent="0.25">
      <c r="A598" s="13"/>
      <c r="B598" s="14"/>
      <c r="C598" s="14"/>
      <c r="D598" s="14"/>
      <c r="E598" s="24"/>
      <c r="F598" s="25"/>
      <c r="G598" s="308"/>
      <c r="H598" s="45"/>
      <c r="I598" s="14"/>
      <c r="J598" s="14"/>
      <c r="K598" s="7"/>
      <c r="L598" s="14"/>
      <c r="M598" s="14"/>
      <c r="N598" s="7"/>
      <c r="O598" s="21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</row>
    <row r="599" spans="1:91" ht="14.25" customHeight="1" x14ac:dyDescent="0.25">
      <c r="A599" s="13"/>
      <c r="B599" s="14"/>
      <c r="C599" s="14"/>
      <c r="D599" s="14"/>
      <c r="E599" s="24"/>
      <c r="F599" s="25"/>
      <c r="G599" s="308"/>
      <c r="H599" s="45"/>
      <c r="I599" s="14"/>
      <c r="J599" s="14"/>
      <c r="K599" s="7"/>
      <c r="L599" s="14"/>
      <c r="M599" s="14"/>
      <c r="N599" s="7"/>
      <c r="O599" s="21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</row>
    <row r="600" spans="1:91" ht="14.25" customHeight="1" x14ac:dyDescent="0.25">
      <c r="A600" s="13"/>
      <c r="B600" s="14"/>
      <c r="C600" s="14"/>
      <c r="D600" s="14"/>
      <c r="E600" s="24"/>
      <c r="F600" s="25"/>
      <c r="G600" s="308"/>
      <c r="H600" s="45"/>
      <c r="I600" s="14"/>
      <c r="J600" s="14"/>
      <c r="K600" s="7"/>
      <c r="L600" s="14"/>
      <c r="M600" s="14"/>
      <c r="N600" s="7"/>
      <c r="O600" s="21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>
        <v>1</v>
      </c>
    </row>
    <row r="601" spans="1:91" ht="14.25" customHeight="1" x14ac:dyDescent="0.25">
      <c r="A601" s="13"/>
      <c r="B601" s="14"/>
      <c r="C601" s="14"/>
      <c r="D601" s="14"/>
      <c r="E601" s="24"/>
      <c r="F601" s="25"/>
      <c r="G601" s="308"/>
      <c r="H601" s="45"/>
      <c r="I601" s="14"/>
      <c r="J601" s="14"/>
      <c r="K601" s="7"/>
      <c r="L601" s="14"/>
      <c r="M601" s="14"/>
      <c r="N601" s="7"/>
      <c r="O601" s="21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</row>
    <row r="602" spans="1:91" ht="14.25" customHeight="1" x14ac:dyDescent="0.25">
      <c r="A602" s="13"/>
      <c r="B602" s="14"/>
      <c r="C602" s="14"/>
      <c r="D602" s="14"/>
      <c r="E602" s="24"/>
      <c r="F602" s="25"/>
      <c r="G602" s="308"/>
      <c r="H602" s="45"/>
      <c r="I602" s="14"/>
      <c r="J602" s="14"/>
      <c r="K602" s="7"/>
      <c r="L602" s="14"/>
      <c r="M602" s="14"/>
      <c r="N602" s="7"/>
      <c r="O602" s="21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</row>
    <row r="603" spans="1:91" ht="14.25" customHeight="1" x14ac:dyDescent="0.25">
      <c r="A603" s="13"/>
      <c r="B603" s="14"/>
      <c r="C603" s="14"/>
      <c r="D603" s="14"/>
      <c r="E603" s="24"/>
      <c r="F603" s="25"/>
      <c r="G603" s="308"/>
      <c r="H603" s="45"/>
      <c r="I603" s="14"/>
      <c r="J603" s="14"/>
      <c r="K603" s="7"/>
      <c r="L603" s="14"/>
      <c r="M603" s="14"/>
      <c r="N603" s="7"/>
      <c r="O603" s="21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</row>
    <row r="604" spans="1:91" ht="14.25" customHeight="1" x14ac:dyDescent="0.25">
      <c r="A604" s="13"/>
      <c r="B604" s="14"/>
      <c r="C604" s="14"/>
      <c r="D604" s="14"/>
      <c r="E604" s="24"/>
      <c r="F604" s="25"/>
      <c r="G604" s="308"/>
      <c r="H604" s="45"/>
      <c r="I604" s="14"/>
      <c r="J604" s="14"/>
      <c r="K604" s="7"/>
      <c r="L604" s="14"/>
      <c r="M604" s="14"/>
      <c r="N604" s="7"/>
      <c r="O604" s="21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</row>
    <row r="605" spans="1:91" ht="14.25" customHeight="1" x14ac:dyDescent="0.25">
      <c r="A605" s="13"/>
      <c r="B605" s="14"/>
      <c r="C605" s="14"/>
      <c r="D605" s="14"/>
      <c r="E605" s="24"/>
      <c r="F605" s="25"/>
      <c r="G605" s="308"/>
      <c r="H605" s="45"/>
      <c r="I605" s="14"/>
      <c r="J605" s="14"/>
      <c r="K605" s="7"/>
      <c r="L605" s="14"/>
      <c r="M605" s="14"/>
      <c r="N605" s="7"/>
      <c r="O605" s="21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</row>
    <row r="606" spans="1:91" ht="14.25" customHeight="1" x14ac:dyDescent="0.25">
      <c r="A606" s="13"/>
      <c r="B606" s="14"/>
      <c r="C606" s="14"/>
      <c r="D606" s="14"/>
      <c r="E606" s="24"/>
      <c r="F606" s="25"/>
      <c r="G606" s="308"/>
      <c r="H606" s="45"/>
      <c r="I606" s="14"/>
      <c r="J606" s="14"/>
      <c r="K606" s="7"/>
      <c r="L606" s="14"/>
      <c r="M606" s="14"/>
      <c r="N606" s="7"/>
      <c r="O606" s="21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</row>
    <row r="607" spans="1:91" ht="14.25" customHeight="1" x14ac:dyDescent="0.25">
      <c r="A607" s="13"/>
      <c r="B607" s="14"/>
      <c r="C607" s="14"/>
      <c r="D607" s="14"/>
      <c r="E607" s="24"/>
      <c r="F607" s="25"/>
      <c r="G607" s="308"/>
      <c r="H607" s="45"/>
      <c r="I607" s="14"/>
      <c r="J607" s="14"/>
      <c r="K607" s="7"/>
      <c r="L607" s="14"/>
      <c r="M607" s="14"/>
      <c r="N607" s="7"/>
      <c r="O607" s="21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</row>
    <row r="608" spans="1:91" ht="14.25" customHeight="1" x14ac:dyDescent="0.25">
      <c r="A608" s="13"/>
      <c r="B608" s="14"/>
      <c r="C608" s="14"/>
      <c r="D608" s="14"/>
      <c r="E608" s="24"/>
      <c r="F608" s="25"/>
      <c r="G608" s="308"/>
      <c r="H608" s="45"/>
      <c r="I608" s="14"/>
      <c r="J608" s="14"/>
      <c r="K608" s="7"/>
      <c r="L608" s="14"/>
      <c r="M608" s="14"/>
      <c r="N608" s="7"/>
      <c r="O608" s="21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</row>
    <row r="609" spans="1:91" ht="14.25" customHeight="1" x14ac:dyDescent="0.25">
      <c r="A609" s="13"/>
      <c r="B609" s="14"/>
      <c r="C609" s="14"/>
      <c r="D609" s="14"/>
      <c r="E609" s="24"/>
      <c r="F609" s="25"/>
      <c r="G609" s="308"/>
      <c r="H609" s="45"/>
      <c r="I609" s="14"/>
      <c r="J609" s="14"/>
      <c r="K609" s="7"/>
      <c r="L609" s="14"/>
      <c r="M609" s="14"/>
      <c r="N609" s="7"/>
      <c r="O609" s="21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</row>
    <row r="610" spans="1:91" ht="14.25" customHeight="1" x14ac:dyDescent="0.25">
      <c r="A610" s="13"/>
      <c r="B610" s="14"/>
      <c r="C610" s="14"/>
      <c r="D610" s="14"/>
      <c r="E610" s="24"/>
      <c r="F610" s="25"/>
      <c r="G610" s="308"/>
      <c r="H610" s="45"/>
      <c r="I610" s="14"/>
      <c r="J610" s="14"/>
      <c r="K610" s="7"/>
      <c r="L610" s="14"/>
      <c r="M610" s="14"/>
      <c r="N610" s="7"/>
      <c r="O610" s="21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</row>
    <row r="611" spans="1:91" ht="14.25" customHeight="1" x14ac:dyDescent="0.25">
      <c r="A611" s="13"/>
      <c r="B611" s="14"/>
      <c r="C611" s="14"/>
      <c r="D611" s="14"/>
      <c r="E611" s="24"/>
      <c r="F611" s="25"/>
      <c r="G611" s="308"/>
      <c r="H611" s="45"/>
      <c r="I611" s="14"/>
      <c r="J611" s="14"/>
      <c r="K611" s="7"/>
      <c r="L611" s="14"/>
      <c r="M611" s="14"/>
      <c r="N611" s="7"/>
      <c r="O611" s="21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</row>
    <row r="612" spans="1:91" ht="14.25" customHeight="1" x14ac:dyDescent="0.25">
      <c r="A612" s="13"/>
      <c r="B612" s="14"/>
      <c r="C612" s="14"/>
      <c r="D612" s="14"/>
      <c r="E612" s="24"/>
      <c r="F612" s="25"/>
      <c r="G612" s="308"/>
      <c r="H612" s="45"/>
      <c r="I612" s="14"/>
      <c r="J612" s="14"/>
      <c r="K612" s="7"/>
      <c r="L612" s="14"/>
      <c r="M612" s="14"/>
      <c r="N612" s="7"/>
      <c r="O612" s="21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</row>
    <row r="613" spans="1:91" ht="14.25" customHeight="1" x14ac:dyDescent="0.25">
      <c r="A613" s="13"/>
      <c r="B613" s="14"/>
      <c r="C613" s="14"/>
      <c r="D613" s="14"/>
      <c r="E613" s="24"/>
      <c r="F613" s="25"/>
      <c r="G613" s="308"/>
      <c r="H613" s="45"/>
      <c r="I613" s="14"/>
      <c r="J613" s="14"/>
      <c r="K613" s="7"/>
      <c r="L613" s="14"/>
      <c r="M613" s="14"/>
      <c r="N613" s="7"/>
      <c r="O613" s="21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</row>
    <row r="614" spans="1:91" ht="14.25" customHeight="1" x14ac:dyDescent="0.25">
      <c r="A614" s="13"/>
      <c r="B614" s="14"/>
      <c r="C614" s="14"/>
      <c r="D614" s="14"/>
      <c r="E614" s="24"/>
      <c r="F614" s="25"/>
      <c r="G614" s="308"/>
      <c r="H614" s="45"/>
      <c r="I614" s="14"/>
      <c r="J614" s="14"/>
      <c r="K614" s="7"/>
      <c r="L614" s="14"/>
      <c r="M614" s="14"/>
      <c r="N614" s="7"/>
      <c r="O614" s="21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</row>
    <row r="615" spans="1:91" ht="14.25" customHeight="1" x14ac:dyDescent="0.25">
      <c r="A615" s="13"/>
      <c r="B615" s="14"/>
      <c r="C615" s="14"/>
      <c r="D615" s="14"/>
      <c r="E615" s="24"/>
      <c r="F615" s="25"/>
      <c r="G615" s="308"/>
      <c r="H615" s="45"/>
      <c r="I615" s="14"/>
      <c r="J615" s="14"/>
      <c r="K615" s="7"/>
      <c r="L615" s="14"/>
      <c r="M615" s="14"/>
      <c r="N615" s="7"/>
      <c r="O615" s="21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</row>
    <row r="616" spans="1:91" ht="14.25" customHeight="1" x14ac:dyDescent="0.25">
      <c r="A616" s="13"/>
      <c r="B616" s="14"/>
      <c r="C616" s="14"/>
      <c r="D616" s="14"/>
      <c r="E616" s="24"/>
      <c r="F616" s="25"/>
      <c r="G616" s="308"/>
      <c r="H616" s="45"/>
      <c r="I616" s="14"/>
      <c r="J616" s="14"/>
      <c r="K616" s="7"/>
      <c r="L616" s="14"/>
      <c r="M616" s="14"/>
      <c r="N616" s="7"/>
      <c r="O616" s="21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</row>
    <row r="617" spans="1:91" ht="14.25" customHeight="1" x14ac:dyDescent="0.25">
      <c r="A617" s="13"/>
      <c r="B617" s="14"/>
      <c r="C617" s="14"/>
      <c r="D617" s="14"/>
      <c r="E617" s="24"/>
      <c r="F617" s="25"/>
      <c r="G617" s="308"/>
      <c r="H617" s="45"/>
      <c r="I617" s="14"/>
      <c r="J617" s="14"/>
      <c r="K617" s="7"/>
      <c r="L617" s="14"/>
      <c r="M617" s="14"/>
      <c r="N617" s="7"/>
      <c r="O617" s="21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</row>
    <row r="618" spans="1:91" ht="14.25" customHeight="1" x14ac:dyDescent="0.25">
      <c r="A618" s="13"/>
      <c r="B618" s="14"/>
      <c r="C618" s="14"/>
      <c r="D618" s="14"/>
      <c r="E618" s="24"/>
      <c r="F618" s="25"/>
      <c r="G618" s="308"/>
      <c r="H618" s="45"/>
      <c r="I618" s="14"/>
      <c r="J618" s="14"/>
      <c r="K618" s="7"/>
      <c r="L618" s="14"/>
      <c r="M618" s="14"/>
      <c r="N618" s="7"/>
      <c r="O618" s="21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</row>
    <row r="619" spans="1:91" ht="14.25" customHeight="1" x14ac:dyDescent="0.25">
      <c r="A619" s="13"/>
      <c r="B619" s="14"/>
      <c r="C619" s="14"/>
      <c r="D619" s="14"/>
      <c r="E619" s="24"/>
      <c r="F619" s="25"/>
      <c r="G619" s="308"/>
      <c r="H619" s="45"/>
      <c r="I619" s="14"/>
      <c r="J619" s="14"/>
      <c r="K619" s="7"/>
      <c r="L619" s="14"/>
      <c r="M619" s="14"/>
      <c r="N619" s="7"/>
      <c r="O619" s="21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</row>
    <row r="620" spans="1:91" ht="14.25" customHeight="1" x14ac:dyDescent="0.25">
      <c r="A620" s="13"/>
      <c r="B620" s="14"/>
      <c r="C620" s="14"/>
      <c r="D620" s="14"/>
      <c r="E620" s="24"/>
      <c r="F620" s="25"/>
      <c r="G620" s="308"/>
      <c r="H620" s="45"/>
      <c r="I620" s="14"/>
      <c r="J620" s="14"/>
      <c r="K620" s="7"/>
      <c r="L620" s="14"/>
      <c r="M620" s="14"/>
      <c r="N620" s="7"/>
      <c r="O620" s="21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</row>
    <row r="621" spans="1:91" ht="14.25" customHeight="1" x14ac:dyDescent="0.25">
      <c r="A621" s="13"/>
      <c r="B621" s="14"/>
      <c r="C621" s="14"/>
      <c r="D621" s="14"/>
      <c r="E621" s="24"/>
      <c r="F621" s="25"/>
      <c r="G621" s="308"/>
      <c r="H621" s="45"/>
      <c r="I621" s="14"/>
      <c r="J621" s="14"/>
      <c r="K621" s="7"/>
      <c r="L621" s="14"/>
      <c r="M621" s="14"/>
      <c r="N621" s="7"/>
      <c r="O621" s="21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</row>
    <row r="622" spans="1:91" ht="14.25" customHeight="1" x14ac:dyDescent="0.25">
      <c r="A622" s="13"/>
      <c r="B622" s="14"/>
      <c r="C622" s="14"/>
      <c r="D622" s="14"/>
      <c r="E622" s="24"/>
      <c r="F622" s="25"/>
      <c r="G622" s="308"/>
      <c r="H622" s="45"/>
      <c r="I622" s="14"/>
      <c r="J622" s="14"/>
      <c r="K622" s="7"/>
      <c r="L622" s="14"/>
      <c r="M622" s="14"/>
      <c r="N622" s="7"/>
      <c r="O622" s="21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</row>
    <row r="623" spans="1:91" ht="14.25" customHeight="1" x14ac:dyDescent="0.25">
      <c r="A623" s="13"/>
      <c r="B623" s="14"/>
      <c r="C623" s="14"/>
      <c r="D623" s="14"/>
      <c r="E623" s="24"/>
      <c r="F623" s="25"/>
      <c r="G623" s="308"/>
      <c r="H623" s="45"/>
      <c r="I623" s="14"/>
      <c r="J623" s="14"/>
      <c r="K623" s="7"/>
      <c r="L623" s="14"/>
      <c r="M623" s="14"/>
      <c r="N623" s="7"/>
      <c r="O623" s="21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</row>
    <row r="624" spans="1:91" ht="14.25" customHeight="1" x14ac:dyDescent="0.25">
      <c r="A624" s="13"/>
      <c r="B624" s="14"/>
      <c r="C624" s="14"/>
      <c r="D624" s="14"/>
      <c r="E624" s="24"/>
      <c r="F624" s="25"/>
      <c r="G624" s="308"/>
      <c r="H624" s="45"/>
      <c r="I624" s="14"/>
      <c r="J624" s="14"/>
      <c r="K624" s="7"/>
      <c r="L624" s="14"/>
      <c r="M624" s="14"/>
      <c r="N624" s="7"/>
      <c r="O624" s="21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</row>
    <row r="625" spans="1:91" ht="14.25" customHeight="1" x14ac:dyDescent="0.25">
      <c r="A625" s="13"/>
      <c r="B625" s="14"/>
      <c r="C625" s="14"/>
      <c r="D625" s="14"/>
      <c r="E625" s="24"/>
      <c r="F625" s="25"/>
      <c r="G625" s="308"/>
      <c r="H625" s="45"/>
      <c r="I625" s="14"/>
      <c r="J625" s="14"/>
      <c r="K625" s="7"/>
      <c r="L625" s="14"/>
      <c r="M625" s="14"/>
      <c r="N625" s="7"/>
      <c r="O625" s="21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</row>
    <row r="626" spans="1:91" ht="14.25" customHeight="1" x14ac:dyDescent="0.25">
      <c r="A626" s="13"/>
      <c r="B626" s="14"/>
      <c r="C626" s="14"/>
      <c r="D626" s="14"/>
      <c r="E626" s="24"/>
      <c r="F626" s="25"/>
      <c r="G626" s="308"/>
      <c r="H626" s="45"/>
      <c r="I626" s="14"/>
      <c r="J626" s="14"/>
      <c r="K626" s="7"/>
      <c r="L626" s="14"/>
      <c r="M626" s="14"/>
      <c r="N626" s="7"/>
      <c r="O626" s="21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</row>
    <row r="627" spans="1:91" ht="14.25" customHeight="1" x14ac:dyDescent="0.25">
      <c r="A627" s="13"/>
      <c r="B627" s="14"/>
      <c r="C627" s="14"/>
      <c r="D627" s="14"/>
      <c r="E627" s="24"/>
      <c r="F627" s="25"/>
      <c r="G627" s="308"/>
      <c r="H627" s="45"/>
      <c r="I627" s="14"/>
      <c r="J627" s="14"/>
      <c r="K627" s="7"/>
      <c r="L627" s="14"/>
      <c r="M627" s="14"/>
      <c r="N627" s="7"/>
      <c r="O627" s="21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</row>
    <row r="628" spans="1:91" ht="14.25" customHeight="1" x14ac:dyDescent="0.25">
      <c r="A628" s="13"/>
      <c r="B628" s="14"/>
      <c r="C628" s="14"/>
      <c r="D628" s="14"/>
      <c r="E628" s="24"/>
      <c r="F628" s="25"/>
      <c r="G628" s="308"/>
      <c r="H628" s="45"/>
      <c r="I628" s="14"/>
      <c r="J628" s="14"/>
      <c r="K628" s="7"/>
      <c r="L628" s="14"/>
      <c r="M628" s="14"/>
      <c r="N628" s="7"/>
      <c r="O628" s="21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</row>
    <row r="629" spans="1:91" ht="14.25" customHeight="1" x14ac:dyDescent="0.25">
      <c r="A629" s="13"/>
      <c r="B629" s="14"/>
      <c r="C629" s="14"/>
      <c r="D629" s="14"/>
      <c r="E629" s="24"/>
      <c r="F629" s="25"/>
      <c r="G629" s="308"/>
      <c r="H629" s="45"/>
      <c r="I629" s="14"/>
      <c r="J629" s="14"/>
      <c r="K629" s="7"/>
      <c r="L629" s="14"/>
      <c r="M629" s="14"/>
      <c r="N629" s="7"/>
      <c r="O629" s="21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</row>
    <row r="630" spans="1:91" ht="14.25" customHeight="1" x14ac:dyDescent="0.25">
      <c r="A630" s="13"/>
      <c r="B630" s="14"/>
      <c r="C630" s="14"/>
      <c r="D630" s="14"/>
      <c r="E630" s="24"/>
      <c r="F630" s="25"/>
      <c r="G630" s="308"/>
      <c r="H630" s="45"/>
      <c r="I630" s="14"/>
      <c r="J630" s="14"/>
      <c r="K630" s="7"/>
      <c r="L630" s="14"/>
      <c r="M630" s="14"/>
      <c r="N630" s="7"/>
      <c r="O630" s="21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</row>
    <row r="631" spans="1:91" ht="14.25" customHeight="1" x14ac:dyDescent="0.25">
      <c r="A631" s="13"/>
      <c r="B631" s="14"/>
      <c r="C631" s="14"/>
      <c r="D631" s="14"/>
      <c r="E631" s="24"/>
      <c r="F631" s="25"/>
      <c r="G631" s="308"/>
      <c r="H631" s="45"/>
      <c r="I631" s="14"/>
      <c r="J631" s="14"/>
      <c r="K631" s="7"/>
      <c r="L631" s="14"/>
      <c r="M631" s="14"/>
      <c r="N631" s="7"/>
      <c r="O631" s="21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</row>
    <row r="632" spans="1:91" ht="14.25" customHeight="1" x14ac:dyDescent="0.25">
      <c r="A632" s="13"/>
      <c r="B632" s="14"/>
      <c r="C632" s="14"/>
      <c r="D632" s="14"/>
      <c r="E632" s="24"/>
      <c r="F632" s="25"/>
      <c r="G632" s="308"/>
      <c r="H632" s="45"/>
      <c r="I632" s="14"/>
      <c r="J632" s="14"/>
      <c r="K632" s="7"/>
      <c r="L632" s="14"/>
      <c r="M632" s="14"/>
      <c r="N632" s="7"/>
      <c r="O632" s="21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</row>
    <row r="633" spans="1:91" ht="14.25" customHeight="1" x14ac:dyDescent="0.25">
      <c r="A633" s="13"/>
      <c r="B633" s="14"/>
      <c r="C633" s="14"/>
      <c r="D633" s="14"/>
      <c r="E633" s="24"/>
      <c r="F633" s="25"/>
      <c r="G633" s="308"/>
      <c r="H633" s="45"/>
      <c r="I633" s="14"/>
      <c r="J633" s="14"/>
      <c r="K633" s="7"/>
      <c r="L633" s="14"/>
      <c r="M633" s="14"/>
      <c r="N633" s="7"/>
      <c r="O633" s="21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>
        <v>1</v>
      </c>
    </row>
    <row r="634" spans="1:91" ht="14.25" customHeight="1" x14ac:dyDescent="0.25">
      <c r="A634" s="13"/>
      <c r="B634" s="14"/>
      <c r="C634" s="14"/>
      <c r="D634" s="14"/>
      <c r="E634" s="24"/>
      <c r="F634" s="25"/>
      <c r="G634" s="308"/>
      <c r="H634" s="45"/>
      <c r="I634" s="14"/>
      <c r="J634" s="14"/>
      <c r="K634" s="7"/>
      <c r="L634" s="14"/>
      <c r="M634" s="14"/>
      <c r="N634" s="7"/>
      <c r="O634" s="21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</row>
    <row r="635" spans="1:91" ht="14.25" customHeight="1" x14ac:dyDescent="0.25">
      <c r="A635" s="13"/>
      <c r="B635" s="14"/>
      <c r="C635" s="14"/>
      <c r="D635" s="14"/>
      <c r="E635" s="24"/>
      <c r="F635" s="25"/>
      <c r="G635" s="308"/>
      <c r="H635" s="45"/>
      <c r="I635" s="14"/>
      <c r="J635" s="14"/>
      <c r="K635" s="7"/>
      <c r="L635" s="14"/>
      <c r="M635" s="14"/>
      <c r="N635" s="7"/>
      <c r="O635" s="21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</row>
    <row r="636" spans="1:91" ht="14.25" customHeight="1" x14ac:dyDescent="0.25">
      <c r="A636" s="13"/>
      <c r="B636" s="14"/>
      <c r="C636" s="14"/>
      <c r="D636" s="14"/>
      <c r="E636" s="24"/>
      <c r="F636" s="25"/>
      <c r="G636" s="308"/>
      <c r="H636" s="45"/>
      <c r="I636" s="14"/>
      <c r="J636" s="14"/>
      <c r="K636" s="7"/>
      <c r="L636" s="14"/>
      <c r="M636" s="14"/>
      <c r="N636" s="7"/>
      <c r="O636" s="21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</row>
    <row r="637" spans="1:91" ht="14.25" customHeight="1" x14ac:dyDescent="0.25">
      <c r="A637" s="13"/>
      <c r="B637" s="14"/>
      <c r="C637" s="14"/>
      <c r="D637" s="14"/>
      <c r="E637" s="24"/>
      <c r="F637" s="25"/>
      <c r="G637" s="308"/>
      <c r="H637" s="45"/>
      <c r="I637" s="14"/>
      <c r="J637" s="14"/>
      <c r="K637" s="7"/>
      <c r="L637" s="14"/>
      <c r="M637" s="14"/>
      <c r="N637" s="7"/>
      <c r="O637" s="21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</row>
    <row r="638" spans="1:91" ht="14.25" customHeight="1" x14ac:dyDescent="0.25">
      <c r="A638" s="13"/>
      <c r="B638" s="14"/>
      <c r="C638" s="14"/>
      <c r="D638" s="14"/>
      <c r="E638" s="24"/>
      <c r="F638" s="25"/>
      <c r="G638" s="308"/>
      <c r="H638" s="45"/>
      <c r="I638" s="14"/>
      <c r="J638" s="14"/>
      <c r="K638" s="7"/>
      <c r="L638" s="14"/>
      <c r="M638" s="14"/>
      <c r="N638" s="7"/>
      <c r="O638" s="21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</row>
    <row r="639" spans="1:91" ht="14.25" customHeight="1" x14ac:dyDescent="0.25">
      <c r="A639" s="13"/>
      <c r="B639" s="14"/>
      <c r="C639" s="14"/>
      <c r="D639" s="14"/>
      <c r="E639" s="24"/>
      <c r="F639" s="25"/>
      <c r="G639" s="308"/>
      <c r="H639" s="45"/>
      <c r="I639" s="14"/>
      <c r="J639" s="14"/>
      <c r="K639" s="7"/>
      <c r="L639" s="14"/>
      <c r="M639" s="14"/>
      <c r="N639" s="7"/>
      <c r="O639" s="21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</row>
    <row r="640" spans="1:91" ht="14.25" customHeight="1" x14ac:dyDescent="0.25">
      <c r="A640" s="13"/>
      <c r="B640" s="14"/>
      <c r="C640" s="14"/>
      <c r="D640" s="14"/>
      <c r="E640" s="24"/>
      <c r="F640" s="25"/>
      <c r="G640" s="308"/>
      <c r="H640" s="45"/>
      <c r="I640" s="14"/>
      <c r="J640" s="14"/>
      <c r="K640" s="7"/>
      <c r="L640" s="14"/>
      <c r="M640" s="14"/>
      <c r="N640" s="7"/>
      <c r="O640" s="21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</row>
    <row r="641" spans="1:91" ht="14.25" customHeight="1" x14ac:dyDescent="0.25">
      <c r="A641" s="13"/>
      <c r="B641" s="14"/>
      <c r="C641" s="14"/>
      <c r="D641" s="14"/>
      <c r="E641" s="24"/>
      <c r="F641" s="25"/>
      <c r="G641" s="308"/>
      <c r="H641" s="45"/>
      <c r="I641" s="14"/>
      <c r="J641" s="14"/>
      <c r="K641" s="7"/>
      <c r="L641" s="14"/>
      <c r="M641" s="14"/>
      <c r="N641" s="7"/>
      <c r="O641" s="21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</row>
    <row r="642" spans="1:91" ht="14.25" customHeight="1" x14ac:dyDescent="0.25">
      <c r="A642" s="13"/>
      <c r="B642" s="14"/>
      <c r="C642" s="14"/>
      <c r="D642" s="14"/>
      <c r="E642" s="24"/>
      <c r="F642" s="25"/>
      <c r="G642" s="308"/>
      <c r="H642" s="45"/>
      <c r="I642" s="14"/>
      <c r="J642" s="14"/>
      <c r="K642" s="7"/>
      <c r="L642" s="14"/>
      <c r="M642" s="14"/>
      <c r="N642" s="7"/>
      <c r="O642" s="21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</row>
    <row r="643" spans="1:91" ht="14.25" customHeight="1" x14ac:dyDescent="0.25">
      <c r="A643" s="13"/>
      <c r="B643" s="14"/>
      <c r="C643" s="14"/>
      <c r="D643" s="14"/>
      <c r="E643" s="24"/>
      <c r="F643" s="25"/>
      <c r="G643" s="308"/>
      <c r="H643" s="45"/>
      <c r="I643" s="14"/>
      <c r="J643" s="14"/>
      <c r="K643" s="7"/>
      <c r="L643" s="14"/>
      <c r="M643" s="14"/>
      <c r="N643" s="7"/>
      <c r="O643" s="21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</row>
    <row r="644" spans="1:91" ht="14.25" customHeight="1" x14ac:dyDescent="0.25">
      <c r="A644" s="13"/>
      <c r="B644" s="14"/>
      <c r="C644" s="14"/>
      <c r="D644" s="14"/>
      <c r="E644" s="24"/>
      <c r="F644" s="25"/>
      <c r="G644" s="308"/>
      <c r="H644" s="45"/>
      <c r="I644" s="14"/>
      <c r="J644" s="14"/>
      <c r="K644" s="7"/>
      <c r="L644" s="14"/>
      <c r="M644" s="14"/>
      <c r="N644" s="7"/>
      <c r="O644" s="21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</row>
    <row r="645" spans="1:91" ht="14.25" customHeight="1" x14ac:dyDescent="0.25">
      <c r="A645" s="13"/>
      <c r="B645" s="14"/>
      <c r="C645" s="14"/>
      <c r="D645" s="14"/>
      <c r="E645" s="24"/>
      <c r="F645" s="25"/>
      <c r="G645" s="308"/>
      <c r="H645" s="45"/>
      <c r="I645" s="14"/>
      <c r="J645" s="14"/>
      <c r="K645" s="7"/>
      <c r="L645" s="14"/>
      <c r="M645" s="14"/>
      <c r="N645" s="7"/>
      <c r="O645" s="21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</row>
    <row r="646" spans="1:91" ht="14.25" customHeight="1" x14ac:dyDescent="0.25">
      <c r="A646" s="13"/>
      <c r="B646" s="14"/>
      <c r="C646" s="14"/>
      <c r="D646" s="14"/>
      <c r="E646" s="24"/>
      <c r="F646" s="25"/>
      <c r="G646" s="308"/>
      <c r="H646" s="45"/>
      <c r="I646" s="14"/>
      <c r="J646" s="14"/>
      <c r="K646" s="7"/>
      <c r="L646" s="14"/>
      <c r="M646" s="14"/>
      <c r="N646" s="7"/>
      <c r="O646" s="21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</row>
    <row r="647" spans="1:91" ht="14.25" customHeight="1" x14ac:dyDescent="0.25">
      <c r="A647" s="13"/>
      <c r="B647" s="14"/>
      <c r="C647" s="14"/>
      <c r="D647" s="14"/>
      <c r="E647" s="24"/>
      <c r="F647" s="25"/>
      <c r="G647" s="308"/>
      <c r="H647" s="45"/>
      <c r="I647" s="14"/>
      <c r="J647" s="14"/>
      <c r="K647" s="7"/>
      <c r="L647" s="14"/>
      <c r="M647" s="14"/>
      <c r="N647" s="7"/>
      <c r="O647" s="21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</row>
    <row r="648" spans="1:91" ht="14.25" customHeight="1" x14ac:dyDescent="0.25">
      <c r="A648" s="13"/>
      <c r="B648" s="14"/>
      <c r="C648" s="14"/>
      <c r="D648" s="14"/>
      <c r="E648" s="24"/>
      <c r="F648" s="25"/>
      <c r="G648" s="308"/>
      <c r="H648" s="45"/>
      <c r="I648" s="14"/>
      <c r="J648" s="14"/>
      <c r="K648" s="7"/>
      <c r="L648" s="14"/>
      <c r="M648" s="14"/>
      <c r="N648" s="7"/>
      <c r="O648" s="21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</row>
    <row r="649" spans="1:91" ht="14.25" customHeight="1" x14ac:dyDescent="0.25">
      <c r="A649" s="13"/>
      <c r="B649" s="14"/>
      <c r="C649" s="14"/>
      <c r="D649" s="14"/>
      <c r="E649" s="24"/>
      <c r="F649" s="25"/>
      <c r="G649" s="308"/>
      <c r="H649" s="45"/>
      <c r="I649" s="14"/>
      <c r="J649" s="14"/>
      <c r="K649" s="7"/>
      <c r="L649" s="14"/>
      <c r="M649" s="14"/>
      <c r="N649" s="7"/>
      <c r="O649" s="21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</row>
    <row r="650" spans="1:91" ht="14.25" customHeight="1" x14ac:dyDescent="0.25">
      <c r="A650" s="13"/>
      <c r="B650" s="14"/>
      <c r="C650" s="14"/>
      <c r="D650" s="14"/>
      <c r="E650" s="24"/>
      <c r="F650" s="25"/>
      <c r="G650" s="308"/>
      <c r="H650" s="45"/>
      <c r="I650" s="14"/>
      <c r="J650" s="14"/>
      <c r="K650" s="7"/>
      <c r="L650" s="14"/>
      <c r="M650" s="14"/>
      <c r="N650" s="7"/>
      <c r="O650" s="21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</row>
    <row r="651" spans="1:91" ht="14.25" customHeight="1" x14ac:dyDescent="0.25">
      <c r="A651" s="13"/>
      <c r="B651" s="14"/>
      <c r="C651" s="14"/>
      <c r="D651" s="14"/>
      <c r="E651" s="24"/>
      <c r="F651" s="25"/>
      <c r="G651" s="308"/>
      <c r="H651" s="45"/>
      <c r="I651" s="14"/>
      <c r="J651" s="14"/>
      <c r="K651" s="7"/>
      <c r="L651" s="14"/>
      <c r="M651" s="14"/>
      <c r="N651" s="7"/>
      <c r="O651" s="21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</row>
    <row r="652" spans="1:91" ht="14.25" customHeight="1" x14ac:dyDescent="0.25">
      <c r="A652" s="13"/>
      <c r="B652" s="14"/>
      <c r="C652" s="14"/>
      <c r="D652" s="14"/>
      <c r="E652" s="24"/>
      <c r="F652" s="25"/>
      <c r="G652" s="308"/>
      <c r="H652" s="45"/>
      <c r="I652" s="14"/>
      <c r="J652" s="14"/>
      <c r="K652" s="7"/>
      <c r="L652" s="14"/>
      <c r="M652" s="14"/>
      <c r="N652" s="7"/>
      <c r="O652" s="21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</row>
    <row r="653" spans="1:91" ht="14.25" customHeight="1" x14ac:dyDescent="0.25">
      <c r="A653" s="13"/>
      <c r="B653" s="14"/>
      <c r="C653" s="14"/>
      <c r="D653" s="14"/>
      <c r="E653" s="24"/>
      <c r="F653" s="25"/>
      <c r="G653" s="308"/>
      <c r="H653" s="45"/>
      <c r="I653" s="14"/>
      <c r="J653" s="14"/>
      <c r="K653" s="7"/>
      <c r="L653" s="14"/>
      <c r="M653" s="14"/>
      <c r="N653" s="7"/>
      <c r="O653" s="21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</row>
    <row r="654" spans="1:91" ht="14.25" customHeight="1" x14ac:dyDescent="0.25">
      <c r="A654" s="13"/>
      <c r="B654" s="14"/>
      <c r="C654" s="14"/>
      <c r="D654" s="14"/>
      <c r="E654" s="24"/>
      <c r="F654" s="25"/>
      <c r="G654" s="308"/>
      <c r="H654" s="45"/>
      <c r="I654" s="14"/>
      <c r="J654" s="14"/>
      <c r="K654" s="7"/>
      <c r="L654" s="14"/>
      <c r="M654" s="14"/>
      <c r="N654" s="7"/>
      <c r="O654" s="21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</row>
    <row r="655" spans="1:91" ht="14.25" customHeight="1" x14ac:dyDescent="0.25">
      <c r="A655" s="13"/>
      <c r="B655" s="14"/>
      <c r="C655" s="14"/>
      <c r="D655" s="14"/>
      <c r="E655" s="24"/>
      <c r="F655" s="25"/>
      <c r="G655" s="308"/>
      <c r="H655" s="45"/>
      <c r="I655" s="14"/>
      <c r="J655" s="14"/>
      <c r="K655" s="7"/>
      <c r="L655" s="14"/>
      <c r="M655" s="14"/>
      <c r="N655" s="7"/>
      <c r="O655" s="21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</row>
    <row r="656" spans="1:91" ht="14.25" customHeight="1" x14ac:dyDescent="0.25">
      <c r="A656" s="13"/>
      <c r="B656" s="14"/>
      <c r="C656" s="14"/>
      <c r="D656" s="14"/>
      <c r="E656" s="24"/>
      <c r="F656" s="25"/>
      <c r="G656" s="308"/>
      <c r="H656" s="45"/>
      <c r="I656" s="14"/>
      <c r="J656" s="14"/>
      <c r="K656" s="7"/>
      <c r="L656" s="14"/>
      <c r="M656" s="14"/>
      <c r="N656" s="7"/>
      <c r="O656" s="21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</row>
    <row r="657" spans="1:91" ht="14.25" customHeight="1" x14ac:dyDescent="0.25">
      <c r="A657" s="13"/>
      <c r="B657" s="14"/>
      <c r="C657" s="14"/>
      <c r="D657" s="14"/>
      <c r="E657" s="24"/>
      <c r="F657" s="25"/>
      <c r="G657" s="308"/>
      <c r="H657" s="45"/>
      <c r="I657" s="14"/>
      <c r="J657" s="14"/>
      <c r="K657" s="7"/>
      <c r="L657" s="14"/>
      <c r="M657" s="14"/>
      <c r="N657" s="7"/>
      <c r="O657" s="21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</row>
    <row r="658" spans="1:91" ht="14.25" customHeight="1" x14ac:dyDescent="0.25">
      <c r="A658" s="13"/>
      <c r="B658" s="14"/>
      <c r="C658" s="14"/>
      <c r="D658" s="14"/>
      <c r="E658" s="24"/>
      <c r="F658" s="25"/>
      <c r="G658" s="308"/>
      <c r="H658" s="45"/>
      <c r="I658" s="14"/>
      <c r="J658" s="14"/>
      <c r="K658" s="7"/>
      <c r="L658" s="14"/>
      <c r="M658" s="14"/>
      <c r="N658" s="7"/>
      <c r="O658" s="21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</row>
    <row r="659" spans="1:91" ht="14.25" customHeight="1" x14ac:dyDescent="0.25">
      <c r="A659" s="13"/>
      <c r="B659" s="14"/>
      <c r="C659" s="14"/>
      <c r="D659" s="14"/>
      <c r="E659" s="24"/>
      <c r="F659" s="25"/>
      <c r="G659" s="308"/>
      <c r="H659" s="45"/>
      <c r="I659" s="14"/>
      <c r="J659" s="14"/>
      <c r="K659" s="7"/>
      <c r="L659" s="14"/>
      <c r="M659" s="14"/>
      <c r="N659" s="7"/>
      <c r="O659" s="21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</row>
    <row r="660" spans="1:91" ht="14.25" customHeight="1" x14ac:dyDescent="0.25">
      <c r="A660" s="13"/>
      <c r="B660" s="14"/>
      <c r="C660" s="14"/>
      <c r="D660" s="14"/>
      <c r="E660" s="24"/>
      <c r="F660" s="25"/>
      <c r="G660" s="308"/>
      <c r="H660" s="45"/>
      <c r="I660" s="14"/>
      <c r="J660" s="14"/>
      <c r="K660" s="7"/>
      <c r="L660" s="14"/>
      <c r="M660" s="14"/>
      <c r="N660" s="7"/>
      <c r="O660" s="21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</row>
    <row r="661" spans="1:91" ht="14.25" customHeight="1" x14ac:dyDescent="0.25">
      <c r="A661" s="13"/>
      <c r="B661" s="14"/>
      <c r="C661" s="14"/>
      <c r="D661" s="14"/>
      <c r="E661" s="24"/>
      <c r="F661" s="25"/>
      <c r="G661" s="308"/>
      <c r="H661" s="45"/>
      <c r="I661" s="14"/>
      <c r="J661" s="14"/>
      <c r="K661" s="7"/>
      <c r="L661" s="14"/>
      <c r="M661" s="14"/>
      <c r="N661" s="7"/>
      <c r="O661" s="21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</row>
    <row r="662" spans="1:91" ht="14.25" customHeight="1" x14ac:dyDescent="0.25">
      <c r="A662" s="13"/>
      <c r="B662" s="14"/>
      <c r="C662" s="14"/>
      <c r="D662" s="14"/>
      <c r="E662" s="24"/>
      <c r="F662" s="25"/>
      <c r="G662" s="308"/>
      <c r="H662" s="45"/>
      <c r="I662" s="14"/>
      <c r="J662" s="14"/>
      <c r="K662" s="7"/>
      <c r="L662" s="14"/>
      <c r="M662" s="14"/>
      <c r="N662" s="7"/>
      <c r="O662" s="21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</row>
    <row r="663" spans="1:91" ht="14.25" customHeight="1" x14ac:dyDescent="0.25">
      <c r="A663" s="13"/>
      <c r="B663" s="14"/>
      <c r="C663" s="14"/>
      <c r="D663" s="14"/>
      <c r="E663" s="24"/>
      <c r="F663" s="25"/>
      <c r="G663" s="308"/>
      <c r="H663" s="45"/>
      <c r="I663" s="14"/>
      <c r="J663" s="14"/>
      <c r="K663" s="7"/>
      <c r="L663" s="14"/>
      <c r="M663" s="14"/>
      <c r="N663" s="7"/>
      <c r="O663" s="21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</row>
    <row r="664" spans="1:91" ht="14.25" customHeight="1" x14ac:dyDescent="0.25">
      <c r="A664" s="13"/>
      <c r="B664" s="14"/>
      <c r="C664" s="14"/>
      <c r="D664" s="14"/>
      <c r="E664" s="24"/>
      <c r="F664" s="25"/>
      <c r="G664" s="308"/>
      <c r="H664" s="45"/>
      <c r="I664" s="14"/>
      <c r="J664" s="14"/>
      <c r="K664" s="7"/>
      <c r="L664" s="14"/>
      <c r="M664" s="14"/>
      <c r="N664" s="7"/>
      <c r="O664" s="21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</row>
    <row r="665" spans="1:91" ht="14.25" customHeight="1" x14ac:dyDescent="0.25">
      <c r="A665" s="13"/>
      <c r="B665" s="14"/>
      <c r="C665" s="14"/>
      <c r="D665" s="14"/>
      <c r="E665" s="24"/>
      <c r="F665" s="25"/>
      <c r="G665" s="308"/>
      <c r="H665" s="45"/>
      <c r="I665" s="14"/>
      <c r="J665" s="14"/>
      <c r="K665" s="7"/>
      <c r="L665" s="14"/>
      <c r="M665" s="14"/>
      <c r="N665" s="7"/>
      <c r="O665" s="21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</row>
    <row r="666" spans="1:91" ht="14.25" customHeight="1" x14ac:dyDescent="0.25">
      <c r="A666" s="13"/>
      <c r="B666" s="14"/>
      <c r="C666" s="14"/>
      <c r="D666" s="14"/>
      <c r="E666" s="24"/>
      <c r="F666" s="25"/>
      <c r="G666" s="308"/>
      <c r="H666" s="45"/>
      <c r="I666" s="14"/>
      <c r="J666" s="14"/>
      <c r="K666" s="7"/>
      <c r="L666" s="14"/>
      <c r="M666" s="14"/>
      <c r="N666" s="7"/>
      <c r="O666" s="21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>
        <v>1</v>
      </c>
    </row>
    <row r="667" spans="1:91" ht="14.25" customHeight="1" x14ac:dyDescent="0.25">
      <c r="A667" s="13"/>
      <c r="B667" s="14"/>
      <c r="C667" s="14"/>
      <c r="D667" s="14"/>
      <c r="E667" s="24"/>
      <c r="F667" s="25"/>
      <c r="G667" s="308"/>
      <c r="H667" s="45"/>
      <c r="I667" s="14"/>
      <c r="J667" s="14"/>
      <c r="K667" s="7"/>
      <c r="L667" s="14"/>
      <c r="M667" s="14"/>
      <c r="N667" s="7"/>
      <c r="O667" s="21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</row>
    <row r="668" spans="1:91" ht="14.25" customHeight="1" x14ac:dyDescent="0.25">
      <c r="A668" s="13"/>
      <c r="B668" s="14"/>
      <c r="C668" s="14"/>
      <c r="D668" s="14"/>
      <c r="E668" s="24"/>
      <c r="F668" s="25"/>
      <c r="G668" s="308"/>
      <c r="H668" s="45"/>
      <c r="I668" s="14"/>
      <c r="J668" s="14"/>
      <c r="K668" s="7"/>
      <c r="L668" s="14"/>
      <c r="M668" s="14"/>
      <c r="N668" s="7"/>
      <c r="O668" s="21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</row>
    <row r="669" spans="1:91" ht="14.25" customHeight="1" x14ac:dyDescent="0.25">
      <c r="A669" s="13"/>
      <c r="B669" s="14"/>
      <c r="C669" s="14"/>
      <c r="D669" s="14"/>
      <c r="E669" s="24"/>
      <c r="F669" s="25"/>
      <c r="G669" s="308"/>
      <c r="H669" s="45"/>
      <c r="I669" s="14"/>
      <c r="J669" s="14"/>
      <c r="K669" s="7"/>
      <c r="L669" s="14"/>
      <c r="M669" s="14"/>
      <c r="N669" s="7"/>
      <c r="O669" s="21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</row>
    <row r="670" spans="1:91" ht="14.25" customHeight="1" x14ac:dyDescent="0.25">
      <c r="A670" s="13"/>
      <c r="B670" s="14"/>
      <c r="C670" s="14"/>
      <c r="D670" s="14"/>
      <c r="E670" s="24"/>
      <c r="F670" s="25"/>
      <c r="G670" s="308"/>
      <c r="H670" s="45"/>
      <c r="I670" s="14"/>
      <c r="J670" s="14"/>
      <c r="K670" s="7"/>
      <c r="L670" s="14"/>
      <c r="M670" s="14"/>
      <c r="N670" s="7"/>
      <c r="O670" s="21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</row>
    <row r="671" spans="1:91" ht="14.25" customHeight="1" x14ac:dyDescent="0.25">
      <c r="A671" s="13"/>
      <c r="B671" s="14"/>
      <c r="C671" s="14"/>
      <c r="D671" s="14"/>
      <c r="E671" s="24"/>
      <c r="F671" s="25"/>
      <c r="G671" s="308"/>
      <c r="H671" s="45"/>
      <c r="I671" s="14"/>
      <c r="J671" s="14"/>
      <c r="K671" s="7"/>
      <c r="L671" s="14"/>
      <c r="M671" s="14"/>
      <c r="N671" s="7"/>
      <c r="O671" s="21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</row>
    <row r="672" spans="1:91" ht="14.25" customHeight="1" x14ac:dyDescent="0.25">
      <c r="A672" s="13"/>
      <c r="B672" s="14"/>
      <c r="C672" s="14"/>
      <c r="D672" s="14"/>
      <c r="E672" s="24"/>
      <c r="F672" s="25"/>
      <c r="G672" s="308"/>
      <c r="H672" s="45"/>
      <c r="I672" s="14"/>
      <c r="J672" s="14"/>
      <c r="K672" s="7"/>
      <c r="L672" s="14"/>
      <c r="M672" s="14"/>
      <c r="N672" s="7"/>
      <c r="O672" s="21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</row>
    <row r="673" spans="1:91" ht="14.25" customHeight="1" x14ac:dyDescent="0.25">
      <c r="A673" s="13"/>
      <c r="B673" s="14"/>
      <c r="C673" s="14"/>
      <c r="D673" s="14"/>
      <c r="E673" s="24"/>
      <c r="F673" s="25"/>
      <c r="G673" s="308"/>
      <c r="H673" s="45"/>
      <c r="I673" s="14"/>
      <c r="J673" s="14"/>
      <c r="K673" s="7"/>
      <c r="L673" s="14"/>
      <c r="M673" s="14"/>
      <c r="N673" s="7"/>
      <c r="O673" s="21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</row>
    <row r="674" spans="1:91" ht="14.25" customHeight="1" x14ac:dyDescent="0.25">
      <c r="A674" s="13"/>
      <c r="B674" s="14"/>
      <c r="C674" s="14"/>
      <c r="D674" s="14"/>
      <c r="E674" s="24"/>
      <c r="F674" s="25"/>
      <c r="G674" s="308"/>
      <c r="H674" s="45"/>
      <c r="I674" s="14"/>
      <c r="J674" s="14"/>
      <c r="K674" s="7"/>
      <c r="L674" s="14"/>
      <c r="M674" s="14"/>
      <c r="N674" s="7"/>
      <c r="O674" s="21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</row>
    <row r="675" spans="1:91" ht="14.25" customHeight="1" x14ac:dyDescent="0.25">
      <c r="A675" s="13"/>
      <c r="B675" s="14"/>
      <c r="C675" s="14"/>
      <c r="D675" s="14"/>
      <c r="E675" s="24"/>
      <c r="F675" s="25"/>
      <c r="G675" s="308"/>
      <c r="H675" s="45"/>
      <c r="I675" s="14"/>
      <c r="J675" s="14"/>
      <c r="K675" s="7"/>
      <c r="L675" s="14"/>
      <c r="M675" s="14"/>
      <c r="N675" s="7"/>
      <c r="O675" s="21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</row>
    <row r="676" spans="1:91" ht="14.25" customHeight="1" x14ac:dyDescent="0.25">
      <c r="A676" s="13"/>
      <c r="B676" s="14"/>
      <c r="C676" s="14"/>
      <c r="D676" s="14"/>
      <c r="E676" s="24"/>
      <c r="F676" s="25"/>
      <c r="G676" s="308"/>
      <c r="H676" s="45"/>
      <c r="I676" s="14"/>
      <c r="J676" s="14"/>
      <c r="K676" s="7"/>
      <c r="L676" s="14"/>
      <c r="M676" s="14"/>
      <c r="N676" s="7"/>
      <c r="O676" s="21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</row>
    <row r="677" spans="1:91" ht="14.25" customHeight="1" x14ac:dyDescent="0.25">
      <c r="A677" s="13"/>
      <c r="B677" s="14"/>
      <c r="C677" s="14"/>
      <c r="D677" s="14"/>
      <c r="E677" s="24"/>
      <c r="F677" s="25"/>
      <c r="G677" s="308"/>
      <c r="H677" s="45"/>
      <c r="I677" s="14"/>
      <c r="J677" s="14"/>
      <c r="K677" s="7"/>
      <c r="L677" s="14"/>
      <c r="M677" s="14"/>
      <c r="N677" s="7"/>
      <c r="O677" s="21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</row>
    <row r="678" spans="1:91" ht="14.25" customHeight="1" x14ac:dyDescent="0.25">
      <c r="A678" s="13"/>
      <c r="B678" s="14"/>
      <c r="C678" s="14"/>
      <c r="D678" s="14"/>
      <c r="E678" s="24"/>
      <c r="F678" s="25"/>
      <c r="G678" s="308"/>
      <c r="H678" s="45"/>
      <c r="I678" s="14"/>
      <c r="J678" s="14"/>
      <c r="K678" s="7"/>
      <c r="L678" s="14"/>
      <c r="M678" s="14"/>
      <c r="N678" s="7"/>
      <c r="O678" s="21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</row>
    <row r="679" spans="1:91" ht="14.25" customHeight="1" x14ac:dyDescent="0.25">
      <c r="A679" s="13"/>
      <c r="B679" s="14"/>
      <c r="C679" s="14"/>
      <c r="D679" s="14"/>
      <c r="E679" s="24"/>
      <c r="F679" s="25"/>
      <c r="G679" s="308"/>
      <c r="H679" s="45"/>
      <c r="I679" s="14"/>
      <c r="J679" s="14"/>
      <c r="K679" s="7"/>
      <c r="L679" s="14"/>
      <c r="M679" s="14"/>
      <c r="N679" s="7"/>
      <c r="O679" s="21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</row>
    <row r="680" spans="1:91" ht="14.25" customHeight="1" x14ac:dyDescent="0.25">
      <c r="A680" s="13"/>
      <c r="B680" s="14"/>
      <c r="C680" s="14"/>
      <c r="D680" s="14"/>
      <c r="E680" s="24"/>
      <c r="F680" s="25"/>
      <c r="G680" s="308"/>
      <c r="H680" s="45"/>
      <c r="I680" s="14"/>
      <c r="J680" s="14"/>
      <c r="K680" s="7"/>
      <c r="L680" s="14"/>
      <c r="M680" s="14"/>
      <c r="N680" s="7"/>
      <c r="O680" s="21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</row>
    <row r="681" spans="1:91" ht="14.25" customHeight="1" x14ac:dyDescent="0.25">
      <c r="A681" s="13"/>
      <c r="B681" s="14"/>
      <c r="C681" s="14"/>
      <c r="D681" s="14"/>
      <c r="E681" s="24"/>
      <c r="F681" s="25"/>
      <c r="G681" s="308"/>
      <c r="H681" s="45"/>
      <c r="I681" s="14"/>
      <c r="J681" s="14"/>
      <c r="K681" s="7"/>
      <c r="L681" s="14"/>
      <c r="M681" s="14"/>
      <c r="N681" s="7"/>
      <c r="O681" s="21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</row>
    <row r="682" spans="1:91" ht="14.25" customHeight="1" x14ac:dyDescent="0.25">
      <c r="A682" s="13"/>
      <c r="B682" s="14"/>
      <c r="C682" s="14"/>
      <c r="D682" s="14"/>
      <c r="E682" s="24"/>
      <c r="F682" s="25"/>
      <c r="G682" s="308"/>
      <c r="H682" s="45"/>
      <c r="I682" s="14"/>
      <c r="J682" s="14"/>
      <c r="K682" s="7"/>
      <c r="L682" s="14"/>
      <c r="M682" s="14"/>
      <c r="N682" s="7"/>
      <c r="O682" s="21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</row>
    <row r="683" spans="1:91" ht="14.25" customHeight="1" x14ac:dyDescent="0.25">
      <c r="A683" s="13"/>
      <c r="B683" s="14"/>
      <c r="C683" s="14"/>
      <c r="D683" s="14"/>
      <c r="E683" s="24"/>
      <c r="F683" s="25"/>
      <c r="G683" s="308"/>
      <c r="H683" s="45"/>
      <c r="I683" s="14"/>
      <c r="J683" s="14"/>
      <c r="K683" s="7"/>
      <c r="L683" s="14"/>
      <c r="M683" s="14"/>
      <c r="N683" s="7"/>
      <c r="O683" s="21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</row>
    <row r="684" spans="1:91" ht="14.25" customHeight="1" x14ac:dyDescent="0.25">
      <c r="A684" s="13"/>
      <c r="B684" s="14"/>
      <c r="C684" s="14"/>
      <c r="D684" s="14"/>
      <c r="E684" s="24"/>
      <c r="F684" s="25"/>
      <c r="G684" s="308"/>
      <c r="H684" s="45"/>
      <c r="I684" s="14"/>
      <c r="J684" s="14"/>
      <c r="K684" s="7"/>
      <c r="L684" s="14"/>
      <c r="M684" s="14"/>
      <c r="N684" s="7"/>
      <c r="O684" s="21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</row>
    <row r="685" spans="1:91" ht="14.25" customHeight="1" x14ac:dyDescent="0.25">
      <c r="A685" s="13"/>
      <c r="B685" s="14"/>
      <c r="C685" s="14"/>
      <c r="D685" s="14"/>
      <c r="E685" s="24"/>
      <c r="F685" s="25"/>
      <c r="G685" s="308"/>
      <c r="H685" s="45"/>
      <c r="I685" s="14"/>
      <c r="J685" s="14"/>
      <c r="K685" s="7"/>
      <c r="L685" s="14"/>
      <c r="M685" s="14"/>
      <c r="N685" s="7"/>
      <c r="O685" s="21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</row>
    <row r="686" spans="1:91" ht="14.25" customHeight="1" x14ac:dyDescent="0.25">
      <c r="A686" s="13"/>
      <c r="B686" s="14"/>
      <c r="C686" s="14"/>
      <c r="D686" s="14"/>
      <c r="E686" s="24"/>
      <c r="F686" s="25"/>
      <c r="G686" s="308"/>
      <c r="H686" s="45"/>
      <c r="I686" s="14"/>
      <c r="J686" s="14"/>
      <c r="K686" s="7"/>
      <c r="L686" s="14"/>
      <c r="M686" s="14"/>
      <c r="N686" s="7"/>
      <c r="O686" s="21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</row>
    <row r="687" spans="1:91" ht="14.25" customHeight="1" x14ac:dyDescent="0.25">
      <c r="A687" s="13"/>
      <c r="B687" s="14"/>
      <c r="C687" s="14"/>
      <c r="D687" s="14"/>
      <c r="E687" s="24"/>
      <c r="F687" s="25"/>
      <c r="G687" s="308"/>
      <c r="H687" s="45"/>
      <c r="I687" s="14"/>
      <c r="J687" s="14"/>
      <c r="K687" s="7"/>
      <c r="L687" s="14"/>
      <c r="M687" s="14"/>
      <c r="N687" s="7"/>
      <c r="O687" s="21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</row>
    <row r="688" spans="1:91" ht="14.25" customHeight="1" x14ac:dyDescent="0.25">
      <c r="A688" s="13"/>
      <c r="B688" s="14"/>
      <c r="C688" s="14"/>
      <c r="D688" s="14"/>
      <c r="E688" s="24"/>
      <c r="F688" s="25"/>
      <c r="G688" s="308"/>
      <c r="H688" s="45"/>
      <c r="I688" s="14"/>
      <c r="J688" s="14"/>
      <c r="K688" s="7"/>
      <c r="L688" s="14"/>
      <c r="M688" s="14"/>
      <c r="N688" s="7"/>
      <c r="O688" s="21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</row>
    <row r="689" spans="1:91" ht="14.25" customHeight="1" x14ac:dyDescent="0.25">
      <c r="A689" s="13"/>
      <c r="B689" s="14"/>
      <c r="C689" s="14"/>
      <c r="D689" s="14"/>
      <c r="E689" s="24"/>
      <c r="F689" s="25"/>
      <c r="G689" s="308"/>
      <c r="H689" s="45"/>
      <c r="I689" s="14"/>
      <c r="J689" s="14"/>
      <c r="K689" s="7"/>
      <c r="L689" s="14"/>
      <c r="M689" s="14"/>
      <c r="N689" s="7"/>
      <c r="O689" s="21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</row>
    <row r="690" spans="1:91" ht="14.25" customHeight="1" x14ac:dyDescent="0.25">
      <c r="A690" s="13"/>
      <c r="B690" s="14"/>
      <c r="C690" s="14"/>
      <c r="D690" s="14"/>
      <c r="E690" s="24"/>
      <c r="F690" s="25"/>
      <c r="G690" s="308"/>
      <c r="H690" s="45"/>
      <c r="I690" s="14"/>
      <c r="J690" s="14"/>
      <c r="K690" s="7"/>
      <c r="L690" s="14"/>
      <c r="M690" s="14"/>
      <c r="N690" s="7"/>
      <c r="O690" s="21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</row>
    <row r="691" spans="1:91" ht="14.25" customHeight="1" x14ac:dyDescent="0.25">
      <c r="A691" s="13"/>
      <c r="B691" s="14"/>
      <c r="C691" s="14"/>
      <c r="D691" s="14"/>
      <c r="E691" s="24"/>
      <c r="F691" s="25"/>
      <c r="G691" s="308"/>
      <c r="H691" s="45"/>
      <c r="I691" s="14"/>
      <c r="J691" s="14"/>
      <c r="K691" s="7"/>
      <c r="L691" s="14"/>
      <c r="M691" s="14"/>
      <c r="N691" s="7"/>
      <c r="O691" s="21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</row>
    <row r="692" spans="1:91" ht="14.25" customHeight="1" x14ac:dyDescent="0.25">
      <c r="A692" s="13"/>
      <c r="B692" s="14"/>
      <c r="C692" s="14"/>
      <c r="D692" s="14"/>
      <c r="E692" s="24"/>
      <c r="F692" s="25"/>
      <c r="G692" s="308"/>
      <c r="H692" s="45"/>
      <c r="I692" s="14"/>
      <c r="J692" s="14"/>
      <c r="K692" s="7"/>
      <c r="L692" s="14"/>
      <c r="M692" s="14"/>
      <c r="N692" s="7"/>
      <c r="O692" s="21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</row>
    <row r="693" spans="1:91" ht="14.25" customHeight="1" x14ac:dyDescent="0.25">
      <c r="A693" s="13"/>
      <c r="B693" s="14"/>
      <c r="C693" s="14"/>
      <c r="D693" s="14"/>
      <c r="E693" s="24"/>
      <c r="F693" s="25"/>
      <c r="G693" s="308"/>
      <c r="H693" s="45"/>
      <c r="I693" s="14"/>
      <c r="J693" s="14"/>
      <c r="K693" s="7"/>
      <c r="L693" s="14"/>
      <c r="M693" s="14"/>
      <c r="N693" s="7"/>
      <c r="O693" s="21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</row>
    <row r="694" spans="1:91" ht="14.25" customHeight="1" x14ac:dyDescent="0.25">
      <c r="A694" s="13"/>
      <c r="B694" s="14"/>
      <c r="C694" s="14"/>
      <c r="D694" s="14"/>
      <c r="E694" s="24"/>
      <c r="F694" s="25"/>
      <c r="G694" s="308"/>
      <c r="H694" s="45"/>
      <c r="I694" s="14"/>
      <c r="J694" s="14"/>
      <c r="K694" s="7"/>
      <c r="L694" s="14"/>
      <c r="M694" s="14"/>
      <c r="N694" s="7"/>
      <c r="O694" s="21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</row>
    <row r="695" spans="1:91" ht="14.25" customHeight="1" x14ac:dyDescent="0.25">
      <c r="A695" s="13"/>
      <c r="B695" s="14"/>
      <c r="C695" s="14"/>
      <c r="D695" s="14"/>
      <c r="E695" s="24"/>
      <c r="F695" s="25"/>
      <c r="G695" s="308"/>
      <c r="H695" s="45"/>
      <c r="I695" s="14"/>
      <c r="J695" s="14"/>
      <c r="K695" s="7"/>
      <c r="L695" s="14"/>
      <c r="M695" s="14"/>
      <c r="N695" s="7"/>
      <c r="O695" s="21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</row>
    <row r="696" spans="1:91" ht="14.25" customHeight="1" x14ac:dyDescent="0.25">
      <c r="A696" s="13"/>
      <c r="B696" s="14"/>
      <c r="C696" s="14"/>
      <c r="D696" s="14"/>
      <c r="E696" s="24"/>
      <c r="F696" s="25"/>
      <c r="G696" s="308"/>
      <c r="H696" s="45"/>
      <c r="I696" s="14"/>
      <c r="J696" s="14"/>
      <c r="K696" s="7"/>
      <c r="L696" s="14"/>
      <c r="M696" s="14"/>
      <c r="N696" s="7"/>
      <c r="O696" s="21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</row>
    <row r="697" spans="1:91" ht="14.25" customHeight="1" x14ac:dyDescent="0.25">
      <c r="A697" s="13"/>
      <c r="B697" s="14"/>
      <c r="C697" s="14"/>
      <c r="D697" s="14"/>
      <c r="E697" s="24"/>
      <c r="F697" s="25"/>
      <c r="G697" s="308"/>
      <c r="H697" s="45"/>
      <c r="I697" s="14"/>
      <c r="J697" s="14"/>
      <c r="K697" s="7"/>
      <c r="L697" s="14"/>
      <c r="M697" s="14"/>
      <c r="N697" s="7"/>
      <c r="O697" s="21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</row>
    <row r="698" spans="1:91" ht="14.25" customHeight="1" x14ac:dyDescent="0.25">
      <c r="A698" s="13"/>
      <c r="B698" s="14"/>
      <c r="C698" s="14"/>
      <c r="D698" s="14"/>
      <c r="E698" s="24"/>
      <c r="F698" s="25"/>
      <c r="G698" s="308"/>
      <c r="H698" s="45"/>
      <c r="I698" s="14"/>
      <c r="J698" s="14"/>
      <c r="K698" s="7"/>
      <c r="L698" s="14"/>
      <c r="M698" s="14"/>
      <c r="N698" s="7"/>
      <c r="O698" s="21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</row>
    <row r="699" spans="1:91" ht="14.25" customHeight="1" x14ac:dyDescent="0.25">
      <c r="A699" s="13"/>
      <c r="B699" s="14"/>
      <c r="C699" s="14"/>
      <c r="D699" s="14"/>
      <c r="E699" s="24"/>
      <c r="F699" s="25"/>
      <c r="G699" s="308"/>
      <c r="H699" s="45"/>
      <c r="I699" s="14"/>
      <c r="J699" s="14"/>
      <c r="K699" s="7"/>
      <c r="L699" s="14"/>
      <c r="M699" s="14"/>
      <c r="N699" s="7"/>
      <c r="O699" s="21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>
        <v>1</v>
      </c>
    </row>
    <row r="700" spans="1:91" ht="14.25" customHeight="1" x14ac:dyDescent="0.25">
      <c r="A700" s="13"/>
      <c r="B700" s="14"/>
      <c r="C700" s="14"/>
      <c r="D700" s="14"/>
      <c r="E700" s="24"/>
      <c r="F700" s="25"/>
      <c r="G700" s="308"/>
      <c r="H700" s="45"/>
      <c r="I700" s="14"/>
      <c r="J700" s="14"/>
      <c r="K700" s="7"/>
      <c r="L700" s="14"/>
      <c r="M700" s="14"/>
      <c r="N700" s="7"/>
      <c r="O700" s="21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</row>
    <row r="701" spans="1:91" ht="14.25" customHeight="1" x14ac:dyDescent="0.25">
      <c r="A701" s="13"/>
      <c r="B701" s="14"/>
      <c r="C701" s="14"/>
      <c r="D701" s="14"/>
      <c r="E701" s="24"/>
      <c r="F701" s="25"/>
      <c r="G701" s="308"/>
      <c r="H701" s="45"/>
      <c r="I701" s="14"/>
      <c r="J701" s="14"/>
      <c r="K701" s="7"/>
      <c r="L701" s="14"/>
      <c r="M701" s="14"/>
      <c r="N701" s="7"/>
      <c r="O701" s="21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</row>
    <row r="702" spans="1:91" ht="14.25" customHeight="1" x14ac:dyDescent="0.25">
      <c r="A702" s="13"/>
      <c r="B702" s="14"/>
      <c r="C702" s="14"/>
      <c r="D702" s="14"/>
      <c r="E702" s="24"/>
      <c r="F702" s="25"/>
      <c r="G702" s="308"/>
      <c r="H702" s="45"/>
      <c r="I702" s="14"/>
      <c r="J702" s="14"/>
      <c r="K702" s="7"/>
      <c r="L702" s="14"/>
      <c r="M702" s="14"/>
      <c r="N702" s="7"/>
      <c r="O702" s="21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</row>
    <row r="703" spans="1:91" ht="14.25" customHeight="1" x14ac:dyDescent="0.25">
      <c r="A703" s="13"/>
      <c r="B703" s="14"/>
      <c r="C703" s="14"/>
      <c r="D703" s="14"/>
      <c r="E703" s="24"/>
      <c r="F703" s="25"/>
      <c r="G703" s="308"/>
      <c r="H703" s="45"/>
      <c r="I703" s="14"/>
      <c r="J703" s="14"/>
      <c r="K703" s="7"/>
      <c r="L703" s="14"/>
      <c r="M703" s="14"/>
      <c r="N703" s="7"/>
      <c r="O703" s="21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</row>
    <row r="704" spans="1:91" ht="14.25" customHeight="1" x14ac:dyDescent="0.25">
      <c r="A704" s="13"/>
      <c r="B704" s="14"/>
      <c r="C704" s="14"/>
      <c r="D704" s="14"/>
      <c r="E704" s="24"/>
      <c r="F704" s="25"/>
      <c r="G704" s="308"/>
      <c r="H704" s="45"/>
      <c r="I704" s="14"/>
      <c r="J704" s="14"/>
      <c r="K704" s="7"/>
      <c r="L704" s="14"/>
      <c r="M704" s="14"/>
      <c r="N704" s="7"/>
      <c r="O704" s="21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</row>
    <row r="705" spans="1:91" ht="14.25" customHeight="1" x14ac:dyDescent="0.25">
      <c r="A705" s="13"/>
      <c r="B705" s="14"/>
      <c r="C705" s="14"/>
      <c r="D705" s="14"/>
      <c r="E705" s="24"/>
      <c r="F705" s="25"/>
      <c r="G705" s="308"/>
      <c r="H705" s="45"/>
      <c r="I705" s="14"/>
      <c r="J705" s="14"/>
      <c r="K705" s="7"/>
      <c r="L705" s="14"/>
      <c r="M705" s="14"/>
      <c r="N705" s="7"/>
      <c r="O705" s="21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</row>
    <row r="706" spans="1:91" ht="14.25" customHeight="1" x14ac:dyDescent="0.25">
      <c r="A706" s="13"/>
      <c r="B706" s="14"/>
      <c r="C706" s="14"/>
      <c r="D706" s="14"/>
      <c r="E706" s="24"/>
      <c r="F706" s="25"/>
      <c r="G706" s="308"/>
      <c r="H706" s="45"/>
      <c r="I706" s="14"/>
      <c r="J706" s="14"/>
      <c r="K706" s="7"/>
      <c r="L706" s="14"/>
      <c r="M706" s="14"/>
      <c r="N706" s="7"/>
      <c r="O706" s="21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</row>
    <row r="707" spans="1:91" ht="14.25" customHeight="1" x14ac:dyDescent="0.25">
      <c r="A707" s="13"/>
      <c r="B707" s="14"/>
      <c r="C707" s="14"/>
      <c r="D707" s="14"/>
      <c r="E707" s="24"/>
      <c r="F707" s="25"/>
      <c r="G707" s="308"/>
      <c r="H707" s="45"/>
      <c r="I707" s="14"/>
      <c r="J707" s="14"/>
      <c r="K707" s="7"/>
      <c r="L707" s="14"/>
      <c r="M707" s="14"/>
      <c r="N707" s="7"/>
      <c r="O707" s="21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</row>
    <row r="708" spans="1:91" ht="14.25" customHeight="1" x14ac:dyDescent="0.25">
      <c r="A708" s="13"/>
      <c r="B708" s="14"/>
      <c r="C708" s="14"/>
      <c r="D708" s="14"/>
      <c r="E708" s="24"/>
      <c r="F708" s="25"/>
      <c r="G708" s="308"/>
      <c r="H708" s="45"/>
      <c r="I708" s="14"/>
      <c r="J708" s="14"/>
      <c r="K708" s="7"/>
      <c r="L708" s="14"/>
      <c r="M708" s="14"/>
      <c r="N708" s="7"/>
      <c r="O708" s="21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</row>
    <row r="709" spans="1:91" ht="14.25" customHeight="1" x14ac:dyDescent="0.25">
      <c r="A709" s="13"/>
      <c r="B709" s="14"/>
      <c r="C709" s="14"/>
      <c r="D709" s="14"/>
      <c r="E709" s="24"/>
      <c r="F709" s="25"/>
      <c r="G709" s="308"/>
      <c r="H709" s="45"/>
      <c r="I709" s="14"/>
      <c r="J709" s="14"/>
      <c r="K709" s="7"/>
      <c r="L709" s="14"/>
      <c r="M709" s="14"/>
      <c r="N709" s="7"/>
      <c r="O709" s="21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</row>
    <row r="710" spans="1:91" ht="14.25" customHeight="1" x14ac:dyDescent="0.25">
      <c r="A710" s="13"/>
      <c r="B710" s="14"/>
      <c r="C710" s="14"/>
      <c r="D710" s="14"/>
      <c r="E710" s="24"/>
      <c r="F710" s="25"/>
      <c r="G710" s="308"/>
      <c r="H710" s="45"/>
      <c r="I710" s="14"/>
      <c r="J710" s="14"/>
      <c r="K710" s="7"/>
      <c r="L710" s="14"/>
      <c r="M710" s="14"/>
      <c r="N710" s="7"/>
      <c r="O710" s="21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</row>
    <row r="711" spans="1:91" ht="14.25" customHeight="1" x14ac:dyDescent="0.25">
      <c r="A711" s="13"/>
      <c r="B711" s="14"/>
      <c r="C711" s="14"/>
      <c r="D711" s="14"/>
      <c r="E711" s="24"/>
      <c r="F711" s="25"/>
      <c r="G711" s="308"/>
      <c r="H711" s="45"/>
      <c r="I711" s="14"/>
      <c r="J711" s="14"/>
      <c r="K711" s="7"/>
      <c r="L711" s="14"/>
      <c r="M711" s="14"/>
      <c r="N711" s="7"/>
      <c r="O711" s="21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</row>
    <row r="712" spans="1:91" ht="14.25" customHeight="1" x14ac:dyDescent="0.25">
      <c r="A712" s="13"/>
      <c r="B712" s="14"/>
      <c r="C712" s="14"/>
      <c r="D712" s="14"/>
      <c r="E712" s="24"/>
      <c r="F712" s="25"/>
      <c r="G712" s="308"/>
      <c r="H712" s="45"/>
      <c r="I712" s="14"/>
      <c r="J712" s="14"/>
      <c r="K712" s="7"/>
      <c r="L712" s="14"/>
      <c r="M712" s="14"/>
      <c r="N712" s="7"/>
      <c r="O712" s="21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</row>
    <row r="713" spans="1:91" ht="14.25" customHeight="1" x14ac:dyDescent="0.25">
      <c r="A713" s="13"/>
      <c r="B713" s="14"/>
      <c r="C713" s="14"/>
      <c r="D713" s="14"/>
      <c r="E713" s="24"/>
      <c r="F713" s="25"/>
      <c r="G713" s="308"/>
      <c r="H713" s="45"/>
      <c r="I713" s="14"/>
      <c r="J713" s="14"/>
      <c r="K713" s="7"/>
      <c r="L713" s="14"/>
      <c r="M713" s="14"/>
      <c r="N713" s="7"/>
      <c r="O713" s="21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</row>
    <row r="714" spans="1:91" ht="14.25" customHeight="1" x14ac:dyDescent="0.25">
      <c r="A714" s="13"/>
      <c r="B714" s="14"/>
      <c r="C714" s="14"/>
      <c r="D714" s="14"/>
      <c r="E714" s="24"/>
      <c r="F714" s="25"/>
      <c r="G714" s="308"/>
      <c r="H714" s="45"/>
      <c r="I714" s="14"/>
      <c r="J714" s="14"/>
      <c r="K714" s="7"/>
      <c r="L714" s="14"/>
      <c r="M714" s="14"/>
      <c r="N714" s="7"/>
      <c r="O714" s="21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</row>
    <row r="715" spans="1:91" ht="14.25" customHeight="1" x14ac:dyDescent="0.25">
      <c r="A715" s="13"/>
      <c r="B715" s="14"/>
      <c r="C715" s="14"/>
      <c r="D715" s="14"/>
      <c r="E715" s="24"/>
      <c r="F715" s="25"/>
      <c r="G715" s="308"/>
      <c r="H715" s="45"/>
      <c r="I715" s="14"/>
      <c r="J715" s="14"/>
      <c r="K715" s="7"/>
      <c r="L715" s="14"/>
      <c r="M715" s="14"/>
      <c r="N715" s="7"/>
      <c r="O715" s="21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</row>
    <row r="716" spans="1:91" ht="14.25" customHeight="1" x14ac:dyDescent="0.25">
      <c r="A716" s="13"/>
      <c r="B716" s="14"/>
      <c r="C716" s="14"/>
      <c r="D716" s="14"/>
      <c r="E716" s="24"/>
      <c r="F716" s="25"/>
      <c r="G716" s="308"/>
      <c r="H716" s="45"/>
      <c r="I716" s="14"/>
      <c r="J716" s="14"/>
      <c r="K716" s="7"/>
      <c r="L716" s="14"/>
      <c r="M716" s="14"/>
      <c r="N716" s="7"/>
      <c r="O716" s="21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</row>
    <row r="717" spans="1:91" ht="14.25" customHeight="1" x14ac:dyDescent="0.25">
      <c r="A717" s="13"/>
      <c r="B717" s="14"/>
      <c r="C717" s="14"/>
      <c r="D717" s="14"/>
      <c r="E717" s="24"/>
      <c r="F717" s="25"/>
      <c r="G717" s="308"/>
      <c r="H717" s="45"/>
      <c r="I717" s="14"/>
      <c r="J717" s="14"/>
      <c r="K717" s="7"/>
      <c r="L717" s="14"/>
      <c r="M717" s="14"/>
      <c r="N717" s="7"/>
      <c r="O717" s="21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</row>
    <row r="718" spans="1:91" ht="14.25" customHeight="1" x14ac:dyDescent="0.25">
      <c r="A718" s="13"/>
      <c r="B718" s="14"/>
      <c r="C718" s="14"/>
      <c r="D718" s="14"/>
      <c r="E718" s="24"/>
      <c r="F718" s="25"/>
      <c r="G718" s="308"/>
      <c r="H718" s="45"/>
      <c r="I718" s="14"/>
      <c r="J718" s="14"/>
      <c r="K718" s="7"/>
      <c r="L718" s="14"/>
      <c r="M718" s="14"/>
      <c r="N718" s="7"/>
      <c r="O718" s="21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</row>
    <row r="719" spans="1:91" ht="14.25" customHeight="1" x14ac:dyDescent="0.25">
      <c r="A719" s="13"/>
      <c r="B719" s="14"/>
      <c r="C719" s="14"/>
      <c r="D719" s="14"/>
      <c r="E719" s="24"/>
      <c r="F719" s="25"/>
      <c r="G719" s="308"/>
      <c r="H719" s="45"/>
      <c r="I719" s="14"/>
      <c r="J719" s="14"/>
      <c r="K719" s="7"/>
      <c r="L719" s="14"/>
      <c r="M719" s="14"/>
      <c r="N719" s="7"/>
      <c r="O719" s="21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</row>
    <row r="720" spans="1:91" ht="14.25" customHeight="1" x14ac:dyDescent="0.25">
      <c r="A720" s="13"/>
      <c r="B720" s="14"/>
      <c r="C720" s="14"/>
      <c r="D720" s="14"/>
      <c r="E720" s="24"/>
      <c r="F720" s="25"/>
      <c r="G720" s="308"/>
      <c r="H720" s="45"/>
      <c r="I720" s="14"/>
      <c r="J720" s="14"/>
      <c r="K720" s="7"/>
      <c r="L720" s="14"/>
      <c r="M720" s="14"/>
      <c r="N720" s="7"/>
      <c r="O720" s="21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</row>
    <row r="721" spans="1:91" ht="14.25" customHeight="1" x14ac:dyDescent="0.25">
      <c r="A721" s="13"/>
      <c r="B721" s="14"/>
      <c r="C721" s="14"/>
      <c r="D721" s="14"/>
      <c r="E721" s="24"/>
      <c r="F721" s="25"/>
      <c r="G721" s="308"/>
      <c r="H721" s="45"/>
      <c r="I721" s="14"/>
      <c r="J721" s="14"/>
      <c r="K721" s="7"/>
      <c r="L721" s="14"/>
      <c r="M721" s="14"/>
      <c r="N721" s="7"/>
      <c r="O721" s="21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</row>
    <row r="722" spans="1:91" ht="14.25" customHeight="1" x14ac:dyDescent="0.25">
      <c r="A722" s="13"/>
      <c r="B722" s="14"/>
      <c r="C722" s="14"/>
      <c r="D722" s="14"/>
      <c r="E722" s="24"/>
      <c r="F722" s="25"/>
      <c r="G722" s="308"/>
      <c r="H722" s="45"/>
      <c r="I722" s="14"/>
      <c r="J722" s="14"/>
      <c r="K722" s="7"/>
      <c r="L722" s="14"/>
      <c r="M722" s="14"/>
      <c r="N722" s="7"/>
      <c r="O722" s="21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</row>
    <row r="723" spans="1:91" ht="14.25" customHeight="1" x14ac:dyDescent="0.25">
      <c r="A723" s="13"/>
      <c r="B723" s="14"/>
      <c r="C723" s="14"/>
      <c r="D723" s="14"/>
      <c r="E723" s="24"/>
      <c r="F723" s="25"/>
      <c r="G723" s="308"/>
      <c r="H723" s="45"/>
      <c r="I723" s="14"/>
      <c r="J723" s="14"/>
      <c r="K723" s="7"/>
      <c r="L723" s="14"/>
      <c r="M723" s="14"/>
      <c r="N723" s="7"/>
      <c r="O723" s="21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</row>
    <row r="724" spans="1:91" ht="14.25" customHeight="1" x14ac:dyDescent="0.25">
      <c r="A724" s="13"/>
      <c r="B724" s="14"/>
      <c r="C724" s="14"/>
      <c r="D724" s="14"/>
      <c r="E724" s="24"/>
      <c r="F724" s="25"/>
      <c r="G724" s="308"/>
      <c r="H724" s="45"/>
      <c r="I724" s="14"/>
      <c r="J724" s="14"/>
      <c r="K724" s="7"/>
      <c r="L724" s="14"/>
      <c r="M724" s="14"/>
      <c r="N724" s="7"/>
      <c r="O724" s="21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</row>
    <row r="725" spans="1:91" ht="14.25" customHeight="1" x14ac:dyDescent="0.25">
      <c r="A725" s="13"/>
      <c r="B725" s="14"/>
      <c r="C725" s="14"/>
      <c r="D725" s="14"/>
      <c r="E725" s="24"/>
      <c r="F725" s="25"/>
      <c r="G725" s="308"/>
      <c r="H725" s="45"/>
      <c r="I725" s="14"/>
      <c r="J725" s="14"/>
      <c r="K725" s="7"/>
      <c r="L725" s="14"/>
      <c r="M725" s="14"/>
      <c r="N725" s="7"/>
      <c r="O725" s="21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</row>
    <row r="726" spans="1:91" ht="14.25" customHeight="1" x14ac:dyDescent="0.25">
      <c r="A726" s="13"/>
      <c r="B726" s="14"/>
      <c r="C726" s="14"/>
      <c r="D726" s="14"/>
      <c r="E726" s="24"/>
      <c r="F726" s="25"/>
      <c r="G726" s="308"/>
      <c r="H726" s="45"/>
      <c r="I726" s="14"/>
      <c r="J726" s="14"/>
      <c r="K726" s="7"/>
      <c r="L726" s="14"/>
      <c r="M726" s="14"/>
      <c r="N726" s="7"/>
      <c r="O726" s="21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</row>
    <row r="727" spans="1:91" ht="14.25" customHeight="1" x14ac:dyDescent="0.25">
      <c r="A727" s="13"/>
      <c r="B727" s="14"/>
      <c r="C727" s="14"/>
      <c r="D727" s="14"/>
      <c r="E727" s="24"/>
      <c r="F727" s="25"/>
      <c r="G727" s="308"/>
      <c r="H727" s="45"/>
      <c r="I727" s="14"/>
      <c r="J727" s="14"/>
      <c r="K727" s="7"/>
      <c r="L727" s="14"/>
      <c r="M727" s="14"/>
      <c r="N727" s="7"/>
      <c r="O727" s="21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</row>
    <row r="728" spans="1:91" ht="14.25" customHeight="1" x14ac:dyDescent="0.25">
      <c r="A728" s="13"/>
      <c r="B728" s="14"/>
      <c r="C728" s="14"/>
      <c r="D728" s="14"/>
      <c r="E728" s="24"/>
      <c r="F728" s="25"/>
      <c r="G728" s="308"/>
      <c r="H728" s="45"/>
      <c r="I728" s="14"/>
      <c r="J728" s="14"/>
      <c r="K728" s="7"/>
      <c r="L728" s="14"/>
      <c r="M728" s="14"/>
      <c r="N728" s="7"/>
      <c r="O728" s="21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</row>
    <row r="729" spans="1:91" ht="14.25" customHeight="1" x14ac:dyDescent="0.25">
      <c r="A729" s="13"/>
      <c r="B729" s="14"/>
      <c r="C729" s="14"/>
      <c r="D729" s="14"/>
      <c r="E729" s="24"/>
      <c r="F729" s="25"/>
      <c r="G729" s="308"/>
      <c r="H729" s="45"/>
      <c r="I729" s="14"/>
      <c r="J729" s="14"/>
      <c r="K729" s="7"/>
      <c r="L729" s="14"/>
      <c r="M729" s="14"/>
      <c r="N729" s="7"/>
      <c r="O729" s="21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</row>
    <row r="730" spans="1:91" ht="14.25" customHeight="1" x14ac:dyDescent="0.25">
      <c r="A730" s="13"/>
      <c r="B730" s="14"/>
      <c r="C730" s="14"/>
      <c r="D730" s="14"/>
      <c r="E730" s="24"/>
      <c r="F730" s="25"/>
      <c r="G730" s="308"/>
      <c r="H730" s="45"/>
      <c r="I730" s="14"/>
      <c r="J730" s="14"/>
      <c r="K730" s="7"/>
      <c r="L730" s="14"/>
      <c r="M730" s="14"/>
      <c r="N730" s="7"/>
      <c r="O730" s="21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</row>
    <row r="731" spans="1:91" ht="14.25" customHeight="1" x14ac:dyDescent="0.25">
      <c r="A731" s="13"/>
      <c r="B731" s="14"/>
      <c r="C731" s="14"/>
      <c r="D731" s="14"/>
      <c r="E731" s="24"/>
      <c r="F731" s="25"/>
      <c r="G731" s="308"/>
      <c r="H731" s="45"/>
      <c r="I731" s="14"/>
      <c r="J731" s="14"/>
      <c r="K731" s="7"/>
      <c r="L731" s="14"/>
      <c r="M731" s="14"/>
      <c r="N731" s="7"/>
      <c r="O731" s="21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</row>
    <row r="732" spans="1:91" ht="14.25" customHeight="1" x14ac:dyDescent="0.25">
      <c r="A732" s="13"/>
      <c r="B732" s="14"/>
      <c r="C732" s="14"/>
      <c r="D732" s="14"/>
      <c r="E732" s="24"/>
      <c r="F732" s="25"/>
      <c r="G732" s="308"/>
      <c r="H732" s="45"/>
      <c r="I732" s="14"/>
      <c r="J732" s="14"/>
      <c r="K732" s="7"/>
      <c r="L732" s="14"/>
      <c r="M732" s="14"/>
      <c r="N732" s="7"/>
      <c r="O732" s="21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>
        <v>1</v>
      </c>
    </row>
    <row r="733" spans="1:91" ht="14.25" customHeight="1" x14ac:dyDescent="0.25">
      <c r="A733" s="13"/>
      <c r="B733" s="14"/>
      <c r="C733" s="14"/>
      <c r="D733" s="14"/>
      <c r="E733" s="24"/>
      <c r="F733" s="25"/>
      <c r="G733" s="308"/>
      <c r="H733" s="45"/>
      <c r="I733" s="14"/>
      <c r="J733" s="14"/>
      <c r="K733" s="7"/>
      <c r="L733" s="14"/>
      <c r="M733" s="14"/>
      <c r="N733" s="7"/>
      <c r="O733" s="21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</row>
    <row r="734" spans="1:91" ht="14.25" customHeight="1" x14ac:dyDescent="0.25">
      <c r="A734" s="13"/>
      <c r="B734" s="14"/>
      <c r="C734" s="14"/>
      <c r="D734" s="14"/>
      <c r="E734" s="24"/>
      <c r="F734" s="25"/>
      <c r="G734" s="308"/>
      <c r="H734" s="45"/>
      <c r="I734" s="14"/>
      <c r="J734" s="14"/>
      <c r="K734" s="7"/>
      <c r="L734" s="14"/>
      <c r="M734" s="14"/>
      <c r="N734" s="7"/>
      <c r="O734" s="21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</row>
    <row r="735" spans="1:91" ht="14.25" customHeight="1" x14ac:dyDescent="0.25">
      <c r="A735" s="13"/>
      <c r="B735" s="14"/>
      <c r="C735" s="14"/>
      <c r="D735" s="14"/>
      <c r="E735" s="24"/>
      <c r="F735" s="25"/>
      <c r="G735" s="308"/>
      <c r="H735" s="45"/>
      <c r="I735" s="14"/>
      <c r="J735" s="14"/>
      <c r="K735" s="7"/>
      <c r="L735" s="14"/>
      <c r="M735" s="14"/>
      <c r="N735" s="7"/>
      <c r="O735" s="21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</row>
    <row r="736" spans="1:91" ht="14.25" customHeight="1" x14ac:dyDescent="0.25">
      <c r="A736" s="13"/>
      <c r="B736" s="14"/>
      <c r="C736" s="14"/>
      <c r="D736" s="14"/>
      <c r="E736" s="24"/>
      <c r="F736" s="25"/>
      <c r="G736" s="308"/>
      <c r="H736" s="45"/>
      <c r="I736" s="14"/>
      <c r="J736" s="14"/>
      <c r="K736" s="7"/>
      <c r="L736" s="14"/>
      <c r="M736" s="14"/>
      <c r="N736" s="7"/>
      <c r="O736" s="21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</row>
    <row r="737" spans="1:91" ht="14.25" customHeight="1" x14ac:dyDescent="0.25">
      <c r="A737" s="13"/>
      <c r="B737" s="14"/>
      <c r="C737" s="14"/>
      <c r="D737" s="14"/>
      <c r="E737" s="24"/>
      <c r="F737" s="25"/>
      <c r="G737" s="308"/>
      <c r="H737" s="45"/>
      <c r="I737" s="14"/>
      <c r="J737" s="14"/>
      <c r="K737" s="7"/>
      <c r="L737" s="14"/>
      <c r="M737" s="14"/>
      <c r="N737" s="7"/>
      <c r="O737" s="21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</row>
    <row r="738" spans="1:91" ht="14.25" customHeight="1" x14ac:dyDescent="0.25">
      <c r="A738" s="13"/>
      <c r="B738" s="14"/>
      <c r="C738" s="14"/>
      <c r="D738" s="14"/>
      <c r="E738" s="24"/>
      <c r="F738" s="25"/>
      <c r="G738" s="308"/>
      <c r="H738" s="45"/>
      <c r="I738" s="14"/>
      <c r="J738" s="14"/>
      <c r="K738" s="7"/>
      <c r="L738" s="14"/>
      <c r="M738" s="14"/>
      <c r="N738" s="7"/>
      <c r="O738" s="21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</row>
    <row r="739" spans="1:91" ht="14.25" customHeight="1" x14ac:dyDescent="0.25">
      <c r="A739" s="13"/>
      <c r="B739" s="14"/>
      <c r="C739" s="14"/>
      <c r="D739" s="14"/>
      <c r="E739" s="24"/>
      <c r="F739" s="25"/>
      <c r="G739" s="308"/>
      <c r="H739" s="45"/>
      <c r="I739" s="14"/>
      <c r="J739" s="14"/>
      <c r="K739" s="7"/>
      <c r="L739" s="14"/>
      <c r="M739" s="14"/>
      <c r="N739" s="7"/>
      <c r="O739" s="21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</row>
    <row r="740" spans="1:91" ht="14.25" customHeight="1" x14ac:dyDescent="0.25">
      <c r="A740" s="13"/>
      <c r="B740" s="14"/>
      <c r="C740" s="14"/>
      <c r="D740" s="14"/>
      <c r="E740" s="24"/>
      <c r="F740" s="25"/>
      <c r="G740" s="308"/>
      <c r="H740" s="45"/>
      <c r="I740" s="14"/>
      <c r="J740" s="14"/>
      <c r="K740" s="7"/>
      <c r="L740" s="14"/>
      <c r="M740" s="14"/>
      <c r="N740" s="7"/>
      <c r="O740" s="21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</row>
    <row r="741" spans="1:91" ht="14.25" customHeight="1" x14ac:dyDescent="0.25">
      <c r="A741" s="13"/>
      <c r="B741" s="14"/>
      <c r="C741" s="14"/>
      <c r="D741" s="14"/>
      <c r="E741" s="24"/>
      <c r="F741" s="25"/>
      <c r="G741" s="308"/>
      <c r="H741" s="45"/>
      <c r="I741" s="14"/>
      <c r="J741" s="14"/>
      <c r="K741" s="7"/>
      <c r="L741" s="14"/>
      <c r="M741" s="14"/>
      <c r="N741" s="7"/>
      <c r="O741" s="21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</row>
    <row r="742" spans="1:91" ht="14.25" customHeight="1" x14ac:dyDescent="0.25">
      <c r="A742" s="13"/>
      <c r="B742" s="14"/>
      <c r="C742" s="14"/>
      <c r="D742" s="14"/>
      <c r="E742" s="24"/>
      <c r="F742" s="25"/>
      <c r="G742" s="308"/>
      <c r="H742" s="45"/>
      <c r="I742" s="14"/>
      <c r="J742" s="14"/>
      <c r="K742" s="7"/>
      <c r="L742" s="14"/>
      <c r="M742" s="14"/>
      <c r="N742" s="7"/>
      <c r="O742" s="21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</row>
    <row r="743" spans="1:91" ht="14.25" customHeight="1" x14ac:dyDescent="0.25">
      <c r="A743" s="13"/>
      <c r="B743" s="14"/>
      <c r="C743" s="14"/>
      <c r="D743" s="14"/>
      <c r="E743" s="24"/>
      <c r="F743" s="25"/>
      <c r="G743" s="308"/>
      <c r="H743" s="45"/>
      <c r="I743" s="14"/>
      <c r="J743" s="14"/>
      <c r="K743" s="7"/>
      <c r="L743" s="14"/>
      <c r="M743" s="14"/>
      <c r="N743" s="7"/>
      <c r="O743" s="21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</row>
    <row r="744" spans="1:91" ht="14.25" customHeight="1" x14ac:dyDescent="0.25">
      <c r="A744" s="13"/>
      <c r="B744" s="14"/>
      <c r="C744" s="14"/>
      <c r="D744" s="14"/>
      <c r="E744" s="24"/>
      <c r="F744" s="25"/>
      <c r="G744" s="308"/>
      <c r="H744" s="45"/>
      <c r="I744" s="14"/>
      <c r="J744" s="14"/>
      <c r="K744" s="7"/>
      <c r="L744" s="14"/>
      <c r="M744" s="14"/>
      <c r="N744" s="7"/>
      <c r="O744" s="21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</row>
    <row r="745" spans="1:91" ht="14.25" customHeight="1" x14ac:dyDescent="0.25">
      <c r="A745" s="13"/>
      <c r="B745" s="14"/>
      <c r="C745" s="14"/>
      <c r="D745" s="14"/>
      <c r="E745" s="24"/>
      <c r="F745" s="25"/>
      <c r="G745" s="308"/>
      <c r="H745" s="45"/>
      <c r="I745" s="14"/>
      <c r="J745" s="14"/>
      <c r="K745" s="7"/>
      <c r="L745" s="14"/>
      <c r="M745" s="14"/>
      <c r="N745" s="7"/>
      <c r="O745" s="21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</row>
    <row r="746" spans="1:91" ht="14.25" customHeight="1" x14ac:dyDescent="0.25">
      <c r="A746" s="13"/>
      <c r="B746" s="14"/>
      <c r="C746" s="14"/>
      <c r="D746" s="14"/>
      <c r="E746" s="24"/>
      <c r="F746" s="25"/>
      <c r="G746" s="308"/>
      <c r="H746" s="45"/>
      <c r="I746" s="14"/>
      <c r="J746" s="14"/>
      <c r="K746" s="7"/>
      <c r="L746" s="14"/>
      <c r="M746" s="14"/>
      <c r="N746" s="7"/>
      <c r="O746" s="21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</row>
    <row r="747" spans="1:91" ht="14.25" customHeight="1" x14ac:dyDescent="0.25">
      <c r="A747" s="13"/>
      <c r="B747" s="14"/>
      <c r="C747" s="14"/>
      <c r="D747" s="14"/>
      <c r="E747" s="24"/>
      <c r="F747" s="25"/>
      <c r="G747" s="308"/>
      <c r="H747" s="45"/>
      <c r="I747" s="14"/>
      <c r="J747" s="14"/>
      <c r="K747" s="7"/>
      <c r="L747" s="14"/>
      <c r="M747" s="14"/>
      <c r="N747" s="7"/>
      <c r="O747" s="21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</row>
    <row r="748" spans="1:91" ht="14.25" customHeight="1" x14ac:dyDescent="0.25">
      <c r="A748" s="13"/>
      <c r="B748" s="14"/>
      <c r="C748" s="14"/>
      <c r="D748" s="14"/>
      <c r="E748" s="24"/>
      <c r="F748" s="25"/>
      <c r="G748" s="308"/>
      <c r="H748" s="45"/>
      <c r="I748" s="14"/>
      <c r="J748" s="14"/>
      <c r="K748" s="7"/>
      <c r="L748" s="14"/>
      <c r="M748" s="14"/>
      <c r="N748" s="7"/>
      <c r="O748" s="21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</row>
    <row r="749" spans="1:91" ht="14.25" customHeight="1" x14ac:dyDescent="0.25">
      <c r="A749" s="13"/>
      <c r="B749" s="14"/>
      <c r="C749" s="14"/>
      <c r="D749" s="14"/>
      <c r="E749" s="24"/>
      <c r="F749" s="25"/>
      <c r="G749" s="308"/>
      <c r="H749" s="45"/>
      <c r="I749" s="14"/>
      <c r="J749" s="14"/>
      <c r="K749" s="7"/>
      <c r="L749" s="14"/>
      <c r="M749" s="14"/>
      <c r="N749" s="7"/>
      <c r="O749" s="21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</row>
    <row r="750" spans="1:91" ht="14.25" customHeight="1" x14ac:dyDescent="0.25">
      <c r="A750" s="13"/>
      <c r="B750" s="14"/>
      <c r="C750" s="14"/>
      <c r="D750" s="14"/>
      <c r="E750" s="24"/>
      <c r="F750" s="25"/>
      <c r="G750" s="308"/>
      <c r="H750" s="45"/>
      <c r="I750" s="14"/>
      <c r="J750" s="14"/>
      <c r="K750" s="7"/>
      <c r="L750" s="14"/>
      <c r="M750" s="14"/>
      <c r="N750" s="7"/>
      <c r="O750" s="21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</row>
    <row r="751" spans="1:91" ht="14.25" customHeight="1" x14ac:dyDescent="0.25">
      <c r="A751" s="13"/>
      <c r="B751" s="14"/>
      <c r="C751" s="14"/>
      <c r="D751" s="14"/>
      <c r="E751" s="24"/>
      <c r="F751" s="25"/>
      <c r="G751" s="308"/>
      <c r="H751" s="45"/>
      <c r="I751" s="14"/>
      <c r="J751" s="14"/>
      <c r="K751" s="7"/>
      <c r="L751" s="14"/>
      <c r="M751" s="14"/>
      <c r="N751" s="7"/>
      <c r="O751" s="21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</row>
    <row r="752" spans="1:91" ht="14.25" customHeight="1" x14ac:dyDescent="0.25">
      <c r="A752" s="13"/>
      <c r="B752" s="14"/>
      <c r="C752" s="14"/>
      <c r="D752" s="14"/>
      <c r="E752" s="24"/>
      <c r="F752" s="25"/>
      <c r="G752" s="308"/>
      <c r="H752" s="45"/>
      <c r="I752" s="14"/>
      <c r="J752" s="14"/>
      <c r="K752" s="7"/>
      <c r="L752" s="14"/>
      <c r="M752" s="14"/>
      <c r="N752" s="7"/>
      <c r="O752" s="21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</row>
    <row r="753" spans="1:91" ht="14.25" customHeight="1" x14ac:dyDescent="0.25">
      <c r="A753" s="13"/>
      <c r="B753" s="14"/>
      <c r="C753" s="14"/>
      <c r="D753" s="14"/>
      <c r="E753" s="24"/>
      <c r="F753" s="25"/>
      <c r="G753" s="308"/>
      <c r="H753" s="45"/>
      <c r="I753" s="14"/>
      <c r="J753" s="14"/>
      <c r="K753" s="7"/>
      <c r="L753" s="14"/>
      <c r="M753" s="14"/>
      <c r="N753" s="7"/>
      <c r="O753" s="21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</row>
    <row r="754" spans="1:91" ht="14.25" customHeight="1" x14ac:dyDescent="0.25">
      <c r="A754" s="13"/>
      <c r="B754" s="14"/>
      <c r="C754" s="14"/>
      <c r="D754" s="14"/>
      <c r="E754" s="24"/>
      <c r="F754" s="25"/>
      <c r="G754" s="308"/>
      <c r="H754" s="45"/>
      <c r="I754" s="14"/>
      <c r="J754" s="14"/>
      <c r="K754" s="7"/>
      <c r="L754" s="14"/>
      <c r="M754" s="14"/>
      <c r="N754" s="7"/>
      <c r="O754" s="21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</row>
    <row r="755" spans="1:91" ht="14.25" customHeight="1" x14ac:dyDescent="0.25">
      <c r="A755" s="13"/>
      <c r="B755" s="14"/>
      <c r="C755" s="14"/>
      <c r="D755" s="14"/>
      <c r="E755" s="24"/>
      <c r="F755" s="25"/>
      <c r="G755" s="308"/>
      <c r="H755" s="45"/>
      <c r="I755" s="14"/>
      <c r="J755" s="14"/>
      <c r="K755" s="7"/>
      <c r="L755" s="14"/>
      <c r="M755" s="14"/>
      <c r="N755" s="7"/>
      <c r="O755" s="21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</row>
    <row r="756" spans="1:91" ht="14.25" customHeight="1" x14ac:dyDescent="0.25">
      <c r="A756" s="13"/>
      <c r="B756" s="14"/>
      <c r="C756" s="14"/>
      <c r="D756" s="14"/>
      <c r="E756" s="24"/>
      <c r="F756" s="25"/>
      <c r="G756" s="308"/>
      <c r="H756" s="45"/>
      <c r="I756" s="14"/>
      <c r="J756" s="14"/>
      <c r="K756" s="7"/>
      <c r="L756" s="14"/>
      <c r="M756" s="14"/>
      <c r="N756" s="7"/>
      <c r="O756" s="21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</row>
    <row r="757" spans="1:91" ht="14.25" customHeight="1" x14ac:dyDescent="0.25">
      <c r="A757" s="13"/>
      <c r="B757" s="14"/>
      <c r="C757" s="14"/>
      <c r="D757" s="14"/>
      <c r="E757" s="24"/>
      <c r="F757" s="25"/>
      <c r="G757" s="308"/>
      <c r="H757" s="45"/>
      <c r="I757" s="14"/>
      <c r="J757" s="14"/>
      <c r="K757" s="7"/>
      <c r="L757" s="14"/>
      <c r="M757" s="14"/>
      <c r="N757" s="7"/>
      <c r="O757" s="21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</row>
    <row r="758" spans="1:91" ht="14.25" customHeight="1" x14ac:dyDescent="0.25">
      <c r="A758" s="13"/>
      <c r="B758" s="14"/>
      <c r="C758" s="14"/>
      <c r="D758" s="14"/>
      <c r="E758" s="24"/>
      <c r="F758" s="25"/>
      <c r="G758" s="308"/>
      <c r="H758" s="45"/>
      <c r="I758" s="14"/>
      <c r="J758" s="14"/>
      <c r="K758" s="7"/>
      <c r="L758" s="14"/>
      <c r="M758" s="14"/>
      <c r="N758" s="7"/>
      <c r="O758" s="21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</row>
    <row r="759" spans="1:91" ht="14.25" customHeight="1" x14ac:dyDescent="0.25">
      <c r="A759" s="13"/>
      <c r="B759" s="14"/>
      <c r="C759" s="14"/>
      <c r="D759" s="14"/>
      <c r="E759" s="24"/>
      <c r="F759" s="25"/>
      <c r="G759" s="308"/>
      <c r="H759" s="45"/>
      <c r="I759" s="14"/>
      <c r="J759" s="14"/>
      <c r="K759" s="7"/>
      <c r="L759" s="14"/>
      <c r="M759" s="14"/>
      <c r="N759" s="7"/>
      <c r="O759" s="21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</row>
    <row r="760" spans="1:91" ht="14.25" customHeight="1" x14ac:dyDescent="0.25">
      <c r="A760" s="13"/>
      <c r="B760" s="14"/>
      <c r="C760" s="14"/>
      <c r="D760" s="14"/>
      <c r="E760" s="24"/>
      <c r="F760" s="25"/>
      <c r="G760" s="308"/>
      <c r="H760" s="45"/>
      <c r="I760" s="14"/>
      <c r="J760" s="14"/>
      <c r="K760" s="7"/>
      <c r="L760" s="14"/>
      <c r="M760" s="14"/>
      <c r="N760" s="7"/>
      <c r="O760" s="21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</row>
    <row r="761" spans="1:91" ht="14.25" customHeight="1" x14ac:dyDescent="0.25">
      <c r="A761" s="13"/>
      <c r="B761" s="14"/>
      <c r="C761" s="14"/>
      <c r="D761" s="14"/>
      <c r="E761" s="24"/>
      <c r="F761" s="25"/>
      <c r="G761" s="308"/>
      <c r="H761" s="45"/>
      <c r="I761" s="14"/>
      <c r="J761" s="14"/>
      <c r="K761" s="7"/>
      <c r="L761" s="14"/>
      <c r="M761" s="14"/>
      <c r="N761" s="7"/>
      <c r="O761" s="21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</row>
    <row r="762" spans="1:91" ht="14.25" customHeight="1" x14ac:dyDescent="0.25">
      <c r="A762" s="13"/>
      <c r="B762" s="14"/>
      <c r="C762" s="14"/>
      <c r="D762" s="14"/>
      <c r="E762" s="24"/>
      <c r="F762" s="25"/>
      <c r="G762" s="308"/>
      <c r="H762" s="45"/>
      <c r="I762" s="14"/>
      <c r="J762" s="14"/>
      <c r="K762" s="7"/>
      <c r="L762" s="14"/>
      <c r="M762" s="14"/>
      <c r="N762" s="7"/>
      <c r="O762" s="21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</row>
    <row r="763" spans="1:91" ht="14.25" customHeight="1" x14ac:dyDescent="0.25">
      <c r="A763" s="13"/>
      <c r="B763" s="14"/>
      <c r="C763" s="14"/>
      <c r="D763" s="14"/>
      <c r="E763" s="24"/>
      <c r="F763" s="25"/>
      <c r="G763" s="308"/>
      <c r="H763" s="45"/>
      <c r="I763" s="14"/>
      <c r="J763" s="14"/>
      <c r="K763" s="7"/>
      <c r="L763" s="14"/>
      <c r="M763" s="14"/>
      <c r="N763" s="7"/>
      <c r="O763" s="21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</row>
    <row r="764" spans="1:91" ht="14.25" customHeight="1" x14ac:dyDescent="0.25">
      <c r="A764" s="13"/>
      <c r="B764" s="14"/>
      <c r="C764" s="14"/>
      <c r="D764" s="14"/>
      <c r="E764" s="24"/>
      <c r="F764" s="25"/>
      <c r="G764" s="308"/>
      <c r="H764" s="45"/>
      <c r="I764" s="14"/>
      <c r="J764" s="14"/>
      <c r="K764" s="7"/>
      <c r="L764" s="14"/>
      <c r="M764" s="14"/>
      <c r="N764" s="7"/>
      <c r="O764" s="21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</row>
    <row r="765" spans="1:91" ht="14.25" customHeight="1" x14ac:dyDescent="0.25">
      <c r="A765" s="13"/>
      <c r="B765" s="14"/>
      <c r="C765" s="14"/>
      <c r="D765" s="14"/>
      <c r="E765" s="24"/>
      <c r="F765" s="25"/>
      <c r="G765" s="308"/>
      <c r="H765" s="45"/>
      <c r="I765" s="14"/>
      <c r="J765" s="14"/>
      <c r="K765" s="7"/>
      <c r="L765" s="14"/>
      <c r="M765" s="14"/>
      <c r="N765" s="7"/>
      <c r="O765" s="21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>
        <v>1</v>
      </c>
    </row>
    <row r="766" spans="1:91" ht="14.25" customHeight="1" x14ac:dyDescent="0.25">
      <c r="A766" s="13"/>
      <c r="B766" s="14"/>
      <c r="C766" s="14"/>
      <c r="D766" s="14"/>
      <c r="E766" s="24"/>
      <c r="F766" s="25"/>
      <c r="G766" s="308"/>
      <c r="H766" s="45"/>
      <c r="I766" s="14"/>
      <c r="J766" s="14"/>
      <c r="K766" s="7"/>
      <c r="L766" s="14"/>
      <c r="M766" s="14"/>
      <c r="N766" s="7"/>
      <c r="O766" s="21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</row>
    <row r="767" spans="1:91" ht="14.25" customHeight="1" x14ac:dyDescent="0.25">
      <c r="A767" s="13"/>
      <c r="B767" s="14"/>
      <c r="C767" s="14"/>
      <c r="D767" s="14"/>
      <c r="E767" s="24"/>
      <c r="F767" s="25"/>
      <c r="G767" s="308"/>
      <c r="H767" s="45"/>
      <c r="I767" s="14"/>
      <c r="J767" s="14"/>
      <c r="K767" s="7"/>
      <c r="L767" s="14"/>
      <c r="M767" s="14"/>
      <c r="N767" s="7"/>
      <c r="O767" s="21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</row>
    <row r="768" spans="1:91" ht="14.25" customHeight="1" x14ac:dyDescent="0.25">
      <c r="A768" s="13"/>
      <c r="B768" s="14"/>
      <c r="C768" s="14"/>
      <c r="D768" s="14"/>
      <c r="E768" s="24"/>
      <c r="F768" s="25"/>
      <c r="G768" s="308"/>
      <c r="H768" s="45"/>
      <c r="I768" s="14"/>
      <c r="J768" s="14"/>
      <c r="K768" s="7"/>
      <c r="L768" s="14"/>
      <c r="M768" s="14"/>
      <c r="N768" s="7"/>
      <c r="O768" s="21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</row>
    <row r="769" spans="1:91" ht="14.25" customHeight="1" x14ac:dyDescent="0.25">
      <c r="A769" s="13"/>
      <c r="B769" s="14"/>
      <c r="C769" s="14"/>
      <c r="D769" s="14"/>
      <c r="E769" s="24"/>
      <c r="F769" s="25"/>
      <c r="G769" s="308"/>
      <c r="H769" s="45"/>
      <c r="I769" s="14"/>
      <c r="J769" s="14"/>
      <c r="K769" s="7"/>
      <c r="L769" s="14"/>
      <c r="M769" s="14"/>
      <c r="N769" s="7"/>
      <c r="O769" s="21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</row>
    <row r="770" spans="1:91" ht="14.25" customHeight="1" x14ac:dyDescent="0.25">
      <c r="A770" s="13"/>
      <c r="B770" s="14"/>
      <c r="C770" s="14"/>
      <c r="D770" s="14"/>
      <c r="E770" s="24"/>
      <c r="F770" s="25"/>
      <c r="G770" s="308"/>
      <c r="H770" s="45"/>
      <c r="I770" s="14"/>
      <c r="J770" s="14"/>
      <c r="K770" s="7"/>
      <c r="L770" s="14"/>
      <c r="M770" s="14"/>
      <c r="N770" s="7"/>
      <c r="O770" s="21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</row>
    <row r="771" spans="1:91" ht="14.25" customHeight="1" x14ac:dyDescent="0.25">
      <c r="A771" s="13"/>
      <c r="B771" s="14"/>
      <c r="C771" s="14"/>
      <c r="D771" s="14"/>
      <c r="E771" s="24"/>
      <c r="F771" s="25"/>
      <c r="G771" s="308"/>
      <c r="H771" s="45"/>
      <c r="I771" s="14"/>
      <c r="J771" s="14"/>
      <c r="K771" s="7"/>
      <c r="L771" s="14"/>
      <c r="M771" s="14"/>
      <c r="N771" s="7"/>
      <c r="O771" s="21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</row>
    <row r="772" spans="1:91" ht="14.25" customHeight="1" x14ac:dyDescent="0.25">
      <c r="A772" s="13"/>
      <c r="B772" s="14"/>
      <c r="C772" s="14"/>
      <c r="D772" s="14"/>
      <c r="E772" s="24"/>
      <c r="F772" s="25"/>
      <c r="G772" s="308"/>
      <c r="H772" s="45"/>
      <c r="I772" s="14"/>
      <c r="J772" s="14"/>
      <c r="K772" s="7"/>
      <c r="L772" s="14"/>
      <c r="M772" s="14"/>
      <c r="N772" s="7"/>
      <c r="O772" s="21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</row>
    <row r="773" spans="1:91" ht="14.25" customHeight="1" x14ac:dyDescent="0.25">
      <c r="A773" s="13"/>
      <c r="B773" s="14"/>
      <c r="C773" s="14"/>
      <c r="D773" s="14"/>
      <c r="E773" s="24"/>
      <c r="F773" s="25"/>
      <c r="G773" s="308"/>
      <c r="H773" s="45"/>
      <c r="I773" s="14"/>
      <c r="J773" s="14"/>
      <c r="K773" s="7"/>
      <c r="L773" s="14"/>
      <c r="M773" s="14"/>
      <c r="N773" s="7"/>
      <c r="O773" s="21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</row>
    <row r="774" spans="1:91" ht="14.25" customHeight="1" x14ac:dyDescent="0.25">
      <c r="A774" s="13"/>
      <c r="B774" s="14"/>
      <c r="C774" s="14"/>
      <c r="D774" s="14"/>
      <c r="E774" s="24"/>
      <c r="F774" s="25"/>
      <c r="G774" s="308"/>
      <c r="H774" s="45"/>
      <c r="I774" s="14"/>
      <c r="J774" s="14"/>
      <c r="K774" s="7"/>
      <c r="L774" s="14"/>
      <c r="M774" s="14"/>
      <c r="N774" s="7"/>
      <c r="O774" s="21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</row>
    <row r="775" spans="1:91" ht="14.25" customHeight="1" x14ac:dyDescent="0.25">
      <c r="A775" s="13"/>
      <c r="B775" s="14"/>
      <c r="C775" s="14"/>
      <c r="D775" s="14"/>
      <c r="E775" s="24"/>
      <c r="F775" s="25"/>
      <c r="G775" s="308"/>
      <c r="H775" s="45"/>
      <c r="I775" s="14"/>
      <c r="J775" s="14"/>
      <c r="K775" s="7"/>
      <c r="L775" s="14"/>
      <c r="M775" s="14"/>
      <c r="N775" s="7"/>
      <c r="O775" s="21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</row>
    <row r="776" spans="1:91" ht="14.25" customHeight="1" x14ac:dyDescent="0.25">
      <c r="A776" s="13"/>
      <c r="B776" s="14"/>
      <c r="C776" s="14"/>
      <c r="D776" s="14"/>
      <c r="E776" s="24"/>
      <c r="F776" s="25"/>
      <c r="G776" s="308"/>
      <c r="H776" s="45"/>
      <c r="I776" s="14"/>
      <c r="J776" s="14"/>
      <c r="K776" s="7"/>
      <c r="L776" s="14"/>
      <c r="M776" s="14"/>
      <c r="N776" s="7"/>
      <c r="O776" s="21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</row>
    <row r="777" spans="1:91" ht="14.25" customHeight="1" x14ac:dyDescent="0.25">
      <c r="A777" s="13"/>
      <c r="B777" s="14"/>
      <c r="C777" s="14"/>
      <c r="D777" s="14"/>
      <c r="E777" s="24"/>
      <c r="F777" s="25"/>
      <c r="G777" s="308"/>
      <c r="H777" s="45"/>
      <c r="I777" s="14"/>
      <c r="J777" s="14"/>
      <c r="K777" s="7"/>
      <c r="L777" s="14"/>
      <c r="M777" s="14"/>
      <c r="N777" s="7"/>
      <c r="O777" s="21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</row>
    <row r="778" spans="1:91" ht="14.25" customHeight="1" x14ac:dyDescent="0.25">
      <c r="A778" s="13"/>
      <c r="B778" s="14"/>
      <c r="C778" s="14"/>
      <c r="D778" s="14"/>
      <c r="E778" s="24"/>
      <c r="F778" s="25"/>
      <c r="G778" s="308"/>
      <c r="H778" s="45"/>
      <c r="I778" s="14"/>
      <c r="J778" s="14"/>
      <c r="K778" s="7"/>
      <c r="L778" s="14"/>
      <c r="M778" s="14"/>
      <c r="N778" s="7"/>
      <c r="O778" s="21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</row>
    <row r="779" spans="1:91" ht="14.25" customHeight="1" x14ac:dyDescent="0.25">
      <c r="A779" s="13"/>
      <c r="B779" s="14"/>
      <c r="C779" s="14"/>
      <c r="D779" s="14"/>
      <c r="E779" s="24"/>
      <c r="F779" s="25"/>
      <c r="G779" s="308"/>
      <c r="H779" s="45"/>
      <c r="I779" s="14"/>
      <c r="J779" s="14"/>
      <c r="K779" s="7"/>
      <c r="L779" s="14"/>
      <c r="M779" s="14"/>
      <c r="N779" s="7"/>
      <c r="O779" s="21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</row>
    <row r="780" spans="1:91" ht="14.25" customHeight="1" x14ac:dyDescent="0.25">
      <c r="A780" s="13"/>
      <c r="B780" s="14"/>
      <c r="C780" s="14"/>
      <c r="D780" s="14"/>
      <c r="E780" s="24"/>
      <c r="F780" s="25"/>
      <c r="G780" s="308"/>
      <c r="H780" s="45"/>
      <c r="I780" s="14"/>
      <c r="J780" s="14"/>
      <c r="K780" s="7"/>
      <c r="L780" s="14"/>
      <c r="M780" s="14"/>
      <c r="N780" s="7"/>
      <c r="O780" s="21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</row>
    <row r="781" spans="1:91" ht="14.25" customHeight="1" x14ac:dyDescent="0.25">
      <c r="A781" s="13"/>
      <c r="B781" s="14"/>
      <c r="C781" s="14"/>
      <c r="D781" s="14"/>
      <c r="E781" s="24"/>
      <c r="F781" s="25"/>
      <c r="G781" s="308"/>
      <c r="H781" s="45"/>
      <c r="I781" s="14"/>
      <c r="J781" s="14"/>
      <c r="K781" s="7"/>
      <c r="L781" s="14"/>
      <c r="M781" s="14"/>
      <c r="N781" s="7"/>
      <c r="O781" s="21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</row>
    <row r="782" spans="1:91" ht="14.25" customHeight="1" x14ac:dyDescent="0.25">
      <c r="A782" s="13"/>
      <c r="B782" s="14"/>
      <c r="C782" s="14"/>
      <c r="D782" s="14"/>
      <c r="E782" s="24"/>
      <c r="F782" s="25"/>
      <c r="G782" s="308"/>
      <c r="H782" s="45"/>
      <c r="I782" s="14"/>
      <c r="J782" s="14"/>
      <c r="K782" s="7"/>
      <c r="L782" s="14"/>
      <c r="M782" s="14"/>
      <c r="N782" s="7"/>
      <c r="O782" s="21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</row>
    <row r="783" spans="1:91" ht="14.25" customHeight="1" x14ac:dyDescent="0.25">
      <c r="A783" s="13"/>
      <c r="B783" s="14"/>
      <c r="C783" s="14"/>
      <c r="D783" s="14"/>
      <c r="E783" s="24"/>
      <c r="F783" s="25"/>
      <c r="G783" s="308"/>
      <c r="H783" s="45"/>
      <c r="I783" s="14"/>
      <c r="J783" s="14"/>
      <c r="K783" s="7"/>
      <c r="L783" s="14"/>
      <c r="M783" s="14"/>
      <c r="N783" s="7"/>
      <c r="O783" s="21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</row>
    <row r="784" spans="1:91" ht="14.25" customHeight="1" x14ac:dyDescent="0.25">
      <c r="A784" s="13"/>
      <c r="B784" s="14"/>
      <c r="C784" s="14"/>
      <c r="D784" s="14"/>
      <c r="E784" s="24"/>
      <c r="F784" s="25"/>
      <c r="G784" s="308"/>
      <c r="H784" s="45"/>
      <c r="I784" s="14"/>
      <c r="J784" s="14"/>
      <c r="K784" s="7"/>
      <c r="L784" s="14"/>
      <c r="M784" s="14"/>
      <c r="N784" s="7"/>
      <c r="O784" s="21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</row>
    <row r="785" spans="1:91" ht="14.25" customHeight="1" x14ac:dyDescent="0.25">
      <c r="A785" s="13"/>
      <c r="B785" s="14"/>
      <c r="C785" s="14"/>
      <c r="D785" s="14"/>
      <c r="E785" s="24"/>
      <c r="F785" s="25"/>
      <c r="G785" s="308"/>
      <c r="H785" s="45"/>
      <c r="I785" s="14"/>
      <c r="J785" s="14"/>
      <c r="K785" s="7"/>
      <c r="L785" s="14"/>
      <c r="M785" s="14"/>
      <c r="N785" s="7"/>
      <c r="O785" s="21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</row>
    <row r="786" spans="1:91" ht="14.25" customHeight="1" x14ac:dyDescent="0.25">
      <c r="A786" s="13"/>
      <c r="B786" s="14"/>
      <c r="C786" s="14"/>
      <c r="D786" s="14"/>
      <c r="E786" s="24"/>
      <c r="F786" s="25"/>
      <c r="G786" s="308"/>
      <c r="H786" s="45"/>
      <c r="I786" s="14"/>
      <c r="J786" s="14"/>
      <c r="K786" s="7"/>
      <c r="L786" s="14"/>
      <c r="M786" s="14"/>
      <c r="N786" s="7"/>
      <c r="O786" s="21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</row>
    <row r="787" spans="1:91" ht="14.25" customHeight="1" x14ac:dyDescent="0.25">
      <c r="A787" s="13"/>
      <c r="B787" s="14"/>
      <c r="C787" s="14"/>
      <c r="D787" s="14"/>
      <c r="E787" s="24"/>
      <c r="F787" s="25"/>
      <c r="G787" s="308"/>
      <c r="H787" s="45"/>
      <c r="I787" s="14"/>
      <c r="J787" s="14"/>
      <c r="K787" s="7"/>
      <c r="L787" s="14"/>
      <c r="M787" s="14"/>
      <c r="N787" s="7"/>
      <c r="O787" s="21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</row>
    <row r="788" spans="1:91" ht="14.25" customHeight="1" x14ac:dyDescent="0.25">
      <c r="A788" s="13"/>
      <c r="B788" s="14"/>
      <c r="C788" s="14"/>
      <c r="D788" s="14"/>
      <c r="E788" s="24"/>
      <c r="F788" s="25"/>
      <c r="G788" s="308"/>
      <c r="H788" s="45"/>
      <c r="I788" s="14"/>
      <c r="J788" s="14"/>
      <c r="K788" s="7"/>
      <c r="L788" s="14"/>
      <c r="M788" s="14"/>
      <c r="N788" s="7"/>
      <c r="O788" s="21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</row>
    <row r="789" spans="1:91" ht="14.25" customHeight="1" x14ac:dyDescent="0.25">
      <c r="A789" s="13"/>
      <c r="B789" s="14"/>
      <c r="C789" s="14"/>
      <c r="D789" s="14"/>
      <c r="E789" s="24"/>
      <c r="F789" s="25"/>
      <c r="G789" s="308"/>
      <c r="H789" s="45"/>
      <c r="I789" s="14"/>
      <c r="J789" s="14"/>
      <c r="K789" s="7"/>
      <c r="L789" s="14"/>
      <c r="M789" s="14"/>
      <c r="N789" s="7"/>
      <c r="O789" s="21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</row>
    <row r="790" spans="1:91" ht="14.25" customHeight="1" x14ac:dyDescent="0.25">
      <c r="A790" s="13"/>
      <c r="B790" s="14"/>
      <c r="C790" s="14"/>
      <c r="D790" s="14"/>
      <c r="E790" s="24"/>
      <c r="F790" s="25"/>
      <c r="G790" s="308"/>
      <c r="H790" s="45"/>
      <c r="I790" s="14"/>
      <c r="J790" s="14"/>
      <c r="K790" s="7"/>
      <c r="L790" s="14"/>
      <c r="M790" s="14"/>
      <c r="N790" s="7"/>
      <c r="O790" s="21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</row>
    <row r="791" spans="1:91" ht="14.25" customHeight="1" x14ac:dyDescent="0.25">
      <c r="A791" s="13"/>
      <c r="B791" s="14"/>
      <c r="C791" s="14"/>
      <c r="D791" s="14"/>
      <c r="E791" s="24"/>
      <c r="F791" s="25"/>
      <c r="G791" s="308"/>
      <c r="H791" s="45"/>
      <c r="I791" s="14"/>
      <c r="J791" s="14"/>
      <c r="K791" s="7"/>
      <c r="L791" s="14"/>
      <c r="M791" s="14"/>
      <c r="N791" s="7"/>
      <c r="O791" s="21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</row>
    <row r="792" spans="1:91" ht="14.25" customHeight="1" x14ac:dyDescent="0.25">
      <c r="A792" s="13"/>
      <c r="B792" s="14"/>
      <c r="C792" s="14"/>
      <c r="D792" s="14"/>
      <c r="E792" s="24"/>
      <c r="F792" s="25"/>
      <c r="G792" s="308"/>
      <c r="H792" s="45"/>
      <c r="I792" s="14"/>
      <c r="J792" s="14"/>
      <c r="K792" s="7"/>
      <c r="L792" s="14"/>
      <c r="M792" s="14"/>
      <c r="N792" s="7"/>
      <c r="O792" s="21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</row>
    <row r="793" spans="1:91" ht="14.25" customHeight="1" x14ac:dyDescent="0.25">
      <c r="A793" s="13"/>
      <c r="B793" s="14"/>
      <c r="C793" s="14"/>
      <c r="D793" s="14"/>
      <c r="E793" s="24"/>
      <c r="F793" s="25"/>
      <c r="G793" s="308"/>
      <c r="H793" s="45"/>
      <c r="I793" s="14"/>
      <c r="J793" s="14"/>
      <c r="K793" s="7"/>
      <c r="L793" s="14"/>
      <c r="M793" s="14"/>
      <c r="N793" s="7"/>
      <c r="O793" s="21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</row>
    <row r="794" spans="1:91" ht="14.25" customHeight="1" x14ac:dyDescent="0.25">
      <c r="A794" s="13"/>
      <c r="B794" s="14"/>
      <c r="C794" s="14"/>
      <c r="D794" s="14"/>
      <c r="E794" s="24"/>
      <c r="F794" s="25"/>
      <c r="G794" s="308"/>
      <c r="H794" s="45"/>
      <c r="I794" s="14"/>
      <c r="J794" s="14"/>
      <c r="K794" s="7"/>
      <c r="L794" s="14"/>
      <c r="M794" s="14"/>
      <c r="N794" s="7"/>
      <c r="O794" s="21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</row>
    <row r="795" spans="1:91" ht="14.25" customHeight="1" x14ac:dyDescent="0.25">
      <c r="A795" s="13"/>
      <c r="B795" s="14"/>
      <c r="C795" s="14"/>
      <c r="D795" s="14"/>
      <c r="E795" s="24"/>
      <c r="F795" s="25"/>
      <c r="G795" s="308"/>
      <c r="H795" s="45"/>
      <c r="I795" s="14"/>
      <c r="J795" s="14"/>
      <c r="K795" s="7"/>
      <c r="L795" s="14"/>
      <c r="M795" s="14"/>
      <c r="N795" s="7"/>
      <c r="O795" s="21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</row>
    <row r="796" spans="1:91" ht="14.25" customHeight="1" x14ac:dyDescent="0.25">
      <c r="A796" s="13"/>
      <c r="B796" s="14"/>
      <c r="C796" s="14"/>
      <c r="D796" s="14"/>
      <c r="E796" s="24"/>
      <c r="F796" s="25"/>
      <c r="G796" s="308"/>
      <c r="H796" s="45"/>
      <c r="I796" s="14"/>
      <c r="J796" s="14"/>
      <c r="K796" s="7"/>
      <c r="L796" s="14"/>
      <c r="M796" s="14"/>
      <c r="N796" s="7"/>
      <c r="O796" s="21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</row>
    <row r="797" spans="1:91" ht="14.25" customHeight="1" x14ac:dyDescent="0.25">
      <c r="A797" s="13"/>
      <c r="B797" s="14"/>
      <c r="C797" s="14"/>
      <c r="D797" s="14"/>
      <c r="E797" s="24"/>
      <c r="F797" s="25"/>
      <c r="G797" s="308"/>
      <c r="H797" s="45"/>
      <c r="I797" s="14"/>
      <c r="J797" s="14"/>
      <c r="K797" s="7"/>
      <c r="L797" s="14"/>
      <c r="M797" s="14"/>
      <c r="N797" s="7"/>
      <c r="O797" s="21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</row>
    <row r="798" spans="1:91" ht="14.25" customHeight="1" x14ac:dyDescent="0.25">
      <c r="A798" s="13"/>
      <c r="B798" s="14"/>
      <c r="C798" s="14"/>
      <c r="D798" s="14"/>
      <c r="E798" s="24"/>
      <c r="F798" s="25"/>
      <c r="G798" s="308"/>
      <c r="H798" s="45"/>
      <c r="I798" s="14"/>
      <c r="J798" s="14"/>
      <c r="K798" s="7"/>
      <c r="L798" s="14"/>
      <c r="M798" s="14"/>
      <c r="N798" s="7"/>
      <c r="O798" s="21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>
        <v>1</v>
      </c>
    </row>
    <row r="799" spans="1:91" ht="14.25" customHeight="1" x14ac:dyDescent="0.25">
      <c r="A799" s="13"/>
      <c r="B799" s="14"/>
      <c r="C799" s="14"/>
      <c r="D799" s="14"/>
      <c r="E799" s="24"/>
      <c r="F799" s="25"/>
      <c r="G799" s="308"/>
      <c r="H799" s="45"/>
      <c r="I799" s="14"/>
      <c r="J799" s="14"/>
      <c r="K799" s="7"/>
      <c r="L799" s="14"/>
      <c r="M799" s="14"/>
      <c r="N799" s="7"/>
      <c r="O799" s="21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</row>
    <row r="800" spans="1:91" ht="14.25" customHeight="1" x14ac:dyDescent="0.25">
      <c r="A800" s="13"/>
      <c r="B800" s="14"/>
      <c r="C800" s="14"/>
      <c r="D800" s="14"/>
      <c r="E800" s="24"/>
      <c r="F800" s="25"/>
      <c r="G800" s="308"/>
      <c r="H800" s="45"/>
      <c r="I800" s="14"/>
      <c r="J800" s="14"/>
      <c r="K800" s="7"/>
      <c r="L800" s="14"/>
      <c r="M800" s="14"/>
      <c r="N800" s="7"/>
      <c r="O800" s="21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</row>
    <row r="801" spans="1:91" ht="14.25" customHeight="1" x14ac:dyDescent="0.25">
      <c r="A801" s="13"/>
      <c r="B801" s="14"/>
      <c r="C801" s="14"/>
      <c r="D801" s="14"/>
      <c r="E801" s="24"/>
      <c r="F801" s="25"/>
      <c r="G801" s="308"/>
      <c r="H801" s="45"/>
      <c r="I801" s="14"/>
      <c r="J801" s="14"/>
      <c r="K801" s="7"/>
      <c r="L801" s="14"/>
      <c r="M801" s="14"/>
      <c r="N801" s="7"/>
      <c r="O801" s="21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</row>
    <row r="802" spans="1:91" ht="14.25" customHeight="1" x14ac:dyDescent="0.25">
      <c r="A802" s="13"/>
      <c r="B802" s="14"/>
      <c r="C802" s="14"/>
      <c r="D802" s="14"/>
      <c r="E802" s="24"/>
      <c r="F802" s="25"/>
      <c r="G802" s="308"/>
      <c r="H802" s="45"/>
      <c r="I802" s="14"/>
      <c r="J802" s="14"/>
      <c r="K802" s="7"/>
      <c r="L802" s="14"/>
      <c r="M802" s="14"/>
      <c r="N802" s="7"/>
      <c r="O802" s="21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</row>
    <row r="803" spans="1:91" ht="14.25" customHeight="1" x14ac:dyDescent="0.25">
      <c r="A803" s="13"/>
      <c r="B803" s="14"/>
      <c r="C803" s="14"/>
      <c r="D803" s="14"/>
      <c r="E803" s="24"/>
      <c r="F803" s="25"/>
      <c r="G803" s="308"/>
      <c r="H803" s="45"/>
      <c r="I803" s="14"/>
      <c r="J803" s="14"/>
      <c r="K803" s="7"/>
      <c r="L803" s="14"/>
      <c r="M803" s="14"/>
      <c r="N803" s="7"/>
      <c r="O803" s="21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</row>
    <row r="804" spans="1:91" ht="14.25" customHeight="1" x14ac:dyDescent="0.25">
      <c r="A804" s="13"/>
      <c r="B804" s="14"/>
      <c r="C804" s="14"/>
      <c r="D804" s="14"/>
      <c r="E804" s="24"/>
      <c r="F804" s="25"/>
      <c r="G804" s="308"/>
      <c r="H804" s="45"/>
      <c r="I804" s="14"/>
      <c r="J804" s="14"/>
      <c r="K804" s="7"/>
      <c r="L804" s="14"/>
      <c r="M804" s="14"/>
      <c r="N804" s="7"/>
      <c r="O804" s="21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</row>
    <row r="805" spans="1:91" ht="14.25" customHeight="1" x14ac:dyDescent="0.25">
      <c r="A805" s="13"/>
      <c r="B805" s="14"/>
      <c r="C805" s="14"/>
      <c r="D805" s="14"/>
      <c r="E805" s="24"/>
      <c r="F805" s="25"/>
      <c r="G805" s="308"/>
      <c r="H805" s="45"/>
      <c r="I805" s="14"/>
      <c r="J805" s="14"/>
      <c r="K805" s="7"/>
      <c r="L805" s="14"/>
      <c r="M805" s="14"/>
      <c r="N805" s="7"/>
      <c r="O805" s="21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</row>
    <row r="806" spans="1:91" ht="14.25" customHeight="1" x14ac:dyDescent="0.25">
      <c r="A806" s="13"/>
      <c r="B806" s="14"/>
      <c r="C806" s="14"/>
      <c r="D806" s="14"/>
      <c r="E806" s="24"/>
      <c r="F806" s="25"/>
      <c r="G806" s="308"/>
      <c r="H806" s="45"/>
      <c r="I806" s="14"/>
      <c r="J806" s="14"/>
      <c r="K806" s="7"/>
      <c r="L806" s="14"/>
      <c r="M806" s="14"/>
      <c r="N806" s="7"/>
      <c r="O806" s="21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</row>
    <row r="807" spans="1:91" ht="14.25" customHeight="1" x14ac:dyDescent="0.25">
      <c r="A807" s="13"/>
      <c r="B807" s="14"/>
      <c r="C807" s="14"/>
      <c r="D807" s="14"/>
      <c r="E807" s="24"/>
      <c r="F807" s="25"/>
      <c r="G807" s="308"/>
      <c r="H807" s="45"/>
      <c r="I807" s="14"/>
      <c r="J807" s="14"/>
      <c r="K807" s="7"/>
      <c r="L807" s="14"/>
      <c r="M807" s="14"/>
      <c r="N807" s="7"/>
      <c r="O807" s="21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</row>
    <row r="808" spans="1:91" ht="14.25" customHeight="1" x14ac:dyDescent="0.25">
      <c r="A808" s="13"/>
      <c r="B808" s="14"/>
      <c r="C808" s="14"/>
      <c r="D808" s="14"/>
      <c r="E808" s="24"/>
      <c r="F808" s="25"/>
      <c r="G808" s="308"/>
      <c r="H808" s="45"/>
      <c r="I808" s="14"/>
      <c r="J808" s="14"/>
      <c r="K808" s="7"/>
      <c r="L808" s="14"/>
      <c r="M808" s="14"/>
      <c r="N808" s="7"/>
      <c r="O808" s="21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</row>
    <row r="809" spans="1:91" ht="14.25" customHeight="1" x14ac:dyDescent="0.25">
      <c r="A809" s="13"/>
      <c r="B809" s="14"/>
      <c r="C809" s="14"/>
      <c r="D809" s="14"/>
      <c r="E809" s="24"/>
      <c r="F809" s="25"/>
      <c r="G809" s="308"/>
      <c r="H809" s="45"/>
      <c r="I809" s="14"/>
      <c r="J809" s="14"/>
      <c r="K809" s="7"/>
      <c r="L809" s="14"/>
      <c r="M809" s="14"/>
      <c r="N809" s="7"/>
      <c r="O809" s="21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</row>
    <row r="810" spans="1:91" ht="14.25" customHeight="1" x14ac:dyDescent="0.25">
      <c r="A810" s="13"/>
      <c r="B810" s="14"/>
      <c r="C810" s="14"/>
      <c r="D810" s="14"/>
      <c r="E810" s="24"/>
      <c r="F810" s="25"/>
      <c r="G810" s="308"/>
      <c r="H810" s="45"/>
      <c r="I810" s="14"/>
      <c r="J810" s="14"/>
      <c r="K810" s="7"/>
      <c r="L810" s="14"/>
      <c r="M810" s="14"/>
      <c r="N810" s="7"/>
      <c r="O810" s="21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</row>
    <row r="811" spans="1:91" ht="14.25" customHeight="1" x14ac:dyDescent="0.25">
      <c r="A811" s="13"/>
      <c r="B811" s="14"/>
      <c r="C811" s="14"/>
      <c r="D811" s="14"/>
      <c r="E811" s="24"/>
      <c r="F811" s="25"/>
      <c r="G811" s="308"/>
      <c r="H811" s="45"/>
      <c r="I811" s="14"/>
      <c r="J811" s="14"/>
      <c r="K811" s="7"/>
      <c r="L811" s="14"/>
      <c r="M811" s="14"/>
      <c r="N811" s="7"/>
      <c r="O811" s="21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</row>
    <row r="812" spans="1:91" ht="14.25" customHeight="1" x14ac:dyDescent="0.25">
      <c r="A812" s="13"/>
      <c r="B812" s="14"/>
      <c r="C812" s="14"/>
      <c r="D812" s="14"/>
      <c r="E812" s="24"/>
      <c r="F812" s="25"/>
      <c r="G812" s="308"/>
      <c r="H812" s="45"/>
      <c r="I812" s="14"/>
      <c r="J812" s="14"/>
      <c r="K812" s="7"/>
      <c r="L812" s="14"/>
      <c r="M812" s="14"/>
      <c r="N812" s="7"/>
      <c r="O812" s="21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</row>
    <row r="813" spans="1:91" ht="14.25" customHeight="1" x14ac:dyDescent="0.25">
      <c r="A813" s="13"/>
      <c r="B813" s="14"/>
      <c r="C813" s="14"/>
      <c r="D813" s="14"/>
      <c r="E813" s="24"/>
      <c r="F813" s="25"/>
      <c r="G813" s="308"/>
      <c r="H813" s="45"/>
      <c r="I813" s="14"/>
      <c r="J813" s="14"/>
      <c r="K813" s="7"/>
      <c r="L813" s="14"/>
      <c r="M813" s="14"/>
      <c r="N813" s="7"/>
      <c r="O813" s="21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</row>
    <row r="814" spans="1:91" ht="14.25" customHeight="1" x14ac:dyDescent="0.25">
      <c r="A814" s="13"/>
      <c r="B814" s="14"/>
      <c r="C814" s="14"/>
      <c r="D814" s="14"/>
      <c r="E814" s="24"/>
      <c r="F814" s="25"/>
      <c r="G814" s="308"/>
      <c r="H814" s="45"/>
      <c r="I814" s="14"/>
      <c r="J814" s="14"/>
      <c r="K814" s="7"/>
      <c r="L814" s="14"/>
      <c r="M814" s="14"/>
      <c r="N814" s="7"/>
      <c r="O814" s="21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</row>
    <row r="815" spans="1:91" ht="14.25" customHeight="1" x14ac:dyDescent="0.25">
      <c r="A815" s="13"/>
      <c r="B815" s="14"/>
      <c r="C815" s="14"/>
      <c r="D815" s="14"/>
      <c r="E815" s="24"/>
      <c r="F815" s="25"/>
      <c r="G815" s="308"/>
      <c r="H815" s="45"/>
      <c r="I815" s="14"/>
      <c r="J815" s="14"/>
      <c r="K815" s="7"/>
      <c r="L815" s="14"/>
      <c r="M815" s="14"/>
      <c r="N815" s="7"/>
      <c r="O815" s="21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</row>
    <row r="816" spans="1:91" ht="14.25" customHeight="1" x14ac:dyDescent="0.25">
      <c r="A816" s="13"/>
      <c r="B816" s="14"/>
      <c r="C816" s="14"/>
      <c r="D816" s="14"/>
      <c r="E816" s="24"/>
      <c r="F816" s="25"/>
      <c r="G816" s="308"/>
      <c r="H816" s="45"/>
      <c r="I816" s="14"/>
      <c r="J816" s="14"/>
      <c r="K816" s="7"/>
      <c r="L816" s="14"/>
      <c r="M816" s="14"/>
      <c r="N816" s="7"/>
      <c r="O816" s="21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</row>
    <row r="817" spans="1:91" ht="14.25" customHeight="1" x14ac:dyDescent="0.25">
      <c r="A817" s="13"/>
      <c r="B817" s="14"/>
      <c r="C817" s="14"/>
      <c r="D817" s="14"/>
      <c r="E817" s="24"/>
      <c r="F817" s="25"/>
      <c r="G817" s="308"/>
      <c r="H817" s="45"/>
      <c r="I817" s="14"/>
      <c r="J817" s="14"/>
      <c r="K817" s="7"/>
      <c r="L817" s="14"/>
      <c r="M817" s="14"/>
      <c r="N817" s="7"/>
      <c r="O817" s="21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</row>
    <row r="818" spans="1:91" ht="14.25" customHeight="1" x14ac:dyDescent="0.25">
      <c r="A818" s="13"/>
      <c r="B818" s="14"/>
      <c r="C818" s="14"/>
      <c r="D818" s="14"/>
      <c r="E818" s="24"/>
      <c r="F818" s="25"/>
      <c r="G818" s="308"/>
      <c r="H818" s="45"/>
      <c r="I818" s="14"/>
      <c r="J818" s="14"/>
      <c r="K818" s="7"/>
      <c r="L818" s="14"/>
      <c r="M818" s="14"/>
      <c r="N818" s="7"/>
      <c r="O818" s="21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</row>
    <row r="819" spans="1:91" ht="14.25" customHeight="1" x14ac:dyDescent="0.25">
      <c r="A819" s="13"/>
      <c r="B819" s="14"/>
      <c r="C819" s="14"/>
      <c r="D819" s="14"/>
      <c r="E819" s="24"/>
      <c r="F819" s="25"/>
      <c r="G819" s="308"/>
      <c r="H819" s="45"/>
      <c r="I819" s="14"/>
      <c r="J819" s="14"/>
      <c r="K819" s="7"/>
      <c r="L819" s="14"/>
      <c r="M819" s="14"/>
      <c r="N819" s="7"/>
      <c r="O819" s="21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</row>
    <row r="820" spans="1:91" ht="14.25" customHeight="1" x14ac:dyDescent="0.25">
      <c r="A820" s="13"/>
      <c r="B820" s="14"/>
      <c r="C820" s="14"/>
      <c r="D820" s="14"/>
      <c r="E820" s="24"/>
      <c r="F820" s="25"/>
      <c r="G820" s="308"/>
      <c r="H820" s="45"/>
      <c r="I820" s="14"/>
      <c r="J820" s="14"/>
      <c r="K820" s="7"/>
      <c r="L820" s="14"/>
      <c r="M820" s="14"/>
      <c r="N820" s="7"/>
      <c r="O820" s="21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</row>
    <row r="821" spans="1:91" ht="14.25" customHeight="1" x14ac:dyDescent="0.25">
      <c r="A821" s="13"/>
      <c r="B821" s="14"/>
      <c r="C821" s="14"/>
      <c r="D821" s="14"/>
      <c r="E821" s="24"/>
      <c r="F821" s="25"/>
      <c r="G821" s="308"/>
      <c r="H821" s="45"/>
      <c r="I821" s="14"/>
      <c r="J821" s="14"/>
      <c r="K821" s="7"/>
      <c r="L821" s="14"/>
      <c r="M821" s="14"/>
      <c r="N821" s="7"/>
      <c r="O821" s="21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</row>
    <row r="822" spans="1:91" ht="14.25" customHeight="1" x14ac:dyDescent="0.25">
      <c r="A822" s="13"/>
      <c r="B822" s="14"/>
      <c r="C822" s="14"/>
      <c r="D822" s="14"/>
      <c r="E822" s="24"/>
      <c r="F822" s="25"/>
      <c r="G822" s="308"/>
      <c r="H822" s="45"/>
      <c r="I822" s="14"/>
      <c r="J822" s="14"/>
      <c r="K822" s="7"/>
      <c r="L822" s="14"/>
      <c r="M822" s="14"/>
      <c r="N822" s="7"/>
      <c r="O822" s="21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</row>
    <row r="823" spans="1:91" ht="14.25" customHeight="1" x14ac:dyDescent="0.25">
      <c r="A823" s="13"/>
      <c r="B823" s="14"/>
      <c r="C823" s="14"/>
      <c r="D823" s="14"/>
      <c r="E823" s="24"/>
      <c r="F823" s="25"/>
      <c r="G823" s="308"/>
      <c r="H823" s="45"/>
      <c r="I823" s="14"/>
      <c r="J823" s="14"/>
      <c r="K823" s="7"/>
      <c r="L823" s="14"/>
      <c r="M823" s="14"/>
      <c r="N823" s="7"/>
      <c r="O823" s="21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</row>
    <row r="824" spans="1:91" ht="14.25" customHeight="1" x14ac:dyDescent="0.25">
      <c r="A824" s="13"/>
      <c r="B824" s="14"/>
      <c r="C824" s="14"/>
      <c r="D824" s="14"/>
      <c r="E824" s="24"/>
      <c r="F824" s="25"/>
      <c r="G824" s="308"/>
      <c r="H824" s="45"/>
      <c r="I824" s="14"/>
      <c r="J824" s="14"/>
      <c r="K824" s="7"/>
      <c r="L824" s="14"/>
      <c r="M824" s="14"/>
      <c r="N824" s="7"/>
      <c r="O824" s="21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</row>
    <row r="825" spans="1:91" ht="14.25" customHeight="1" x14ac:dyDescent="0.25">
      <c r="A825" s="13"/>
      <c r="B825" s="14"/>
      <c r="C825" s="14"/>
      <c r="D825" s="14"/>
      <c r="E825" s="24"/>
      <c r="F825" s="25"/>
      <c r="G825" s="308"/>
      <c r="H825" s="45"/>
      <c r="I825" s="14"/>
      <c r="J825" s="14"/>
      <c r="K825" s="7"/>
      <c r="L825" s="14"/>
      <c r="M825" s="14"/>
      <c r="N825" s="7"/>
      <c r="O825" s="21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</row>
    <row r="826" spans="1:91" ht="14.25" customHeight="1" x14ac:dyDescent="0.25">
      <c r="A826" s="13"/>
      <c r="B826" s="14"/>
      <c r="C826" s="14"/>
      <c r="D826" s="14"/>
      <c r="E826" s="24"/>
      <c r="F826" s="25"/>
      <c r="G826" s="308"/>
      <c r="H826" s="45"/>
      <c r="I826" s="14"/>
      <c r="J826" s="14"/>
      <c r="K826" s="7"/>
      <c r="L826" s="14"/>
      <c r="M826" s="14"/>
      <c r="N826" s="7"/>
      <c r="O826" s="21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</row>
    <row r="827" spans="1:91" ht="14.25" customHeight="1" x14ac:dyDescent="0.25">
      <c r="A827" s="13"/>
      <c r="B827" s="14"/>
      <c r="C827" s="14"/>
      <c r="D827" s="14"/>
      <c r="E827" s="24"/>
      <c r="F827" s="25"/>
      <c r="G827" s="308"/>
      <c r="H827" s="45"/>
      <c r="I827" s="14"/>
      <c r="J827" s="14"/>
      <c r="K827" s="7"/>
      <c r="L827" s="14"/>
      <c r="M827" s="14"/>
      <c r="N827" s="7"/>
      <c r="O827" s="21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</row>
    <row r="828" spans="1:91" ht="14.25" customHeight="1" x14ac:dyDescent="0.25">
      <c r="A828" s="13"/>
      <c r="B828" s="14"/>
      <c r="C828" s="14"/>
      <c r="D828" s="14"/>
      <c r="E828" s="24"/>
      <c r="F828" s="25"/>
      <c r="G828" s="308"/>
      <c r="H828" s="45"/>
      <c r="I828" s="14"/>
      <c r="J828" s="14"/>
      <c r="K828" s="7"/>
      <c r="L828" s="14"/>
      <c r="M828" s="14"/>
      <c r="N828" s="7"/>
      <c r="O828" s="21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</row>
    <row r="829" spans="1:91" ht="14.25" customHeight="1" x14ac:dyDescent="0.25">
      <c r="A829" s="13"/>
      <c r="B829" s="14"/>
      <c r="C829" s="14"/>
      <c r="D829" s="14"/>
      <c r="E829" s="24"/>
      <c r="F829" s="25"/>
      <c r="G829" s="308"/>
      <c r="H829" s="45"/>
      <c r="I829" s="14"/>
      <c r="J829" s="14"/>
      <c r="K829" s="7"/>
      <c r="L829" s="14"/>
      <c r="M829" s="14"/>
      <c r="N829" s="7"/>
      <c r="O829" s="21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</row>
    <row r="830" spans="1:91" ht="14.25" customHeight="1" x14ac:dyDescent="0.25">
      <c r="A830" s="13"/>
      <c r="B830" s="14"/>
      <c r="C830" s="14"/>
      <c r="D830" s="14"/>
      <c r="E830" s="24"/>
      <c r="F830" s="25"/>
      <c r="G830" s="308"/>
      <c r="H830" s="45"/>
      <c r="I830" s="14"/>
      <c r="J830" s="14"/>
      <c r="K830" s="7"/>
      <c r="L830" s="14"/>
      <c r="M830" s="14"/>
      <c r="N830" s="7"/>
      <c r="O830" s="21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</row>
    <row r="831" spans="1:91" ht="14.25" customHeight="1" x14ac:dyDescent="0.25">
      <c r="A831" s="13"/>
      <c r="B831" s="14"/>
      <c r="C831" s="14"/>
      <c r="D831" s="14"/>
      <c r="E831" s="24"/>
      <c r="F831" s="25"/>
      <c r="G831" s="308"/>
      <c r="H831" s="45"/>
      <c r="I831" s="14"/>
      <c r="J831" s="14"/>
      <c r="K831" s="7"/>
      <c r="L831" s="14"/>
      <c r="M831" s="14"/>
      <c r="N831" s="7"/>
      <c r="O831" s="21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>
        <v>1</v>
      </c>
    </row>
    <row r="832" spans="1:91" ht="14.25" customHeight="1" x14ac:dyDescent="0.25">
      <c r="A832" s="13"/>
      <c r="B832" s="14"/>
      <c r="C832" s="14"/>
      <c r="D832" s="14"/>
      <c r="E832" s="24"/>
      <c r="F832" s="25"/>
      <c r="G832" s="308"/>
      <c r="H832" s="45"/>
      <c r="I832" s="14"/>
      <c r="J832" s="14"/>
      <c r="K832" s="7"/>
      <c r="L832" s="14"/>
      <c r="M832" s="14"/>
      <c r="N832" s="7"/>
      <c r="O832" s="21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</row>
    <row r="833" spans="1:91" ht="14.25" customHeight="1" x14ac:dyDescent="0.25">
      <c r="A833" s="13"/>
      <c r="B833" s="14"/>
      <c r="C833" s="14"/>
      <c r="D833" s="14"/>
      <c r="E833" s="24"/>
      <c r="F833" s="25"/>
      <c r="G833" s="308"/>
      <c r="H833" s="45"/>
      <c r="I833" s="14"/>
      <c r="J833" s="14"/>
      <c r="K833" s="7"/>
      <c r="L833" s="14"/>
      <c r="M833" s="14"/>
      <c r="N833" s="7"/>
      <c r="O833" s="21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</row>
    <row r="834" spans="1:91" ht="14.25" customHeight="1" x14ac:dyDescent="0.25">
      <c r="A834" s="13"/>
      <c r="B834" s="14"/>
      <c r="C834" s="14"/>
      <c r="D834" s="14"/>
      <c r="E834" s="24"/>
      <c r="F834" s="25"/>
      <c r="G834" s="308"/>
      <c r="H834" s="45"/>
      <c r="I834" s="14"/>
      <c r="J834" s="14"/>
      <c r="K834" s="7"/>
      <c r="L834" s="14"/>
      <c r="M834" s="14"/>
      <c r="N834" s="7"/>
      <c r="O834" s="21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</row>
    <row r="835" spans="1:91" ht="14.25" customHeight="1" x14ac:dyDescent="0.25">
      <c r="A835" s="13"/>
      <c r="B835" s="14"/>
      <c r="C835" s="14"/>
      <c r="D835" s="14"/>
      <c r="E835" s="24"/>
      <c r="F835" s="25"/>
      <c r="G835" s="308"/>
      <c r="H835" s="45"/>
      <c r="I835" s="14"/>
      <c r="J835" s="14"/>
      <c r="K835" s="7"/>
      <c r="L835" s="14"/>
      <c r="M835" s="14"/>
      <c r="N835" s="7"/>
      <c r="O835" s="21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</row>
    <row r="836" spans="1:91" ht="14.25" customHeight="1" x14ac:dyDescent="0.25">
      <c r="A836" s="13"/>
      <c r="B836" s="14"/>
      <c r="C836" s="14"/>
      <c r="D836" s="14"/>
      <c r="E836" s="24"/>
      <c r="F836" s="25"/>
      <c r="G836" s="308"/>
      <c r="H836" s="45"/>
      <c r="I836" s="14"/>
      <c r="J836" s="14"/>
      <c r="K836" s="7"/>
      <c r="L836" s="14"/>
      <c r="M836" s="14"/>
      <c r="N836" s="7"/>
      <c r="O836" s="21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</row>
    <row r="837" spans="1:91" ht="14.25" customHeight="1" x14ac:dyDescent="0.25">
      <c r="A837" s="13"/>
      <c r="B837" s="14"/>
      <c r="C837" s="14"/>
      <c r="D837" s="14"/>
      <c r="E837" s="24"/>
      <c r="F837" s="25"/>
      <c r="G837" s="308"/>
      <c r="H837" s="45"/>
      <c r="I837" s="14"/>
      <c r="J837" s="14"/>
      <c r="K837" s="7"/>
      <c r="L837" s="14"/>
      <c r="M837" s="14"/>
      <c r="N837" s="7"/>
      <c r="O837" s="21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</row>
    <row r="838" spans="1:91" ht="14.25" customHeight="1" x14ac:dyDescent="0.25">
      <c r="A838" s="13"/>
      <c r="B838" s="14"/>
      <c r="C838" s="14"/>
      <c r="D838" s="14"/>
      <c r="E838" s="24"/>
      <c r="F838" s="25"/>
      <c r="G838" s="308"/>
      <c r="H838" s="45"/>
      <c r="I838" s="14"/>
      <c r="J838" s="14"/>
      <c r="K838" s="7"/>
      <c r="L838" s="14"/>
      <c r="M838" s="14"/>
      <c r="N838" s="7"/>
      <c r="O838" s="21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</row>
    <row r="839" spans="1:91" ht="14.25" customHeight="1" x14ac:dyDescent="0.25">
      <c r="A839" s="13"/>
      <c r="B839" s="14"/>
      <c r="C839" s="14"/>
      <c r="D839" s="14"/>
      <c r="E839" s="24"/>
      <c r="F839" s="25"/>
      <c r="G839" s="308"/>
      <c r="H839" s="45"/>
      <c r="I839" s="14"/>
      <c r="J839" s="14"/>
      <c r="K839" s="7"/>
      <c r="L839" s="14"/>
      <c r="M839" s="14"/>
      <c r="N839" s="7"/>
      <c r="O839" s="21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</row>
    <row r="840" spans="1:91" ht="14.25" customHeight="1" x14ac:dyDescent="0.25">
      <c r="A840" s="13"/>
      <c r="B840" s="14"/>
      <c r="C840" s="14"/>
      <c r="D840" s="14"/>
      <c r="E840" s="24"/>
      <c r="F840" s="25"/>
      <c r="G840" s="308"/>
      <c r="H840" s="45"/>
      <c r="I840" s="14"/>
      <c r="J840" s="14"/>
      <c r="K840" s="7"/>
      <c r="L840" s="14"/>
      <c r="M840" s="14"/>
      <c r="N840" s="7"/>
      <c r="O840" s="21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</row>
    <row r="841" spans="1:91" ht="14.25" customHeight="1" x14ac:dyDescent="0.25">
      <c r="A841" s="13"/>
      <c r="B841" s="14"/>
      <c r="C841" s="14"/>
      <c r="D841" s="14"/>
      <c r="E841" s="24"/>
      <c r="F841" s="25"/>
      <c r="G841" s="308"/>
      <c r="H841" s="45"/>
      <c r="I841" s="14"/>
      <c r="J841" s="14"/>
      <c r="K841" s="7"/>
      <c r="L841" s="14"/>
      <c r="M841" s="14"/>
      <c r="N841" s="7"/>
      <c r="O841" s="21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</row>
    <row r="842" spans="1:91" ht="14.25" customHeight="1" x14ac:dyDescent="0.25">
      <c r="A842" s="13"/>
      <c r="B842" s="14"/>
      <c r="C842" s="14"/>
      <c r="D842" s="14"/>
      <c r="E842" s="24"/>
      <c r="F842" s="25"/>
      <c r="G842" s="308"/>
      <c r="H842" s="45"/>
      <c r="I842" s="14"/>
      <c r="J842" s="14"/>
      <c r="K842" s="7"/>
      <c r="L842" s="14"/>
      <c r="M842" s="14"/>
      <c r="N842" s="7"/>
      <c r="O842" s="21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</row>
    <row r="843" spans="1:91" ht="14.25" customHeight="1" x14ac:dyDescent="0.25">
      <c r="A843" s="13"/>
      <c r="B843" s="14"/>
      <c r="C843" s="14"/>
      <c r="D843" s="14"/>
      <c r="E843" s="24"/>
      <c r="F843" s="25"/>
      <c r="G843" s="308"/>
      <c r="H843" s="45"/>
      <c r="I843" s="14"/>
      <c r="J843" s="14"/>
      <c r="K843" s="7"/>
      <c r="L843" s="14"/>
      <c r="M843" s="14"/>
      <c r="N843" s="7"/>
      <c r="O843" s="21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</row>
    <row r="844" spans="1:91" ht="14.25" customHeight="1" x14ac:dyDescent="0.25">
      <c r="A844" s="13"/>
      <c r="B844" s="14"/>
      <c r="C844" s="14"/>
      <c r="D844" s="14"/>
      <c r="E844" s="24"/>
      <c r="F844" s="25"/>
      <c r="G844" s="308"/>
      <c r="H844" s="45"/>
      <c r="I844" s="14"/>
      <c r="J844" s="14"/>
      <c r="K844" s="7"/>
      <c r="L844" s="14"/>
      <c r="M844" s="14"/>
      <c r="N844" s="7"/>
      <c r="O844" s="21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</row>
    <row r="845" spans="1:91" ht="14.25" customHeight="1" x14ac:dyDescent="0.25">
      <c r="A845" s="13"/>
      <c r="B845" s="14"/>
      <c r="C845" s="14"/>
      <c r="D845" s="14"/>
      <c r="E845" s="24"/>
      <c r="F845" s="25"/>
      <c r="G845" s="308"/>
      <c r="H845" s="45"/>
      <c r="I845" s="14"/>
      <c r="J845" s="14"/>
      <c r="K845" s="7"/>
      <c r="L845" s="14"/>
      <c r="M845" s="14"/>
      <c r="N845" s="7"/>
      <c r="O845" s="21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</row>
    <row r="846" spans="1:91" ht="14.25" customHeight="1" x14ac:dyDescent="0.25">
      <c r="A846" s="13"/>
      <c r="B846" s="14"/>
      <c r="C846" s="14"/>
      <c r="D846" s="14"/>
      <c r="E846" s="24"/>
      <c r="F846" s="25"/>
      <c r="G846" s="308"/>
      <c r="H846" s="45"/>
      <c r="I846" s="14"/>
      <c r="J846" s="14"/>
      <c r="K846" s="7"/>
      <c r="L846" s="14"/>
      <c r="M846" s="14"/>
      <c r="N846" s="7"/>
      <c r="O846" s="21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</row>
    <row r="847" spans="1:91" ht="14.25" customHeight="1" x14ac:dyDescent="0.25">
      <c r="A847" s="13"/>
      <c r="B847" s="14"/>
      <c r="C847" s="14"/>
      <c r="D847" s="14"/>
      <c r="E847" s="24"/>
      <c r="F847" s="25"/>
      <c r="G847" s="308"/>
      <c r="H847" s="45"/>
      <c r="I847" s="14"/>
      <c r="J847" s="14"/>
      <c r="K847" s="7"/>
      <c r="L847" s="14"/>
      <c r="M847" s="14"/>
      <c r="N847" s="7"/>
      <c r="O847" s="21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</row>
    <row r="848" spans="1:91" ht="14.25" customHeight="1" x14ac:dyDescent="0.25">
      <c r="A848" s="13"/>
      <c r="B848" s="14"/>
      <c r="C848" s="14"/>
      <c r="D848" s="14"/>
      <c r="E848" s="24"/>
      <c r="F848" s="25"/>
      <c r="G848" s="308"/>
      <c r="H848" s="45"/>
      <c r="I848" s="14"/>
      <c r="J848" s="14"/>
      <c r="K848" s="7"/>
      <c r="L848" s="14"/>
      <c r="M848" s="14"/>
      <c r="N848" s="7"/>
      <c r="O848" s="21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</row>
    <row r="849" spans="1:91" ht="14.25" customHeight="1" x14ac:dyDescent="0.25">
      <c r="A849" s="13"/>
      <c r="B849" s="14"/>
      <c r="C849" s="14"/>
      <c r="D849" s="14"/>
      <c r="E849" s="24"/>
      <c r="F849" s="25"/>
      <c r="G849" s="308"/>
      <c r="H849" s="45"/>
      <c r="I849" s="14"/>
      <c r="J849" s="14"/>
      <c r="K849" s="7"/>
      <c r="L849" s="14"/>
      <c r="M849" s="14"/>
      <c r="N849" s="7"/>
      <c r="O849" s="21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</row>
    <row r="850" spans="1:91" ht="14.25" customHeight="1" x14ac:dyDescent="0.25">
      <c r="A850" s="13"/>
      <c r="B850" s="14"/>
      <c r="C850" s="14"/>
      <c r="D850" s="14"/>
      <c r="E850" s="24"/>
      <c r="F850" s="25"/>
      <c r="G850" s="308"/>
      <c r="H850" s="45"/>
      <c r="I850" s="14"/>
      <c r="J850" s="14"/>
      <c r="K850" s="7"/>
      <c r="L850" s="14"/>
      <c r="M850" s="14"/>
      <c r="N850" s="7"/>
      <c r="O850" s="21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</row>
    <row r="851" spans="1:91" ht="14.25" customHeight="1" x14ac:dyDescent="0.25">
      <c r="A851" s="13"/>
      <c r="B851" s="14"/>
      <c r="C851" s="14"/>
      <c r="D851" s="14"/>
      <c r="E851" s="24"/>
      <c r="F851" s="25"/>
      <c r="G851" s="308"/>
      <c r="H851" s="45"/>
      <c r="I851" s="14"/>
      <c r="J851" s="14"/>
      <c r="K851" s="7"/>
      <c r="L851" s="14"/>
      <c r="M851" s="14"/>
      <c r="N851" s="7"/>
      <c r="O851" s="21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</row>
    <row r="852" spans="1:91" ht="14.25" customHeight="1" x14ac:dyDescent="0.25">
      <c r="A852" s="13"/>
      <c r="B852" s="14"/>
      <c r="C852" s="14"/>
      <c r="D852" s="14"/>
      <c r="E852" s="24"/>
      <c r="F852" s="25"/>
      <c r="G852" s="308"/>
      <c r="H852" s="45"/>
      <c r="I852" s="14"/>
      <c r="J852" s="14"/>
      <c r="K852" s="7"/>
      <c r="L852" s="14"/>
      <c r="M852" s="14"/>
      <c r="N852" s="7"/>
      <c r="O852" s="21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</row>
    <row r="853" spans="1:91" ht="14.25" customHeight="1" x14ac:dyDescent="0.25">
      <c r="A853" s="13"/>
      <c r="B853" s="14"/>
      <c r="C853" s="14"/>
      <c r="D853" s="14"/>
      <c r="E853" s="24"/>
      <c r="F853" s="25"/>
      <c r="G853" s="308"/>
      <c r="H853" s="45"/>
      <c r="I853" s="14"/>
      <c r="J853" s="14"/>
      <c r="K853" s="7"/>
      <c r="L853" s="14"/>
      <c r="M853" s="14"/>
      <c r="N853" s="7"/>
      <c r="O853" s="21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</row>
    <row r="854" spans="1:91" ht="14.25" customHeight="1" x14ac:dyDescent="0.25">
      <c r="A854" s="13"/>
      <c r="B854" s="14"/>
      <c r="C854" s="14"/>
      <c r="D854" s="14"/>
      <c r="E854" s="24"/>
      <c r="F854" s="25"/>
      <c r="G854" s="308"/>
      <c r="H854" s="45"/>
      <c r="I854" s="14"/>
      <c r="J854" s="14"/>
      <c r="K854" s="7"/>
      <c r="L854" s="14"/>
      <c r="M854" s="14"/>
      <c r="N854" s="7"/>
      <c r="O854" s="21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</row>
    <row r="855" spans="1:91" ht="14.25" customHeight="1" x14ac:dyDescent="0.25">
      <c r="A855" s="13"/>
      <c r="B855" s="14"/>
      <c r="C855" s="14"/>
      <c r="D855" s="14"/>
      <c r="E855" s="24"/>
      <c r="F855" s="25"/>
      <c r="G855" s="308"/>
      <c r="H855" s="45"/>
      <c r="I855" s="14"/>
      <c r="J855" s="14"/>
      <c r="K855" s="7"/>
      <c r="L855" s="14"/>
      <c r="M855" s="14"/>
      <c r="N855" s="7"/>
      <c r="O855" s="21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</row>
    <row r="856" spans="1:91" ht="14.25" customHeight="1" x14ac:dyDescent="0.25">
      <c r="A856" s="13"/>
      <c r="B856" s="14"/>
      <c r="C856" s="14"/>
      <c r="D856" s="14"/>
      <c r="E856" s="24"/>
      <c r="F856" s="25"/>
      <c r="G856" s="308"/>
      <c r="H856" s="45"/>
      <c r="I856" s="14"/>
      <c r="J856" s="14"/>
      <c r="K856" s="7"/>
      <c r="L856" s="14"/>
      <c r="M856" s="14"/>
      <c r="N856" s="7"/>
      <c r="O856" s="21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</row>
    <row r="857" spans="1:91" ht="14.25" customHeight="1" x14ac:dyDescent="0.25">
      <c r="A857" s="13"/>
      <c r="B857" s="14"/>
      <c r="C857" s="14"/>
      <c r="D857" s="14"/>
      <c r="E857" s="24"/>
      <c r="F857" s="25"/>
      <c r="G857" s="308"/>
      <c r="H857" s="45"/>
      <c r="I857" s="14"/>
      <c r="J857" s="14"/>
      <c r="K857" s="7"/>
      <c r="L857" s="14"/>
      <c r="M857" s="14"/>
      <c r="N857" s="7"/>
      <c r="O857" s="21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</row>
    <row r="858" spans="1:91" ht="14.25" customHeight="1" x14ac:dyDescent="0.25">
      <c r="A858" s="13"/>
      <c r="B858" s="14"/>
      <c r="C858" s="14"/>
      <c r="D858" s="14"/>
      <c r="E858" s="24"/>
      <c r="F858" s="25"/>
      <c r="G858" s="308"/>
      <c r="H858" s="45"/>
      <c r="I858" s="14"/>
      <c r="J858" s="14"/>
      <c r="K858" s="7"/>
      <c r="L858" s="14"/>
      <c r="M858" s="14"/>
      <c r="N858" s="7"/>
      <c r="O858" s="21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</row>
    <row r="859" spans="1:91" ht="14.25" customHeight="1" x14ac:dyDescent="0.25">
      <c r="A859" s="13"/>
      <c r="B859" s="14"/>
      <c r="C859" s="14"/>
      <c r="D859" s="14"/>
      <c r="E859" s="24"/>
      <c r="F859" s="25"/>
      <c r="G859" s="308"/>
      <c r="H859" s="45"/>
      <c r="I859" s="14"/>
      <c r="J859" s="14"/>
      <c r="K859" s="7"/>
      <c r="L859" s="14"/>
      <c r="M859" s="14"/>
      <c r="N859" s="7"/>
      <c r="O859" s="21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</row>
    <row r="860" spans="1:91" ht="14.25" customHeight="1" x14ac:dyDescent="0.25">
      <c r="A860" s="13"/>
      <c r="B860" s="14"/>
      <c r="C860" s="14"/>
      <c r="D860" s="14"/>
      <c r="E860" s="24"/>
      <c r="F860" s="25"/>
      <c r="G860" s="308"/>
      <c r="H860" s="45"/>
      <c r="I860" s="14"/>
      <c r="J860" s="14"/>
      <c r="K860" s="7"/>
      <c r="L860" s="14"/>
      <c r="M860" s="14"/>
      <c r="N860" s="7"/>
      <c r="O860" s="21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</row>
    <row r="861" spans="1:91" ht="14.25" customHeight="1" x14ac:dyDescent="0.25">
      <c r="A861" s="13"/>
      <c r="B861" s="14"/>
      <c r="C861" s="14"/>
      <c r="D861" s="14"/>
      <c r="E861" s="24"/>
      <c r="F861" s="25"/>
      <c r="G861" s="308"/>
      <c r="H861" s="45"/>
      <c r="I861" s="14"/>
      <c r="J861" s="14"/>
      <c r="K861" s="7"/>
      <c r="L861" s="14"/>
      <c r="M861" s="14"/>
      <c r="N861" s="7"/>
      <c r="O861" s="21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</row>
    <row r="862" spans="1:91" ht="14.25" customHeight="1" x14ac:dyDescent="0.25">
      <c r="A862" s="13"/>
      <c r="B862" s="14"/>
      <c r="C862" s="14"/>
      <c r="D862" s="14"/>
      <c r="E862" s="24"/>
      <c r="F862" s="25"/>
      <c r="G862" s="308"/>
      <c r="H862" s="45"/>
      <c r="I862" s="14"/>
      <c r="J862" s="14"/>
      <c r="K862" s="7"/>
      <c r="L862" s="14"/>
      <c r="M862" s="14"/>
      <c r="N862" s="7"/>
      <c r="O862" s="21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</row>
    <row r="863" spans="1:91" ht="14.25" customHeight="1" x14ac:dyDescent="0.25">
      <c r="A863" s="13"/>
      <c r="B863" s="14"/>
      <c r="C863" s="14"/>
      <c r="D863" s="14"/>
      <c r="E863" s="24"/>
      <c r="F863" s="25"/>
      <c r="G863" s="308"/>
      <c r="H863" s="45"/>
      <c r="I863" s="14"/>
      <c r="J863" s="14"/>
      <c r="K863" s="7"/>
      <c r="L863" s="14"/>
      <c r="M863" s="14"/>
      <c r="N863" s="7"/>
      <c r="O863" s="21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</row>
    <row r="864" spans="1:91" ht="14.25" customHeight="1" x14ac:dyDescent="0.25">
      <c r="A864" s="13"/>
      <c r="B864" s="14"/>
      <c r="C864" s="14"/>
      <c r="D864" s="14"/>
      <c r="E864" s="24"/>
      <c r="F864" s="25"/>
      <c r="G864" s="308"/>
      <c r="H864" s="45"/>
      <c r="I864" s="14"/>
      <c r="J864" s="14"/>
      <c r="K864" s="7"/>
      <c r="L864" s="14"/>
      <c r="M864" s="14"/>
      <c r="N864" s="7"/>
      <c r="O864" s="21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>
        <v>1</v>
      </c>
    </row>
    <row r="865" spans="1:91" ht="14.25" customHeight="1" x14ac:dyDescent="0.25">
      <c r="A865" s="13"/>
      <c r="B865" s="14"/>
      <c r="C865" s="14"/>
      <c r="D865" s="14"/>
      <c r="E865" s="24"/>
      <c r="F865" s="25"/>
      <c r="G865" s="308"/>
      <c r="H865" s="45"/>
      <c r="I865" s="14"/>
      <c r="J865" s="14"/>
      <c r="K865" s="7"/>
      <c r="L865" s="14"/>
      <c r="M865" s="14"/>
      <c r="N865" s="7"/>
      <c r="O865" s="21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</row>
    <row r="866" spans="1:91" ht="14.25" customHeight="1" x14ac:dyDescent="0.25">
      <c r="A866" s="13"/>
      <c r="B866" s="14"/>
      <c r="C866" s="14"/>
      <c r="D866" s="14"/>
      <c r="E866" s="24"/>
      <c r="F866" s="25"/>
      <c r="G866" s="308"/>
      <c r="H866" s="45"/>
      <c r="I866" s="14"/>
      <c r="J866" s="14"/>
      <c r="K866" s="7"/>
      <c r="L866" s="14"/>
      <c r="M866" s="14"/>
      <c r="N866" s="7"/>
      <c r="O866" s="21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</row>
    <row r="867" spans="1:91" ht="14.25" customHeight="1" x14ac:dyDescent="0.25">
      <c r="A867" s="13"/>
      <c r="B867" s="14"/>
      <c r="C867" s="14"/>
      <c r="D867" s="14"/>
      <c r="E867" s="24"/>
      <c r="F867" s="25"/>
      <c r="G867" s="308"/>
      <c r="H867" s="45"/>
      <c r="I867" s="14"/>
      <c r="J867" s="14"/>
      <c r="K867" s="7"/>
      <c r="L867" s="14"/>
      <c r="M867" s="14"/>
      <c r="N867" s="7"/>
      <c r="O867" s="21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</row>
    <row r="868" spans="1:91" ht="14.25" customHeight="1" x14ac:dyDescent="0.25">
      <c r="A868" s="13"/>
      <c r="B868" s="14"/>
      <c r="C868" s="14"/>
      <c r="D868" s="14"/>
      <c r="E868" s="24"/>
      <c r="F868" s="25"/>
      <c r="G868" s="308"/>
      <c r="H868" s="45"/>
      <c r="I868" s="14"/>
      <c r="J868" s="14"/>
      <c r="K868" s="7"/>
      <c r="L868" s="14"/>
      <c r="M868" s="14"/>
      <c r="N868" s="7"/>
      <c r="O868" s="21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</row>
    <row r="869" spans="1:91" ht="14.25" customHeight="1" x14ac:dyDescent="0.25">
      <c r="A869" s="13"/>
      <c r="B869" s="14"/>
      <c r="C869" s="14"/>
      <c r="D869" s="14"/>
      <c r="E869" s="24"/>
      <c r="F869" s="25"/>
      <c r="G869" s="308"/>
      <c r="H869" s="45"/>
      <c r="I869" s="14"/>
      <c r="J869" s="14"/>
      <c r="K869" s="7"/>
      <c r="L869" s="14"/>
      <c r="M869" s="14"/>
      <c r="N869" s="7"/>
      <c r="O869" s="21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</row>
    <row r="870" spans="1:91" ht="14.25" customHeight="1" x14ac:dyDescent="0.25">
      <c r="A870" s="13"/>
      <c r="B870" s="14"/>
      <c r="C870" s="14"/>
      <c r="D870" s="14"/>
      <c r="E870" s="24"/>
      <c r="F870" s="25"/>
      <c r="G870" s="308"/>
      <c r="H870" s="45"/>
      <c r="I870" s="14"/>
      <c r="J870" s="14"/>
      <c r="K870" s="7"/>
      <c r="L870" s="14"/>
      <c r="M870" s="14"/>
      <c r="N870" s="7"/>
      <c r="O870" s="21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</row>
    <row r="871" spans="1:91" ht="14.25" customHeight="1" x14ac:dyDescent="0.25">
      <c r="A871" s="13"/>
      <c r="B871" s="14"/>
      <c r="C871" s="14"/>
      <c r="D871" s="14"/>
      <c r="E871" s="24"/>
      <c r="F871" s="25"/>
      <c r="G871" s="308"/>
      <c r="H871" s="45"/>
      <c r="I871" s="14"/>
      <c r="J871" s="14"/>
      <c r="K871" s="7"/>
      <c r="L871" s="14"/>
      <c r="M871" s="14"/>
      <c r="N871" s="7"/>
      <c r="O871" s="21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</row>
    <row r="872" spans="1:91" ht="14.25" customHeight="1" x14ac:dyDescent="0.25">
      <c r="A872" s="13"/>
      <c r="B872" s="14"/>
      <c r="C872" s="14"/>
      <c r="D872" s="14"/>
      <c r="E872" s="24"/>
      <c r="F872" s="25"/>
      <c r="G872" s="308"/>
      <c r="H872" s="45"/>
      <c r="I872" s="14"/>
      <c r="J872" s="14"/>
      <c r="K872" s="7"/>
      <c r="L872" s="14"/>
      <c r="M872" s="14"/>
      <c r="N872" s="7"/>
      <c r="O872" s="21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</row>
    <row r="873" spans="1:91" ht="14.25" customHeight="1" x14ac:dyDescent="0.25">
      <c r="A873" s="13"/>
      <c r="B873" s="14"/>
      <c r="C873" s="14"/>
      <c r="D873" s="14"/>
      <c r="E873" s="24"/>
      <c r="F873" s="25"/>
      <c r="G873" s="308"/>
      <c r="H873" s="45"/>
      <c r="I873" s="14"/>
      <c r="J873" s="14"/>
      <c r="K873" s="7"/>
      <c r="L873" s="14"/>
      <c r="M873" s="14"/>
      <c r="N873" s="7"/>
      <c r="O873" s="21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</row>
    <row r="874" spans="1:91" ht="14.25" customHeight="1" x14ac:dyDescent="0.25">
      <c r="A874" s="13"/>
      <c r="B874" s="14"/>
      <c r="C874" s="14"/>
      <c r="D874" s="14"/>
      <c r="E874" s="24"/>
      <c r="F874" s="25"/>
      <c r="G874" s="308"/>
      <c r="H874" s="45"/>
      <c r="I874" s="14"/>
      <c r="J874" s="14"/>
      <c r="K874" s="7"/>
      <c r="L874" s="14"/>
      <c r="M874" s="14"/>
      <c r="N874" s="7"/>
      <c r="O874" s="21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</row>
    <row r="875" spans="1:91" ht="14.25" customHeight="1" x14ac:dyDescent="0.25">
      <c r="A875" s="13"/>
      <c r="B875" s="14"/>
      <c r="C875" s="14"/>
      <c r="D875" s="14"/>
      <c r="E875" s="24"/>
      <c r="F875" s="25"/>
      <c r="G875" s="308"/>
      <c r="H875" s="45"/>
      <c r="I875" s="14"/>
      <c r="J875" s="14"/>
      <c r="K875" s="7"/>
      <c r="L875" s="14"/>
      <c r="M875" s="14"/>
      <c r="N875" s="7"/>
      <c r="O875" s="21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</row>
    <row r="876" spans="1:91" ht="14.25" customHeight="1" x14ac:dyDescent="0.25">
      <c r="A876" s="13"/>
      <c r="B876" s="14"/>
      <c r="C876" s="14"/>
      <c r="D876" s="14"/>
      <c r="E876" s="24"/>
      <c r="F876" s="25"/>
      <c r="G876" s="308"/>
      <c r="H876" s="45"/>
      <c r="I876" s="14"/>
      <c r="J876" s="14"/>
      <c r="K876" s="7"/>
      <c r="L876" s="14"/>
      <c r="M876" s="14"/>
      <c r="N876" s="7"/>
      <c r="O876" s="21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</row>
    <row r="877" spans="1:91" ht="14.25" customHeight="1" x14ac:dyDescent="0.25">
      <c r="A877" s="13"/>
      <c r="B877" s="14"/>
      <c r="C877" s="14"/>
      <c r="D877" s="14"/>
      <c r="E877" s="24"/>
      <c r="F877" s="25"/>
      <c r="G877" s="308"/>
      <c r="H877" s="45"/>
      <c r="I877" s="14"/>
      <c r="J877" s="14"/>
      <c r="K877" s="7"/>
      <c r="L877" s="14"/>
      <c r="M877" s="14"/>
      <c r="N877" s="7"/>
      <c r="O877" s="21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</row>
    <row r="878" spans="1:91" ht="14.25" customHeight="1" x14ac:dyDescent="0.25">
      <c r="A878" s="13"/>
      <c r="B878" s="14"/>
      <c r="C878" s="14"/>
      <c r="D878" s="14"/>
      <c r="E878" s="24"/>
      <c r="F878" s="25"/>
      <c r="G878" s="308"/>
      <c r="H878" s="45"/>
      <c r="I878" s="14"/>
      <c r="J878" s="14"/>
      <c r="K878" s="7"/>
      <c r="L878" s="14"/>
      <c r="M878" s="14"/>
      <c r="N878" s="7"/>
      <c r="O878" s="21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</row>
    <row r="879" spans="1:91" ht="14.25" customHeight="1" x14ac:dyDescent="0.25">
      <c r="A879" s="13"/>
      <c r="B879" s="14"/>
      <c r="C879" s="14"/>
      <c r="D879" s="14"/>
      <c r="E879" s="24"/>
      <c r="F879" s="25"/>
      <c r="G879" s="308"/>
      <c r="H879" s="45"/>
      <c r="I879" s="14"/>
      <c r="J879" s="14"/>
      <c r="K879" s="7"/>
      <c r="L879" s="14"/>
      <c r="M879" s="14"/>
      <c r="N879" s="7"/>
      <c r="O879" s="21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</row>
    <row r="880" spans="1:91" ht="14.25" customHeight="1" x14ac:dyDescent="0.25">
      <c r="A880" s="13"/>
      <c r="B880" s="14"/>
      <c r="C880" s="14"/>
      <c r="D880" s="14"/>
      <c r="E880" s="24"/>
      <c r="F880" s="25"/>
      <c r="G880" s="308"/>
      <c r="H880" s="45"/>
      <c r="I880" s="14"/>
      <c r="J880" s="14"/>
      <c r="K880" s="7"/>
      <c r="L880" s="14"/>
      <c r="M880" s="14"/>
      <c r="N880" s="7"/>
      <c r="O880" s="21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</row>
    <row r="881" spans="1:91" ht="14.25" customHeight="1" x14ac:dyDescent="0.25">
      <c r="A881" s="13"/>
      <c r="B881" s="14"/>
      <c r="C881" s="14"/>
      <c r="D881" s="14"/>
      <c r="E881" s="24"/>
      <c r="F881" s="25"/>
      <c r="G881" s="308"/>
      <c r="H881" s="45"/>
      <c r="I881" s="14"/>
      <c r="J881" s="14"/>
      <c r="K881" s="7"/>
      <c r="L881" s="14"/>
      <c r="M881" s="14"/>
      <c r="N881" s="7"/>
      <c r="O881" s="21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</row>
    <row r="882" spans="1:91" ht="14.25" customHeight="1" x14ac:dyDescent="0.25">
      <c r="A882" s="13"/>
      <c r="B882" s="14"/>
      <c r="C882" s="14"/>
      <c r="D882" s="14"/>
      <c r="E882" s="24"/>
      <c r="F882" s="25"/>
      <c r="G882" s="308"/>
      <c r="H882" s="45"/>
      <c r="I882" s="14"/>
      <c r="J882" s="14"/>
      <c r="K882" s="7"/>
      <c r="L882" s="14"/>
      <c r="M882" s="14"/>
      <c r="N882" s="7"/>
      <c r="O882" s="21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</row>
    <row r="883" spans="1:91" ht="14.25" customHeight="1" x14ac:dyDescent="0.25">
      <c r="A883" s="13"/>
      <c r="B883" s="14"/>
      <c r="C883" s="14"/>
      <c r="D883" s="14"/>
      <c r="E883" s="24"/>
      <c r="F883" s="25"/>
      <c r="G883" s="308"/>
      <c r="H883" s="45"/>
      <c r="I883" s="14"/>
      <c r="J883" s="14"/>
      <c r="K883" s="7"/>
      <c r="L883" s="14"/>
      <c r="M883" s="14"/>
      <c r="N883" s="7"/>
      <c r="O883" s="21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</row>
    <row r="884" spans="1:91" ht="14.25" customHeight="1" x14ac:dyDescent="0.25">
      <c r="A884" s="13"/>
      <c r="B884" s="14"/>
      <c r="C884" s="14"/>
      <c r="D884" s="14"/>
      <c r="E884" s="24"/>
      <c r="F884" s="25"/>
      <c r="G884" s="308"/>
      <c r="H884" s="45"/>
      <c r="I884" s="14"/>
      <c r="J884" s="14"/>
      <c r="K884" s="7"/>
      <c r="L884" s="14"/>
      <c r="M884" s="14"/>
      <c r="N884" s="7"/>
      <c r="O884" s="21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</row>
    <row r="885" spans="1:91" ht="14.25" customHeight="1" x14ac:dyDescent="0.25">
      <c r="A885" s="13"/>
      <c r="B885" s="14"/>
      <c r="C885" s="14"/>
      <c r="D885" s="14"/>
      <c r="E885" s="24"/>
      <c r="F885" s="25"/>
      <c r="G885" s="308"/>
      <c r="H885" s="45"/>
      <c r="I885" s="14"/>
      <c r="J885" s="14"/>
      <c r="K885" s="7"/>
      <c r="L885" s="14"/>
      <c r="M885" s="14"/>
      <c r="N885" s="7"/>
      <c r="O885" s="21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</row>
    <row r="886" spans="1:91" ht="14.25" customHeight="1" x14ac:dyDescent="0.25">
      <c r="A886" s="13"/>
      <c r="B886" s="14"/>
      <c r="C886" s="14"/>
      <c r="D886" s="14"/>
      <c r="E886" s="24"/>
      <c r="F886" s="25"/>
      <c r="G886" s="308"/>
      <c r="H886" s="45"/>
      <c r="I886" s="14"/>
      <c r="J886" s="14"/>
      <c r="K886" s="7"/>
      <c r="L886" s="14"/>
      <c r="M886" s="14"/>
      <c r="N886" s="7"/>
      <c r="O886" s="21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</row>
    <row r="887" spans="1:91" ht="14.25" customHeight="1" x14ac:dyDescent="0.25">
      <c r="A887" s="13"/>
      <c r="B887" s="14"/>
      <c r="C887" s="14"/>
      <c r="D887" s="14"/>
      <c r="E887" s="24"/>
      <c r="F887" s="25"/>
      <c r="G887" s="308"/>
      <c r="H887" s="45"/>
      <c r="I887" s="14"/>
      <c r="J887" s="14"/>
      <c r="K887" s="7"/>
      <c r="L887" s="14"/>
      <c r="M887" s="14"/>
      <c r="N887" s="7"/>
      <c r="O887" s="21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</row>
    <row r="888" spans="1:91" ht="14.25" customHeight="1" x14ac:dyDescent="0.25">
      <c r="A888" s="13"/>
      <c r="B888" s="14"/>
      <c r="C888" s="14"/>
      <c r="D888" s="14"/>
      <c r="E888" s="24"/>
      <c r="F888" s="25"/>
      <c r="G888" s="308"/>
      <c r="H888" s="45"/>
      <c r="I888" s="14"/>
      <c r="J888" s="14"/>
      <c r="K888" s="7"/>
      <c r="L888" s="14"/>
      <c r="M888" s="14"/>
      <c r="N888" s="7"/>
      <c r="O888" s="21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</row>
    <row r="889" spans="1:91" ht="14.25" customHeight="1" x14ac:dyDescent="0.25">
      <c r="A889" s="13"/>
      <c r="B889" s="14"/>
      <c r="C889" s="14"/>
      <c r="D889" s="14"/>
      <c r="E889" s="24"/>
      <c r="F889" s="25"/>
      <c r="G889" s="308"/>
      <c r="H889" s="45"/>
      <c r="I889" s="14"/>
      <c r="J889" s="14"/>
      <c r="K889" s="7"/>
      <c r="L889" s="14"/>
      <c r="M889" s="14"/>
      <c r="N889" s="7"/>
      <c r="O889" s="21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</row>
    <row r="890" spans="1:91" ht="14.25" customHeight="1" x14ac:dyDescent="0.25">
      <c r="A890" s="13"/>
      <c r="B890" s="14"/>
      <c r="C890" s="14"/>
      <c r="D890" s="14"/>
      <c r="E890" s="24"/>
      <c r="F890" s="25"/>
      <c r="G890" s="308"/>
      <c r="H890" s="45"/>
      <c r="I890" s="14"/>
      <c r="J890" s="14"/>
      <c r="K890" s="7"/>
      <c r="L890" s="14"/>
      <c r="M890" s="14"/>
      <c r="N890" s="7"/>
      <c r="O890" s="21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</row>
    <row r="891" spans="1:91" ht="14.25" customHeight="1" x14ac:dyDescent="0.25">
      <c r="A891" s="13"/>
      <c r="B891" s="14"/>
      <c r="C891" s="14"/>
      <c r="D891" s="14"/>
      <c r="E891" s="24"/>
      <c r="F891" s="25"/>
      <c r="G891" s="308"/>
      <c r="H891" s="45"/>
      <c r="I891" s="14"/>
      <c r="J891" s="14"/>
      <c r="K891" s="7"/>
      <c r="L891" s="14"/>
      <c r="M891" s="14"/>
      <c r="N891" s="7"/>
      <c r="O891" s="21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</row>
    <row r="892" spans="1:91" ht="14.25" customHeight="1" x14ac:dyDescent="0.25">
      <c r="A892" s="13"/>
      <c r="B892" s="14"/>
      <c r="C892" s="14"/>
      <c r="D892" s="14"/>
      <c r="E892" s="24"/>
      <c r="F892" s="25"/>
      <c r="G892" s="308"/>
      <c r="H892" s="45"/>
      <c r="I892" s="14"/>
      <c r="J892" s="14"/>
      <c r="K892" s="7"/>
      <c r="L892" s="14"/>
      <c r="M892" s="14"/>
      <c r="N892" s="7"/>
      <c r="O892" s="21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</row>
    <row r="893" spans="1:91" ht="14.25" customHeight="1" x14ac:dyDescent="0.25">
      <c r="A893" s="13"/>
      <c r="B893" s="14"/>
      <c r="C893" s="14"/>
      <c r="D893" s="14"/>
      <c r="E893" s="24"/>
      <c r="F893" s="25"/>
      <c r="G893" s="308"/>
      <c r="H893" s="45"/>
      <c r="I893" s="14"/>
      <c r="J893" s="14"/>
      <c r="K893" s="7"/>
      <c r="L893" s="14"/>
      <c r="M893" s="14"/>
      <c r="N893" s="7"/>
      <c r="O893" s="21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</row>
    <row r="894" spans="1:91" ht="14.25" customHeight="1" x14ac:dyDescent="0.25">
      <c r="A894" s="13"/>
      <c r="B894" s="14"/>
      <c r="C894" s="14"/>
      <c r="D894" s="14"/>
      <c r="E894" s="24"/>
      <c r="F894" s="25"/>
      <c r="G894" s="308"/>
      <c r="H894" s="45"/>
      <c r="I894" s="14"/>
      <c r="J894" s="14"/>
      <c r="K894" s="7"/>
      <c r="L894" s="14"/>
      <c r="M894" s="14"/>
      <c r="N894" s="7"/>
      <c r="O894" s="21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</row>
    <row r="895" spans="1:91" ht="14.25" customHeight="1" x14ac:dyDescent="0.25">
      <c r="A895" s="13"/>
      <c r="B895" s="14"/>
      <c r="C895" s="14"/>
      <c r="D895" s="14"/>
      <c r="E895" s="24"/>
      <c r="F895" s="25"/>
      <c r="G895" s="308"/>
      <c r="H895" s="45"/>
      <c r="I895" s="14"/>
      <c r="J895" s="14"/>
      <c r="K895" s="7"/>
      <c r="L895" s="14"/>
      <c r="M895" s="14"/>
      <c r="N895" s="7"/>
      <c r="O895" s="21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</row>
    <row r="896" spans="1:91" ht="14.25" customHeight="1" x14ac:dyDescent="0.25">
      <c r="A896" s="13"/>
      <c r="B896" s="14"/>
      <c r="C896" s="14"/>
      <c r="D896" s="14"/>
      <c r="E896" s="24"/>
      <c r="F896" s="25"/>
      <c r="G896" s="308"/>
      <c r="H896" s="45"/>
      <c r="I896" s="14"/>
      <c r="J896" s="14"/>
      <c r="K896" s="7"/>
      <c r="L896" s="14"/>
      <c r="M896" s="14"/>
      <c r="N896" s="7"/>
      <c r="O896" s="21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</row>
    <row r="897" spans="1:91" ht="14.25" customHeight="1" x14ac:dyDescent="0.25">
      <c r="A897" s="13"/>
      <c r="B897" s="14"/>
      <c r="C897" s="14"/>
      <c r="D897" s="14"/>
      <c r="E897" s="24"/>
      <c r="F897" s="25"/>
      <c r="G897" s="308"/>
      <c r="H897" s="45"/>
      <c r="I897" s="14"/>
      <c r="J897" s="14"/>
      <c r="K897" s="7"/>
      <c r="L897" s="14"/>
      <c r="M897" s="14"/>
      <c r="N897" s="7"/>
      <c r="O897" s="21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>
        <v>1</v>
      </c>
    </row>
    <row r="898" spans="1:91" ht="14.25" customHeight="1" x14ac:dyDescent="0.25">
      <c r="A898" s="13"/>
      <c r="B898" s="14"/>
      <c r="C898" s="14"/>
      <c r="D898" s="14"/>
      <c r="E898" s="24"/>
      <c r="F898" s="25"/>
      <c r="G898" s="308"/>
      <c r="H898" s="45"/>
      <c r="I898" s="14"/>
      <c r="J898" s="14"/>
      <c r="K898" s="7"/>
      <c r="L898" s="14"/>
      <c r="M898" s="14"/>
      <c r="N898" s="7"/>
      <c r="O898" s="21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</row>
    <row r="899" spans="1:91" ht="14.25" customHeight="1" x14ac:dyDescent="0.25">
      <c r="A899" s="13"/>
      <c r="B899" s="14"/>
      <c r="C899" s="14"/>
      <c r="D899" s="14"/>
      <c r="E899" s="24"/>
      <c r="F899" s="25"/>
      <c r="G899" s="308"/>
      <c r="H899" s="45"/>
      <c r="I899" s="14"/>
      <c r="J899" s="14"/>
      <c r="K899" s="7"/>
      <c r="L899" s="14"/>
      <c r="M899" s="14"/>
      <c r="N899" s="7"/>
      <c r="O899" s="21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</row>
    <row r="900" spans="1:91" ht="14.25" customHeight="1" x14ac:dyDescent="0.25">
      <c r="A900" s="13"/>
      <c r="B900" s="14"/>
      <c r="C900" s="14"/>
      <c r="D900" s="14"/>
      <c r="E900" s="24"/>
      <c r="F900" s="25"/>
      <c r="G900" s="308"/>
      <c r="H900" s="45"/>
      <c r="I900" s="14"/>
      <c r="J900" s="14"/>
      <c r="K900" s="7"/>
      <c r="L900" s="14"/>
      <c r="M900" s="14"/>
      <c r="N900" s="7"/>
      <c r="O900" s="21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</row>
    <row r="901" spans="1:91" ht="14.25" customHeight="1" x14ac:dyDescent="0.25">
      <c r="A901" s="13"/>
      <c r="B901" s="14"/>
      <c r="C901" s="14"/>
      <c r="D901" s="14"/>
      <c r="E901" s="24"/>
      <c r="F901" s="25"/>
      <c r="G901" s="308"/>
      <c r="H901" s="45"/>
      <c r="I901" s="14"/>
      <c r="J901" s="14"/>
      <c r="K901" s="7"/>
      <c r="L901" s="14"/>
      <c r="M901" s="14"/>
      <c r="N901" s="7"/>
      <c r="O901" s="21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</row>
    <row r="902" spans="1:91" ht="14.25" customHeight="1" x14ac:dyDescent="0.25">
      <c r="A902" s="13"/>
      <c r="B902" s="14"/>
      <c r="C902" s="14"/>
      <c r="D902" s="14"/>
      <c r="E902" s="24"/>
      <c r="F902" s="25"/>
      <c r="G902" s="308"/>
      <c r="H902" s="45"/>
      <c r="I902" s="14"/>
      <c r="J902" s="14"/>
      <c r="K902" s="7"/>
      <c r="L902" s="14"/>
      <c r="M902" s="14"/>
      <c r="N902" s="7"/>
      <c r="O902" s="21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</row>
    <row r="903" spans="1:91" ht="14.25" customHeight="1" x14ac:dyDescent="0.25">
      <c r="A903" s="13"/>
      <c r="B903" s="14"/>
      <c r="C903" s="14"/>
      <c r="D903" s="14"/>
      <c r="E903" s="24"/>
      <c r="F903" s="25"/>
      <c r="G903" s="308"/>
      <c r="H903" s="45"/>
      <c r="I903" s="14"/>
      <c r="J903" s="14"/>
      <c r="K903" s="7"/>
      <c r="L903" s="14"/>
      <c r="M903" s="14"/>
      <c r="N903" s="7"/>
      <c r="O903" s="21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</row>
    <row r="904" spans="1:91" ht="14.25" customHeight="1" x14ac:dyDescent="0.25">
      <c r="A904" s="13"/>
      <c r="B904" s="14"/>
      <c r="C904" s="14"/>
      <c r="D904" s="14"/>
      <c r="E904" s="24"/>
      <c r="F904" s="25"/>
      <c r="G904" s="308"/>
      <c r="H904" s="45"/>
      <c r="I904" s="14"/>
      <c r="J904" s="14"/>
      <c r="K904" s="7"/>
      <c r="L904" s="14"/>
      <c r="M904" s="14"/>
      <c r="N904" s="7"/>
      <c r="O904" s="21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</row>
    <row r="905" spans="1:91" ht="14.25" customHeight="1" x14ac:dyDescent="0.25">
      <c r="A905" s="13"/>
      <c r="B905" s="14"/>
      <c r="C905" s="14"/>
      <c r="D905" s="14"/>
      <c r="E905" s="24"/>
      <c r="F905" s="25"/>
      <c r="G905" s="308"/>
      <c r="H905" s="45"/>
      <c r="I905" s="14"/>
      <c r="J905" s="14"/>
      <c r="K905" s="7"/>
      <c r="L905" s="14"/>
      <c r="M905" s="14"/>
      <c r="N905" s="7"/>
      <c r="O905" s="21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</row>
    <row r="906" spans="1:91" ht="14.25" customHeight="1" x14ac:dyDescent="0.25">
      <c r="A906" s="13"/>
      <c r="B906" s="14"/>
      <c r="C906" s="14"/>
      <c r="D906" s="14"/>
      <c r="E906" s="24"/>
      <c r="F906" s="25"/>
      <c r="G906" s="308"/>
      <c r="H906" s="45"/>
      <c r="I906" s="14"/>
      <c r="J906" s="14"/>
      <c r="K906" s="7"/>
      <c r="L906" s="14"/>
      <c r="M906" s="14"/>
      <c r="N906" s="7"/>
      <c r="O906" s="21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</row>
    <row r="907" spans="1:91" ht="14.25" customHeight="1" x14ac:dyDescent="0.25">
      <c r="A907" s="13"/>
      <c r="B907" s="14"/>
      <c r="C907" s="14"/>
      <c r="D907" s="14"/>
      <c r="E907" s="24"/>
      <c r="F907" s="25"/>
      <c r="G907" s="308"/>
      <c r="H907" s="45"/>
      <c r="I907" s="14"/>
      <c r="J907" s="14"/>
      <c r="K907" s="7"/>
      <c r="L907" s="14"/>
      <c r="M907" s="14"/>
      <c r="N907" s="7"/>
      <c r="O907" s="21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</row>
    <row r="908" spans="1:91" ht="14.25" customHeight="1" x14ac:dyDescent="0.25">
      <c r="A908" s="13"/>
      <c r="B908" s="14"/>
      <c r="C908" s="14"/>
      <c r="D908" s="14"/>
      <c r="E908" s="24"/>
      <c r="F908" s="25"/>
      <c r="G908" s="308"/>
      <c r="H908" s="45"/>
      <c r="I908" s="14"/>
      <c r="J908" s="14"/>
      <c r="K908" s="7"/>
      <c r="L908" s="14"/>
      <c r="M908" s="14"/>
      <c r="N908" s="7"/>
      <c r="O908" s="21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</row>
    <row r="909" spans="1:91" ht="14.25" customHeight="1" x14ac:dyDescent="0.25">
      <c r="A909" s="13"/>
      <c r="B909" s="14"/>
      <c r="C909" s="14"/>
      <c r="D909" s="14"/>
      <c r="E909" s="24"/>
      <c r="F909" s="25"/>
      <c r="G909" s="308"/>
      <c r="H909" s="45"/>
      <c r="I909" s="14"/>
      <c r="J909" s="14"/>
      <c r="K909" s="7"/>
      <c r="L909" s="14"/>
      <c r="M909" s="14"/>
      <c r="N909" s="7"/>
      <c r="O909" s="21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</row>
    <row r="910" spans="1:91" ht="14.25" customHeight="1" x14ac:dyDescent="0.25">
      <c r="A910" s="13"/>
      <c r="B910" s="14"/>
      <c r="C910" s="14"/>
      <c r="D910" s="14"/>
      <c r="E910" s="24"/>
      <c r="F910" s="25"/>
      <c r="G910" s="308"/>
      <c r="H910" s="45"/>
      <c r="I910" s="14"/>
      <c r="J910" s="14"/>
      <c r="K910" s="7"/>
      <c r="L910" s="14"/>
      <c r="M910" s="14"/>
      <c r="N910" s="7"/>
      <c r="O910" s="21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</row>
    <row r="911" spans="1:91" ht="14.25" customHeight="1" x14ac:dyDescent="0.25">
      <c r="A911" s="13"/>
      <c r="B911" s="14"/>
      <c r="C911" s="14"/>
      <c r="D911" s="14"/>
      <c r="E911" s="24"/>
      <c r="F911" s="25"/>
      <c r="G911" s="308"/>
      <c r="H911" s="45"/>
      <c r="I911" s="14"/>
      <c r="J911" s="14"/>
      <c r="K911" s="7"/>
      <c r="L911" s="14"/>
      <c r="M911" s="14"/>
      <c r="N911" s="7"/>
      <c r="O911" s="21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</row>
    <row r="912" spans="1:91" ht="14.25" customHeight="1" x14ac:dyDescent="0.25">
      <c r="A912" s="13"/>
      <c r="B912" s="14"/>
      <c r="C912" s="14"/>
      <c r="D912" s="14"/>
      <c r="E912" s="24"/>
      <c r="F912" s="25"/>
      <c r="G912" s="308"/>
      <c r="H912" s="45"/>
      <c r="I912" s="14"/>
      <c r="J912" s="14"/>
      <c r="K912" s="7"/>
      <c r="L912" s="14"/>
      <c r="M912" s="14"/>
      <c r="N912" s="7"/>
      <c r="O912" s="21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</row>
    <row r="913" spans="1:91" ht="14.25" customHeight="1" x14ac:dyDescent="0.25">
      <c r="A913" s="13"/>
      <c r="B913" s="14"/>
      <c r="C913" s="14"/>
      <c r="D913" s="14"/>
      <c r="E913" s="24"/>
      <c r="F913" s="25"/>
      <c r="G913" s="308"/>
      <c r="H913" s="45"/>
      <c r="I913" s="14"/>
      <c r="J913" s="14"/>
      <c r="K913" s="7"/>
      <c r="L913" s="14"/>
      <c r="M913" s="14"/>
      <c r="N913" s="7"/>
      <c r="O913" s="21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</row>
    <row r="914" spans="1:91" ht="14.25" customHeight="1" x14ac:dyDescent="0.25">
      <c r="A914" s="13"/>
      <c r="B914" s="14"/>
      <c r="C914" s="14"/>
      <c r="D914" s="14"/>
      <c r="E914" s="24"/>
      <c r="F914" s="25"/>
      <c r="G914" s="308"/>
      <c r="H914" s="45"/>
      <c r="I914" s="14"/>
      <c r="J914" s="14"/>
      <c r="K914" s="7"/>
      <c r="L914" s="14"/>
      <c r="M914" s="14"/>
      <c r="N914" s="7"/>
      <c r="O914" s="21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</row>
    <row r="915" spans="1:91" ht="14.25" customHeight="1" x14ac:dyDescent="0.25">
      <c r="A915" s="13"/>
      <c r="B915" s="14"/>
      <c r="C915" s="14"/>
      <c r="D915" s="14"/>
      <c r="E915" s="24"/>
      <c r="F915" s="25"/>
      <c r="G915" s="308"/>
      <c r="H915" s="45"/>
      <c r="I915" s="14"/>
      <c r="J915" s="14"/>
      <c r="K915" s="7"/>
      <c r="L915" s="14"/>
      <c r="M915" s="14"/>
      <c r="N915" s="7"/>
      <c r="O915" s="21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</row>
    <row r="916" spans="1:91" ht="14.25" customHeight="1" x14ac:dyDescent="0.25">
      <c r="A916" s="13"/>
      <c r="B916" s="14"/>
      <c r="C916" s="14"/>
      <c r="D916" s="14"/>
      <c r="E916" s="24"/>
      <c r="F916" s="25"/>
      <c r="G916" s="308"/>
      <c r="H916" s="45"/>
      <c r="I916" s="14"/>
      <c r="J916" s="14"/>
      <c r="K916" s="7"/>
      <c r="L916" s="14"/>
      <c r="M916" s="14"/>
      <c r="N916" s="7"/>
      <c r="O916" s="21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</row>
    <row r="917" spans="1:91" ht="14.25" customHeight="1" x14ac:dyDescent="0.25">
      <c r="A917" s="13"/>
      <c r="B917" s="14"/>
      <c r="C917" s="14"/>
      <c r="D917" s="14"/>
      <c r="E917" s="24"/>
      <c r="F917" s="25"/>
      <c r="G917" s="308"/>
      <c r="H917" s="45"/>
      <c r="I917" s="14"/>
      <c r="J917" s="14"/>
      <c r="K917" s="7"/>
      <c r="L917" s="14"/>
      <c r="M917" s="14"/>
      <c r="N917" s="7"/>
      <c r="O917" s="21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</row>
    <row r="918" spans="1:91" ht="14.25" customHeight="1" x14ac:dyDescent="0.25">
      <c r="A918" s="13"/>
      <c r="B918" s="14"/>
      <c r="C918" s="14"/>
      <c r="D918" s="14"/>
      <c r="E918" s="24"/>
      <c r="F918" s="25"/>
      <c r="G918" s="308"/>
      <c r="H918" s="45"/>
      <c r="I918" s="14"/>
      <c r="J918" s="14"/>
      <c r="K918" s="7"/>
      <c r="L918" s="14"/>
      <c r="M918" s="14"/>
      <c r="N918" s="7"/>
      <c r="O918" s="21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</row>
    <row r="919" spans="1:91" ht="14.25" customHeight="1" x14ac:dyDescent="0.25">
      <c r="A919" s="13"/>
      <c r="B919" s="14"/>
      <c r="C919" s="14"/>
      <c r="D919" s="14"/>
      <c r="E919" s="24"/>
      <c r="F919" s="25"/>
      <c r="G919" s="308"/>
      <c r="H919" s="45"/>
      <c r="I919" s="14"/>
      <c r="J919" s="14"/>
      <c r="K919" s="7"/>
      <c r="L919" s="14"/>
      <c r="M919" s="14"/>
      <c r="N919" s="7"/>
      <c r="O919" s="21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</row>
    <row r="920" spans="1:91" ht="14.25" customHeight="1" x14ac:dyDescent="0.25">
      <c r="A920" s="13"/>
      <c r="B920" s="14"/>
      <c r="C920" s="14"/>
      <c r="D920" s="14"/>
      <c r="E920" s="24"/>
      <c r="F920" s="25"/>
      <c r="G920" s="308"/>
      <c r="H920" s="45"/>
      <c r="I920" s="14"/>
      <c r="J920" s="14"/>
      <c r="K920" s="7"/>
      <c r="L920" s="14"/>
      <c r="M920" s="14"/>
      <c r="N920" s="7"/>
      <c r="O920" s="21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</row>
    <row r="921" spans="1:91" ht="14.25" customHeight="1" x14ac:dyDescent="0.25">
      <c r="A921" s="13"/>
      <c r="B921" s="14"/>
      <c r="C921" s="14"/>
      <c r="D921" s="14"/>
      <c r="E921" s="24"/>
      <c r="F921" s="25"/>
      <c r="G921" s="308"/>
      <c r="H921" s="45"/>
      <c r="I921" s="14"/>
      <c r="J921" s="14"/>
      <c r="K921" s="7"/>
      <c r="L921" s="14"/>
      <c r="M921" s="14"/>
      <c r="N921" s="7"/>
      <c r="O921" s="21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</row>
    <row r="922" spans="1:91" ht="14.25" customHeight="1" x14ac:dyDescent="0.25">
      <c r="A922" s="13"/>
      <c r="B922" s="14"/>
      <c r="C922" s="14"/>
      <c r="D922" s="14"/>
      <c r="E922" s="24"/>
      <c r="F922" s="25"/>
      <c r="G922" s="308"/>
      <c r="H922" s="45"/>
      <c r="I922" s="14"/>
      <c r="J922" s="14"/>
      <c r="K922" s="7"/>
      <c r="L922" s="14"/>
      <c r="M922" s="14"/>
      <c r="N922" s="7"/>
      <c r="O922" s="21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</row>
    <row r="923" spans="1:91" ht="14.25" customHeight="1" x14ac:dyDescent="0.25">
      <c r="A923" s="13"/>
      <c r="B923" s="14"/>
      <c r="C923" s="14"/>
      <c r="D923" s="14"/>
      <c r="E923" s="24"/>
      <c r="F923" s="25"/>
      <c r="G923" s="308"/>
      <c r="H923" s="45"/>
      <c r="I923" s="14"/>
      <c r="J923" s="14"/>
      <c r="K923" s="7"/>
      <c r="L923" s="14"/>
      <c r="M923" s="14"/>
      <c r="N923" s="7"/>
      <c r="O923" s="21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</row>
    <row r="924" spans="1:91" ht="14.25" customHeight="1" x14ac:dyDescent="0.25">
      <c r="A924" s="13"/>
      <c r="B924" s="14"/>
      <c r="C924" s="14"/>
      <c r="D924" s="14"/>
      <c r="E924" s="24"/>
      <c r="F924" s="25"/>
      <c r="G924" s="308"/>
      <c r="H924" s="45"/>
      <c r="I924" s="14"/>
      <c r="J924" s="14"/>
      <c r="K924" s="7"/>
      <c r="L924" s="14"/>
      <c r="M924" s="14"/>
      <c r="N924" s="7"/>
      <c r="O924" s="21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</row>
    <row r="925" spans="1:91" ht="14.25" customHeight="1" x14ac:dyDescent="0.25">
      <c r="A925" s="13"/>
      <c r="B925" s="14"/>
      <c r="C925" s="14"/>
      <c r="D925" s="14"/>
      <c r="E925" s="24"/>
      <c r="F925" s="25"/>
      <c r="G925" s="308"/>
      <c r="H925" s="45"/>
      <c r="I925" s="14"/>
      <c r="J925" s="14"/>
      <c r="K925" s="7"/>
      <c r="L925" s="14"/>
      <c r="M925" s="14"/>
      <c r="N925" s="7"/>
      <c r="O925" s="21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</row>
    <row r="926" spans="1:91" ht="14.25" customHeight="1" x14ac:dyDescent="0.25">
      <c r="A926" s="13"/>
      <c r="B926" s="14"/>
      <c r="C926" s="14"/>
      <c r="D926" s="14"/>
      <c r="E926" s="24"/>
      <c r="F926" s="25"/>
      <c r="G926" s="308"/>
      <c r="H926" s="45"/>
      <c r="I926" s="14"/>
      <c r="J926" s="14"/>
      <c r="K926" s="7"/>
      <c r="L926" s="14"/>
      <c r="M926" s="14"/>
      <c r="N926" s="7"/>
      <c r="O926" s="21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</row>
    <row r="927" spans="1:91" ht="14.25" customHeight="1" x14ac:dyDescent="0.25">
      <c r="A927" s="13"/>
      <c r="B927" s="14"/>
      <c r="C927" s="14"/>
      <c r="D927" s="14"/>
      <c r="E927" s="24"/>
      <c r="F927" s="25"/>
      <c r="G927" s="308"/>
      <c r="H927" s="45"/>
      <c r="I927" s="14"/>
      <c r="J927" s="14"/>
      <c r="K927" s="7"/>
      <c r="L927" s="14"/>
      <c r="M927" s="14"/>
      <c r="N927" s="7"/>
      <c r="O927" s="21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</row>
    <row r="928" spans="1:91" ht="14.25" customHeight="1" x14ac:dyDescent="0.25">
      <c r="A928" s="13"/>
      <c r="B928" s="14"/>
      <c r="C928" s="14"/>
      <c r="D928" s="14"/>
      <c r="E928" s="24"/>
      <c r="F928" s="25"/>
      <c r="G928" s="308"/>
      <c r="H928" s="45"/>
      <c r="I928" s="14"/>
      <c r="J928" s="14"/>
      <c r="K928" s="7"/>
      <c r="L928" s="14"/>
      <c r="M928" s="14"/>
      <c r="N928" s="7"/>
      <c r="O928" s="21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</row>
    <row r="929" spans="1:91" ht="14.25" customHeight="1" x14ac:dyDescent="0.25">
      <c r="A929" s="13"/>
      <c r="B929" s="14"/>
      <c r="C929" s="14"/>
      <c r="D929" s="14"/>
      <c r="E929" s="24"/>
      <c r="F929" s="25"/>
      <c r="G929" s="308"/>
      <c r="H929" s="45"/>
      <c r="I929" s="14"/>
      <c r="J929" s="14"/>
      <c r="K929" s="7"/>
      <c r="L929" s="14"/>
      <c r="M929" s="14"/>
      <c r="N929" s="7"/>
      <c r="O929" s="21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</row>
    <row r="930" spans="1:91" ht="14.25" customHeight="1" x14ac:dyDescent="0.25">
      <c r="A930" s="13"/>
      <c r="B930" s="14"/>
      <c r="C930" s="14"/>
      <c r="D930" s="14"/>
      <c r="E930" s="24"/>
      <c r="F930" s="25"/>
      <c r="G930" s="308"/>
      <c r="H930" s="45"/>
      <c r="I930" s="14"/>
      <c r="J930" s="14"/>
      <c r="K930" s="7"/>
      <c r="L930" s="14"/>
      <c r="M930" s="14"/>
      <c r="N930" s="7"/>
      <c r="O930" s="21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>
        <v>1</v>
      </c>
    </row>
    <row r="931" spans="1:91" ht="14.25" customHeight="1" x14ac:dyDescent="0.25">
      <c r="A931" s="13"/>
      <c r="B931" s="14"/>
      <c r="C931" s="14"/>
      <c r="D931" s="14"/>
      <c r="E931" s="24"/>
      <c r="F931" s="25"/>
      <c r="G931" s="308"/>
      <c r="H931" s="45"/>
      <c r="I931" s="14"/>
      <c r="J931" s="14"/>
      <c r="K931" s="7"/>
      <c r="L931" s="14"/>
      <c r="M931" s="14"/>
      <c r="N931" s="7"/>
      <c r="O931" s="21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</row>
    <row r="932" spans="1:91" ht="14.25" customHeight="1" x14ac:dyDescent="0.25">
      <c r="A932" s="13"/>
      <c r="B932" s="14"/>
      <c r="C932" s="14"/>
      <c r="D932" s="14"/>
      <c r="E932" s="24"/>
      <c r="F932" s="25"/>
      <c r="G932" s="308"/>
      <c r="H932" s="45"/>
      <c r="I932" s="14"/>
      <c r="J932" s="14"/>
      <c r="K932" s="7"/>
      <c r="L932" s="14"/>
      <c r="M932" s="14"/>
      <c r="N932" s="7"/>
      <c r="O932" s="21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</row>
    <row r="933" spans="1:91" ht="14.25" customHeight="1" x14ac:dyDescent="0.25">
      <c r="A933" s="13"/>
      <c r="B933" s="14"/>
      <c r="C933" s="14"/>
      <c r="D933" s="14"/>
      <c r="E933" s="24"/>
      <c r="F933" s="25"/>
      <c r="G933" s="308"/>
      <c r="H933" s="45"/>
      <c r="I933" s="14"/>
      <c r="J933" s="14"/>
      <c r="K933" s="7"/>
      <c r="L933" s="14"/>
      <c r="M933" s="14"/>
      <c r="N933" s="7"/>
      <c r="O933" s="21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</row>
    <row r="934" spans="1:91" ht="14.25" customHeight="1" x14ac:dyDescent="0.25">
      <c r="A934" s="13"/>
      <c r="B934" s="14"/>
      <c r="C934" s="14"/>
      <c r="D934" s="14"/>
      <c r="E934" s="24"/>
      <c r="F934" s="25"/>
      <c r="G934" s="308"/>
      <c r="H934" s="45"/>
      <c r="I934" s="14"/>
      <c r="J934" s="14"/>
      <c r="K934" s="7"/>
      <c r="L934" s="14"/>
      <c r="M934" s="14"/>
      <c r="N934" s="7"/>
      <c r="O934" s="21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</row>
    <row r="935" spans="1:91" ht="14.25" customHeight="1" x14ac:dyDescent="0.25">
      <c r="A935" s="13"/>
      <c r="B935" s="14"/>
      <c r="C935" s="14"/>
      <c r="D935" s="14"/>
      <c r="E935" s="24"/>
      <c r="F935" s="25"/>
      <c r="G935" s="308"/>
      <c r="H935" s="45"/>
      <c r="I935" s="14"/>
      <c r="J935" s="14"/>
      <c r="K935" s="7"/>
      <c r="L935" s="14"/>
      <c r="M935" s="14"/>
      <c r="N935" s="7"/>
      <c r="O935" s="21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</row>
    <row r="936" spans="1:91" ht="14.25" customHeight="1" x14ac:dyDescent="0.25">
      <c r="A936" s="13"/>
      <c r="B936" s="14"/>
      <c r="C936" s="14"/>
      <c r="D936" s="14"/>
      <c r="E936" s="24"/>
      <c r="F936" s="25"/>
      <c r="G936" s="308"/>
      <c r="H936" s="45"/>
      <c r="I936" s="14"/>
      <c r="J936" s="14"/>
      <c r="K936" s="7"/>
      <c r="L936" s="14"/>
      <c r="M936" s="14"/>
      <c r="N936" s="7"/>
      <c r="O936" s="21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</row>
    <row r="937" spans="1:91" ht="14.25" customHeight="1" x14ac:dyDescent="0.25">
      <c r="A937" s="13"/>
      <c r="B937" s="14"/>
      <c r="C937" s="14"/>
      <c r="D937" s="14"/>
      <c r="E937" s="24"/>
      <c r="F937" s="25"/>
      <c r="G937" s="308"/>
      <c r="H937" s="45"/>
      <c r="I937" s="14"/>
      <c r="J937" s="14"/>
      <c r="K937" s="7"/>
      <c r="L937" s="14"/>
      <c r="M937" s="14"/>
      <c r="N937" s="7"/>
      <c r="O937" s="21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</row>
    <row r="938" spans="1:91" ht="14.25" customHeight="1" x14ac:dyDescent="0.25">
      <c r="A938" s="13"/>
      <c r="B938" s="14"/>
      <c r="C938" s="14"/>
      <c r="D938" s="14"/>
      <c r="E938" s="24"/>
      <c r="F938" s="25"/>
      <c r="G938" s="308"/>
      <c r="H938" s="45"/>
      <c r="I938" s="14"/>
      <c r="J938" s="14"/>
      <c r="K938" s="7"/>
      <c r="L938" s="14"/>
      <c r="M938" s="14"/>
      <c r="N938" s="7"/>
      <c r="O938" s="21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</row>
    <row r="939" spans="1:91" ht="14.25" customHeight="1" x14ac:dyDescent="0.25">
      <c r="A939" s="13"/>
      <c r="B939" s="14"/>
      <c r="C939" s="14"/>
      <c r="D939" s="14"/>
      <c r="E939" s="24"/>
      <c r="F939" s="25"/>
      <c r="G939" s="308"/>
      <c r="H939" s="45"/>
      <c r="I939" s="14"/>
      <c r="J939" s="14"/>
      <c r="K939" s="7"/>
      <c r="L939" s="14"/>
      <c r="M939" s="14"/>
      <c r="N939" s="7"/>
      <c r="O939" s="21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</row>
    <row r="940" spans="1:91" ht="14.25" customHeight="1" x14ac:dyDescent="0.25">
      <c r="A940" s="13"/>
      <c r="B940" s="14"/>
      <c r="C940" s="14"/>
      <c r="D940" s="14"/>
      <c r="E940" s="24"/>
      <c r="F940" s="25"/>
      <c r="G940" s="308"/>
      <c r="H940" s="45"/>
      <c r="I940" s="14"/>
      <c r="J940" s="14"/>
      <c r="K940" s="7"/>
      <c r="L940" s="14"/>
      <c r="M940" s="14"/>
      <c r="N940" s="7"/>
      <c r="O940" s="21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</row>
    <row r="941" spans="1:91" ht="14.25" customHeight="1" x14ac:dyDescent="0.25">
      <c r="A941" s="13"/>
      <c r="B941" s="14"/>
      <c r="C941" s="14"/>
      <c r="D941" s="14"/>
      <c r="E941" s="24"/>
      <c r="F941" s="25"/>
      <c r="G941" s="308"/>
      <c r="H941" s="45"/>
      <c r="I941" s="14"/>
      <c r="J941" s="14"/>
      <c r="K941" s="7"/>
      <c r="L941" s="14"/>
      <c r="M941" s="14"/>
      <c r="N941" s="7"/>
      <c r="O941" s="21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</row>
    <row r="942" spans="1:91" ht="14.25" customHeight="1" x14ac:dyDescent="0.25">
      <c r="A942" s="13"/>
      <c r="B942" s="14"/>
      <c r="C942" s="14"/>
      <c r="D942" s="14"/>
      <c r="E942" s="24"/>
      <c r="F942" s="25"/>
      <c r="G942" s="308"/>
      <c r="H942" s="45"/>
      <c r="I942" s="14"/>
      <c r="J942" s="14"/>
      <c r="K942" s="7"/>
      <c r="L942" s="14"/>
      <c r="M942" s="14"/>
      <c r="N942" s="7"/>
      <c r="O942" s="21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</row>
    <row r="943" spans="1:91" ht="14.25" customHeight="1" x14ac:dyDescent="0.25">
      <c r="A943" s="13"/>
      <c r="B943" s="14"/>
      <c r="C943" s="14"/>
      <c r="D943" s="14"/>
      <c r="E943" s="24"/>
      <c r="F943" s="25"/>
      <c r="G943" s="308"/>
      <c r="H943" s="45"/>
      <c r="I943" s="14"/>
      <c r="J943" s="14"/>
      <c r="K943" s="7"/>
      <c r="L943" s="14"/>
      <c r="M943" s="14"/>
      <c r="N943" s="7"/>
      <c r="O943" s="21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</row>
    <row r="944" spans="1:91" ht="14.25" customHeight="1" x14ac:dyDescent="0.25">
      <c r="A944" s="13"/>
      <c r="B944" s="14"/>
      <c r="C944" s="14"/>
      <c r="D944" s="14"/>
      <c r="E944" s="24"/>
      <c r="F944" s="25"/>
      <c r="G944" s="308"/>
      <c r="H944" s="45"/>
      <c r="I944" s="14"/>
      <c r="J944" s="14"/>
      <c r="K944" s="7"/>
      <c r="L944" s="14"/>
      <c r="M944" s="14"/>
      <c r="N944" s="7"/>
      <c r="O944" s="21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</row>
    <row r="945" spans="1:91" ht="14.25" customHeight="1" x14ac:dyDescent="0.25">
      <c r="A945" s="13"/>
      <c r="B945" s="14"/>
      <c r="C945" s="14"/>
      <c r="D945" s="14"/>
      <c r="E945" s="24"/>
      <c r="F945" s="25"/>
      <c r="G945" s="308"/>
      <c r="H945" s="45"/>
      <c r="I945" s="14"/>
      <c r="J945" s="14"/>
      <c r="K945" s="7"/>
      <c r="L945" s="14"/>
      <c r="M945" s="14"/>
      <c r="N945" s="7"/>
      <c r="O945" s="21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</row>
    <row r="946" spans="1:91" ht="14.25" customHeight="1" x14ac:dyDescent="0.25">
      <c r="A946" s="13"/>
      <c r="B946" s="14"/>
      <c r="C946" s="14"/>
      <c r="D946" s="14"/>
      <c r="E946" s="24"/>
      <c r="F946" s="25"/>
      <c r="G946" s="308"/>
      <c r="H946" s="45"/>
      <c r="I946" s="14"/>
      <c r="J946" s="14"/>
      <c r="K946" s="7"/>
      <c r="L946" s="14"/>
      <c r="M946" s="14"/>
      <c r="N946" s="7"/>
      <c r="O946" s="21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</row>
    <row r="947" spans="1:91" ht="14.25" customHeight="1" x14ac:dyDescent="0.25">
      <c r="A947" s="13"/>
      <c r="B947" s="14"/>
      <c r="C947" s="14"/>
      <c r="D947" s="14"/>
      <c r="E947" s="24"/>
      <c r="F947" s="25"/>
      <c r="G947" s="308"/>
      <c r="H947" s="45"/>
      <c r="I947" s="14"/>
      <c r="J947" s="14"/>
      <c r="K947" s="7"/>
      <c r="L947" s="14"/>
      <c r="M947" s="14"/>
      <c r="N947" s="7"/>
      <c r="O947" s="21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</row>
    <row r="948" spans="1:91" ht="14.25" customHeight="1" x14ac:dyDescent="0.25">
      <c r="A948" s="13"/>
      <c r="B948" s="14"/>
      <c r="C948" s="14"/>
      <c r="D948" s="14"/>
      <c r="E948" s="24"/>
      <c r="F948" s="25"/>
      <c r="G948" s="308"/>
      <c r="H948" s="45"/>
      <c r="I948" s="14"/>
      <c r="J948" s="14"/>
      <c r="K948" s="7"/>
      <c r="L948" s="14"/>
      <c r="M948" s="14"/>
      <c r="N948" s="7"/>
      <c r="O948" s="21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</row>
    <row r="949" spans="1:91" ht="14.25" customHeight="1" x14ac:dyDescent="0.25">
      <c r="A949" s="13"/>
      <c r="B949" s="14"/>
      <c r="C949" s="14"/>
      <c r="D949" s="14"/>
      <c r="E949" s="24"/>
      <c r="F949" s="25"/>
      <c r="G949" s="308"/>
      <c r="H949" s="45"/>
      <c r="I949" s="14"/>
      <c r="J949" s="14"/>
      <c r="K949" s="7"/>
      <c r="L949" s="14"/>
      <c r="M949" s="14"/>
      <c r="N949" s="7"/>
      <c r="O949" s="21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</row>
    <row r="950" spans="1:91" ht="14.25" customHeight="1" x14ac:dyDescent="0.25">
      <c r="A950" s="13"/>
      <c r="B950" s="14"/>
      <c r="C950" s="14"/>
      <c r="D950" s="14"/>
      <c r="E950" s="24"/>
      <c r="F950" s="25"/>
      <c r="G950" s="308"/>
      <c r="H950" s="45"/>
      <c r="I950" s="14"/>
      <c r="J950" s="14"/>
      <c r="K950" s="7"/>
      <c r="L950" s="14"/>
      <c r="M950" s="14"/>
      <c r="N950" s="7"/>
      <c r="O950" s="21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</row>
    <row r="951" spans="1:91" ht="14.25" customHeight="1" x14ac:dyDescent="0.25">
      <c r="A951" s="13"/>
      <c r="B951" s="14"/>
      <c r="C951" s="14"/>
      <c r="D951" s="14"/>
      <c r="E951" s="24"/>
      <c r="F951" s="25"/>
      <c r="G951" s="308"/>
      <c r="H951" s="45"/>
      <c r="I951" s="14"/>
      <c r="J951" s="14"/>
      <c r="K951" s="7"/>
      <c r="L951" s="14"/>
      <c r="M951" s="14"/>
      <c r="N951" s="7"/>
      <c r="O951" s="21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</row>
    <row r="952" spans="1:91" ht="14.25" customHeight="1" x14ac:dyDescent="0.25">
      <c r="A952" s="13"/>
      <c r="B952" s="14"/>
      <c r="C952" s="14"/>
      <c r="D952" s="14"/>
      <c r="E952" s="24"/>
      <c r="F952" s="25"/>
      <c r="G952" s="308"/>
      <c r="H952" s="45"/>
      <c r="I952" s="14"/>
      <c r="J952" s="14"/>
      <c r="K952" s="7"/>
      <c r="L952" s="14"/>
      <c r="M952" s="14"/>
      <c r="N952" s="7"/>
      <c r="O952" s="21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</row>
    <row r="953" spans="1:91" ht="14.25" customHeight="1" x14ac:dyDescent="0.25">
      <c r="A953" s="13"/>
      <c r="B953" s="14"/>
      <c r="C953" s="14"/>
      <c r="D953" s="14"/>
      <c r="E953" s="24"/>
      <c r="F953" s="25"/>
      <c r="G953" s="308"/>
      <c r="H953" s="45"/>
      <c r="I953" s="14"/>
      <c r="J953" s="14"/>
      <c r="K953" s="7"/>
      <c r="L953" s="14"/>
      <c r="M953" s="14"/>
      <c r="N953" s="7"/>
      <c r="O953" s="21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</row>
    <row r="954" spans="1:91" ht="14.25" customHeight="1" x14ac:dyDescent="0.25">
      <c r="A954" s="13"/>
      <c r="B954" s="14"/>
      <c r="C954" s="14"/>
      <c r="D954" s="14"/>
      <c r="E954" s="24"/>
      <c r="F954" s="25"/>
      <c r="G954" s="308"/>
      <c r="H954" s="45"/>
      <c r="I954" s="14"/>
      <c r="J954" s="14"/>
      <c r="K954" s="7"/>
      <c r="L954" s="14"/>
      <c r="M954" s="14"/>
      <c r="N954" s="7"/>
      <c r="O954" s="21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</row>
    <row r="955" spans="1:91" ht="14.25" customHeight="1" x14ac:dyDescent="0.25">
      <c r="A955" s="13"/>
      <c r="B955" s="14"/>
      <c r="C955" s="14"/>
      <c r="D955" s="14"/>
      <c r="E955" s="24"/>
      <c r="F955" s="25"/>
      <c r="G955" s="308"/>
      <c r="H955" s="45"/>
      <c r="I955" s="14"/>
      <c r="J955" s="14"/>
      <c r="K955" s="7"/>
      <c r="L955" s="14"/>
      <c r="M955" s="14"/>
      <c r="N955" s="7"/>
      <c r="O955" s="21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</row>
    <row r="956" spans="1:91" ht="14.25" customHeight="1" x14ac:dyDescent="0.25">
      <c r="A956" s="13"/>
      <c r="B956" s="14"/>
      <c r="C956" s="14"/>
      <c r="D956" s="14"/>
      <c r="E956" s="24"/>
      <c r="F956" s="25"/>
      <c r="G956" s="308"/>
      <c r="H956" s="45"/>
      <c r="I956" s="14"/>
      <c r="J956" s="14"/>
      <c r="K956" s="7"/>
      <c r="L956" s="14"/>
      <c r="M956" s="14"/>
      <c r="N956" s="7"/>
      <c r="O956" s="21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</row>
    <row r="957" spans="1:91" ht="14.25" customHeight="1" x14ac:dyDescent="0.25">
      <c r="A957" s="13"/>
      <c r="B957" s="14"/>
      <c r="C957" s="14"/>
      <c r="D957" s="14"/>
      <c r="E957" s="24"/>
      <c r="F957" s="25"/>
      <c r="G957" s="308"/>
      <c r="H957" s="45"/>
      <c r="I957" s="14"/>
      <c r="J957" s="14"/>
      <c r="K957" s="7"/>
      <c r="L957" s="14"/>
      <c r="M957" s="14"/>
      <c r="N957" s="7"/>
      <c r="O957" s="21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</row>
    <row r="958" spans="1:91" ht="14.25" customHeight="1" x14ac:dyDescent="0.25">
      <c r="A958" s="13"/>
      <c r="B958" s="14"/>
      <c r="C958" s="14"/>
      <c r="D958" s="14"/>
      <c r="E958" s="24"/>
      <c r="F958" s="25"/>
      <c r="G958" s="308"/>
      <c r="H958" s="45"/>
      <c r="I958" s="14"/>
      <c r="J958" s="14"/>
      <c r="K958" s="7"/>
      <c r="L958" s="14"/>
      <c r="M958" s="14"/>
      <c r="N958" s="7"/>
      <c r="O958" s="21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</row>
    <row r="959" spans="1:91" ht="14.25" customHeight="1" x14ac:dyDescent="0.25">
      <c r="A959" s="13"/>
      <c r="B959" s="14"/>
      <c r="C959" s="14"/>
      <c r="D959" s="14"/>
      <c r="E959" s="24"/>
      <c r="F959" s="25"/>
      <c r="G959" s="308"/>
      <c r="H959" s="45"/>
      <c r="I959" s="14"/>
      <c r="J959" s="14"/>
      <c r="K959" s="7"/>
      <c r="L959" s="14"/>
      <c r="M959" s="14"/>
      <c r="N959" s="7"/>
      <c r="O959" s="21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</row>
    <row r="960" spans="1:91" ht="14.25" customHeight="1" x14ac:dyDescent="0.25">
      <c r="A960" s="13"/>
      <c r="B960" s="14"/>
      <c r="C960" s="14"/>
      <c r="D960" s="14"/>
      <c r="E960" s="24"/>
      <c r="F960" s="25"/>
      <c r="G960" s="308"/>
      <c r="H960" s="45"/>
      <c r="I960" s="14"/>
      <c r="J960" s="14"/>
      <c r="K960" s="7"/>
      <c r="L960" s="14"/>
      <c r="M960" s="14"/>
      <c r="N960" s="7"/>
      <c r="O960" s="21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</row>
    <row r="961" spans="1:91" ht="14.25" customHeight="1" x14ac:dyDescent="0.25">
      <c r="A961" s="13"/>
      <c r="B961" s="14"/>
      <c r="C961" s="14"/>
      <c r="D961" s="14"/>
      <c r="E961" s="24"/>
      <c r="F961" s="25"/>
      <c r="G961" s="308"/>
      <c r="H961" s="45"/>
      <c r="I961" s="14"/>
      <c r="J961" s="14"/>
      <c r="K961" s="7"/>
      <c r="L961" s="14"/>
      <c r="M961" s="14"/>
      <c r="N961" s="7"/>
      <c r="O961" s="21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</row>
    <row r="962" spans="1:91" ht="14.25" customHeight="1" x14ac:dyDescent="0.25">
      <c r="A962" s="13"/>
      <c r="B962" s="14"/>
      <c r="C962" s="14"/>
      <c r="D962" s="14"/>
      <c r="E962" s="24"/>
      <c r="F962" s="25"/>
      <c r="G962" s="308"/>
      <c r="H962" s="45"/>
      <c r="I962" s="14"/>
      <c r="J962" s="14"/>
      <c r="K962" s="7"/>
      <c r="L962" s="14"/>
      <c r="M962" s="14"/>
      <c r="N962" s="7"/>
      <c r="O962" s="21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</row>
    <row r="963" spans="1:91" ht="14.25" customHeight="1" x14ac:dyDescent="0.25">
      <c r="A963" s="13"/>
      <c r="B963" s="14"/>
      <c r="C963" s="14"/>
      <c r="D963" s="14"/>
      <c r="E963" s="24"/>
      <c r="F963" s="25"/>
      <c r="G963" s="308"/>
      <c r="H963" s="45"/>
      <c r="I963" s="14"/>
      <c r="J963" s="14"/>
      <c r="K963" s="7"/>
      <c r="L963" s="14"/>
      <c r="M963" s="14"/>
      <c r="N963" s="7"/>
      <c r="O963" s="21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>
        <v>1</v>
      </c>
    </row>
    <row r="964" spans="1:91" ht="14.25" customHeight="1" x14ac:dyDescent="0.25">
      <c r="A964" s="13"/>
      <c r="B964" s="14"/>
      <c r="C964" s="14"/>
      <c r="D964" s="14"/>
      <c r="E964" s="24"/>
      <c r="F964" s="25"/>
      <c r="G964" s="308"/>
      <c r="H964" s="45"/>
      <c r="I964" s="14"/>
      <c r="J964" s="14"/>
      <c r="K964" s="7"/>
      <c r="L964" s="14"/>
      <c r="M964" s="14"/>
      <c r="N964" s="7"/>
      <c r="O964" s="21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</row>
    <row r="965" spans="1:91" ht="14.25" customHeight="1" x14ac:dyDescent="0.25">
      <c r="A965" s="13"/>
      <c r="B965" s="14"/>
      <c r="C965" s="14"/>
      <c r="D965" s="14"/>
      <c r="E965" s="24"/>
      <c r="F965" s="25"/>
      <c r="G965" s="308"/>
      <c r="H965" s="45"/>
      <c r="I965" s="14"/>
      <c r="J965" s="14"/>
      <c r="K965" s="7"/>
      <c r="L965" s="14"/>
      <c r="M965" s="14"/>
      <c r="N965" s="7"/>
      <c r="O965" s="21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</row>
    <row r="966" spans="1:91" ht="14.25" customHeight="1" x14ac:dyDescent="0.25">
      <c r="A966" s="13"/>
      <c r="B966" s="14"/>
      <c r="C966" s="14"/>
      <c r="D966" s="14"/>
      <c r="E966" s="24"/>
      <c r="F966" s="25"/>
      <c r="G966" s="308"/>
      <c r="H966" s="45"/>
      <c r="I966" s="14"/>
      <c r="J966" s="14"/>
      <c r="K966" s="7"/>
      <c r="L966" s="14"/>
      <c r="M966" s="14"/>
      <c r="N966" s="7"/>
      <c r="O966" s="21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</row>
    <row r="967" spans="1:91" ht="14.25" customHeight="1" x14ac:dyDescent="0.25">
      <c r="A967" s="13"/>
      <c r="B967" s="14"/>
      <c r="C967" s="14"/>
      <c r="D967" s="14"/>
      <c r="E967" s="24"/>
      <c r="F967" s="25"/>
      <c r="G967" s="308"/>
      <c r="H967" s="45"/>
      <c r="I967" s="14"/>
      <c r="J967" s="14"/>
      <c r="K967" s="7"/>
      <c r="L967" s="14"/>
      <c r="M967" s="14"/>
      <c r="N967" s="7"/>
      <c r="O967" s="21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</row>
    <row r="968" spans="1:91" ht="14.25" customHeight="1" x14ac:dyDescent="0.25">
      <c r="A968" s="13"/>
      <c r="B968" s="14"/>
      <c r="C968" s="14"/>
      <c r="D968" s="14"/>
      <c r="E968" s="24"/>
      <c r="F968" s="25"/>
      <c r="G968" s="308"/>
      <c r="H968" s="45"/>
      <c r="I968" s="14"/>
      <c r="J968" s="14"/>
      <c r="K968" s="7"/>
      <c r="L968" s="14"/>
      <c r="M968" s="14"/>
      <c r="N968" s="7"/>
      <c r="O968" s="21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</row>
    <row r="969" spans="1:91" ht="14.25" customHeight="1" x14ac:dyDescent="0.25">
      <c r="A969" s="13"/>
      <c r="B969" s="14"/>
      <c r="C969" s="14"/>
      <c r="D969" s="14"/>
      <c r="E969" s="24"/>
      <c r="F969" s="25"/>
      <c r="G969" s="308"/>
      <c r="H969" s="45"/>
      <c r="I969" s="14"/>
      <c r="J969" s="14"/>
      <c r="K969" s="7"/>
      <c r="L969" s="14"/>
      <c r="M969" s="14"/>
      <c r="N969" s="7"/>
      <c r="O969" s="21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</row>
    <row r="970" spans="1:91" ht="14.25" customHeight="1" x14ac:dyDescent="0.25">
      <c r="A970" s="13"/>
      <c r="B970" s="14"/>
      <c r="C970" s="14"/>
      <c r="D970" s="14"/>
      <c r="E970" s="24"/>
      <c r="F970" s="25"/>
      <c r="G970" s="308"/>
      <c r="H970" s="45"/>
      <c r="I970" s="14"/>
      <c r="J970" s="14"/>
      <c r="K970" s="7"/>
      <c r="L970" s="14"/>
      <c r="M970" s="14"/>
      <c r="N970" s="7"/>
      <c r="O970" s="21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</row>
    <row r="971" spans="1:91" ht="14.25" customHeight="1" x14ac:dyDescent="0.25">
      <c r="A971" s="13"/>
      <c r="B971" s="14"/>
      <c r="C971" s="14"/>
      <c r="D971" s="14"/>
      <c r="E971" s="24"/>
      <c r="F971" s="25"/>
      <c r="G971" s="308"/>
      <c r="H971" s="45"/>
      <c r="I971" s="14"/>
      <c r="J971" s="14"/>
      <c r="K971" s="7"/>
      <c r="L971" s="14"/>
      <c r="M971" s="14"/>
      <c r="N971" s="7"/>
      <c r="O971" s="21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</row>
    <row r="972" spans="1:91" ht="14.25" customHeight="1" x14ac:dyDescent="0.25">
      <c r="A972" s="13"/>
      <c r="B972" s="14"/>
      <c r="C972" s="14"/>
      <c r="D972" s="14"/>
      <c r="E972" s="24"/>
      <c r="F972" s="25"/>
      <c r="G972" s="308"/>
      <c r="H972" s="45"/>
      <c r="I972" s="14"/>
      <c r="J972" s="14"/>
      <c r="K972" s="7"/>
      <c r="L972" s="14"/>
      <c r="M972" s="14"/>
      <c r="N972" s="7"/>
      <c r="O972" s="21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</row>
    <row r="973" spans="1:91" ht="14.25" customHeight="1" x14ac:dyDescent="0.25">
      <c r="A973" s="13"/>
      <c r="B973" s="14"/>
      <c r="C973" s="14"/>
      <c r="D973" s="14"/>
      <c r="E973" s="24"/>
      <c r="F973" s="25"/>
      <c r="G973" s="308"/>
      <c r="H973" s="45"/>
      <c r="I973" s="14"/>
      <c r="J973" s="14"/>
      <c r="K973" s="7"/>
      <c r="L973" s="14"/>
      <c r="M973" s="14"/>
      <c r="N973" s="7"/>
      <c r="O973" s="21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</row>
    <row r="974" spans="1:91" ht="14.25" customHeight="1" x14ac:dyDescent="0.25">
      <c r="A974" s="13"/>
      <c r="B974" s="14"/>
      <c r="C974" s="14"/>
      <c r="D974" s="14"/>
      <c r="E974" s="24"/>
      <c r="F974" s="25"/>
      <c r="G974" s="308"/>
      <c r="H974" s="45"/>
      <c r="I974" s="14"/>
      <c r="J974" s="14"/>
      <c r="K974" s="7"/>
      <c r="L974" s="14"/>
      <c r="M974" s="14"/>
      <c r="N974" s="7"/>
      <c r="O974" s="21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</row>
    <row r="975" spans="1:91" ht="14.25" customHeight="1" x14ac:dyDescent="0.25">
      <c r="A975" s="13"/>
      <c r="B975" s="14"/>
      <c r="C975" s="14"/>
      <c r="D975" s="14"/>
      <c r="E975" s="24"/>
      <c r="F975" s="25"/>
      <c r="G975" s="308"/>
      <c r="H975" s="45"/>
      <c r="I975" s="14"/>
      <c r="J975" s="14"/>
      <c r="K975" s="7"/>
      <c r="L975" s="14"/>
      <c r="M975" s="14"/>
      <c r="N975" s="7"/>
      <c r="O975" s="21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</row>
    <row r="976" spans="1:91" ht="14.25" customHeight="1" x14ac:dyDescent="0.25">
      <c r="A976" s="13"/>
      <c r="B976" s="14"/>
      <c r="C976" s="14"/>
      <c r="D976" s="14"/>
      <c r="E976" s="24"/>
      <c r="F976" s="25"/>
      <c r="G976" s="308"/>
      <c r="H976" s="45"/>
      <c r="I976" s="14"/>
      <c r="J976" s="14"/>
      <c r="K976" s="7"/>
      <c r="L976" s="14"/>
      <c r="M976" s="14"/>
      <c r="N976" s="7"/>
      <c r="O976" s="21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</row>
    <row r="977" spans="1:91" ht="14.25" customHeight="1" x14ac:dyDescent="0.25">
      <c r="A977" s="13"/>
      <c r="B977" s="14"/>
      <c r="C977" s="14"/>
      <c r="D977" s="14"/>
      <c r="E977" s="24"/>
      <c r="F977" s="25"/>
      <c r="G977" s="308"/>
      <c r="H977" s="45"/>
      <c r="I977" s="14"/>
      <c r="J977" s="14"/>
      <c r="K977" s="7"/>
      <c r="L977" s="14"/>
      <c r="M977" s="14"/>
      <c r="N977" s="7"/>
      <c r="O977" s="21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</row>
    <row r="978" spans="1:91" ht="14.25" customHeight="1" x14ac:dyDescent="0.25">
      <c r="A978" s="13"/>
      <c r="B978" s="14"/>
      <c r="C978" s="14"/>
      <c r="D978" s="14"/>
      <c r="E978" s="24"/>
      <c r="F978" s="25"/>
      <c r="G978" s="308"/>
      <c r="H978" s="45"/>
      <c r="I978" s="14"/>
      <c r="J978" s="14"/>
      <c r="K978" s="7"/>
      <c r="L978" s="14"/>
      <c r="M978" s="14"/>
      <c r="N978" s="7"/>
      <c r="O978" s="21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</row>
    <row r="979" spans="1:91" ht="14.25" customHeight="1" x14ac:dyDescent="0.25">
      <c r="A979" s="13"/>
      <c r="B979" s="14"/>
      <c r="C979" s="14"/>
      <c r="D979" s="14"/>
      <c r="E979" s="24"/>
      <c r="F979" s="25"/>
      <c r="G979" s="308"/>
      <c r="H979" s="45"/>
      <c r="I979" s="14"/>
      <c r="J979" s="14"/>
      <c r="K979" s="7"/>
      <c r="L979" s="14"/>
      <c r="M979" s="14"/>
      <c r="N979" s="7"/>
      <c r="O979" s="21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</row>
    <row r="980" spans="1:91" ht="14.25" customHeight="1" x14ac:dyDescent="0.25">
      <c r="A980" s="13"/>
      <c r="B980" s="14"/>
      <c r="C980" s="14"/>
      <c r="D980" s="14"/>
      <c r="E980" s="24"/>
      <c r="F980" s="25"/>
      <c r="G980" s="308"/>
      <c r="H980" s="45"/>
      <c r="I980" s="14"/>
      <c r="J980" s="14"/>
      <c r="K980" s="7"/>
      <c r="L980" s="14"/>
      <c r="M980" s="14"/>
      <c r="N980" s="7"/>
      <c r="O980" s="21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</row>
    <row r="981" spans="1:91" ht="14.25" customHeight="1" x14ac:dyDescent="0.25">
      <c r="A981" s="13"/>
      <c r="B981" s="14"/>
      <c r="C981" s="14"/>
      <c r="D981" s="14"/>
      <c r="E981" s="24"/>
      <c r="F981" s="25"/>
      <c r="G981" s="308"/>
      <c r="H981" s="45"/>
      <c r="I981" s="14"/>
      <c r="J981" s="14"/>
      <c r="K981" s="7"/>
      <c r="L981" s="14"/>
      <c r="M981" s="14"/>
      <c r="N981" s="7"/>
      <c r="O981" s="21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</row>
    <row r="982" spans="1:91" ht="14.25" customHeight="1" x14ac:dyDescent="0.25">
      <c r="A982" s="13"/>
      <c r="B982" s="14"/>
      <c r="C982" s="14"/>
      <c r="D982" s="14"/>
      <c r="E982" s="24"/>
      <c r="F982" s="25"/>
      <c r="G982" s="308"/>
      <c r="H982" s="45"/>
      <c r="I982" s="14"/>
      <c r="J982" s="14"/>
      <c r="K982" s="7"/>
      <c r="L982" s="14"/>
      <c r="M982" s="14"/>
      <c r="N982" s="7"/>
      <c r="O982" s="21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</row>
    <row r="983" spans="1:91" ht="14.25" customHeight="1" x14ac:dyDescent="0.25">
      <c r="A983" s="13"/>
      <c r="B983" s="14"/>
      <c r="C983" s="14"/>
      <c r="D983" s="14"/>
      <c r="E983" s="24"/>
      <c r="F983" s="25"/>
      <c r="G983" s="308"/>
      <c r="H983" s="45"/>
      <c r="I983" s="14"/>
      <c r="J983" s="14"/>
      <c r="K983" s="7"/>
      <c r="L983" s="14"/>
      <c r="M983" s="14"/>
      <c r="N983" s="7"/>
      <c r="O983" s="21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M983" s="14"/>
    </row>
    <row r="984" spans="1:91" ht="14.25" customHeight="1" x14ac:dyDescent="0.25">
      <c r="A984" s="13"/>
      <c r="B984" s="14"/>
      <c r="C984" s="14"/>
      <c r="D984" s="14"/>
      <c r="E984" s="24"/>
      <c r="F984" s="25"/>
      <c r="G984" s="308"/>
      <c r="H984" s="45"/>
      <c r="I984" s="14"/>
      <c r="J984" s="14"/>
      <c r="K984" s="7"/>
      <c r="L984" s="14"/>
      <c r="M984" s="14"/>
      <c r="N984" s="7"/>
      <c r="O984" s="21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</row>
    <row r="985" spans="1:91" ht="14.25" customHeight="1" x14ac:dyDescent="0.25">
      <c r="A985" s="13"/>
      <c r="B985" s="14"/>
      <c r="C985" s="14"/>
      <c r="D985" s="14"/>
      <c r="E985" s="24"/>
      <c r="F985" s="25"/>
      <c r="G985" s="308"/>
      <c r="H985" s="45"/>
      <c r="I985" s="14"/>
      <c r="J985" s="14"/>
      <c r="K985" s="7"/>
      <c r="L985" s="14"/>
      <c r="M985" s="14"/>
      <c r="N985" s="7"/>
      <c r="O985" s="21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</row>
    <row r="986" spans="1:91" ht="14.25" customHeight="1" x14ac:dyDescent="0.25">
      <c r="A986" s="13"/>
      <c r="B986" s="14"/>
      <c r="C986" s="14"/>
      <c r="D986" s="14"/>
      <c r="E986" s="24"/>
      <c r="F986" s="25"/>
      <c r="G986" s="308"/>
      <c r="H986" s="45"/>
      <c r="I986" s="14"/>
      <c r="J986" s="14"/>
      <c r="K986" s="7"/>
      <c r="L986" s="14"/>
      <c r="M986" s="14"/>
      <c r="N986" s="7"/>
      <c r="O986" s="21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</row>
    <row r="987" spans="1:91" ht="14.25" customHeight="1" x14ac:dyDescent="0.25">
      <c r="A987" s="13"/>
      <c r="B987" s="14"/>
      <c r="C987" s="14"/>
      <c r="D987" s="14"/>
      <c r="E987" s="24"/>
      <c r="F987" s="25"/>
      <c r="G987" s="308"/>
      <c r="H987" s="45"/>
      <c r="I987" s="14"/>
      <c r="J987" s="14"/>
      <c r="K987" s="7"/>
      <c r="L987" s="14"/>
      <c r="M987" s="14"/>
      <c r="N987" s="7"/>
      <c r="O987" s="21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</row>
    <row r="988" spans="1:91" ht="14.25" customHeight="1" x14ac:dyDescent="0.25">
      <c r="A988" s="13"/>
      <c r="B988" s="14"/>
      <c r="C988" s="14"/>
      <c r="D988" s="14"/>
      <c r="E988" s="24"/>
      <c r="F988" s="25"/>
      <c r="G988" s="308"/>
      <c r="H988" s="45"/>
      <c r="I988" s="14"/>
      <c r="J988" s="14"/>
      <c r="K988" s="7"/>
      <c r="L988" s="14"/>
      <c r="M988" s="14"/>
      <c r="N988" s="7"/>
      <c r="O988" s="21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</row>
    <row r="989" spans="1:91" ht="14.25" customHeight="1" x14ac:dyDescent="0.25">
      <c r="A989" s="13"/>
      <c r="B989" s="14"/>
      <c r="C989" s="14"/>
      <c r="D989" s="14"/>
      <c r="E989" s="24"/>
      <c r="F989" s="25"/>
      <c r="G989" s="308"/>
      <c r="H989" s="45"/>
      <c r="I989" s="14"/>
      <c r="J989" s="14"/>
      <c r="K989" s="7"/>
      <c r="L989" s="14"/>
      <c r="M989" s="14"/>
      <c r="N989" s="7"/>
      <c r="O989" s="21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</row>
    <row r="990" spans="1:91" ht="14.25" customHeight="1" x14ac:dyDescent="0.25">
      <c r="A990" s="13"/>
      <c r="B990" s="14"/>
      <c r="C990" s="14"/>
      <c r="D990" s="14"/>
      <c r="E990" s="24"/>
      <c r="F990" s="25"/>
      <c r="G990" s="308"/>
      <c r="H990" s="45"/>
      <c r="I990" s="14"/>
      <c r="J990" s="14"/>
      <c r="K990" s="7"/>
      <c r="L990" s="14"/>
      <c r="M990" s="14"/>
      <c r="N990" s="7"/>
      <c r="O990" s="21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</row>
    <row r="991" spans="1:91" ht="14.25" customHeight="1" x14ac:dyDescent="0.25">
      <c r="A991" s="13"/>
      <c r="B991" s="14"/>
      <c r="C991" s="14"/>
      <c r="D991" s="14"/>
      <c r="E991" s="24"/>
      <c r="F991" s="25"/>
      <c r="G991" s="308"/>
      <c r="H991" s="45"/>
      <c r="I991" s="14"/>
      <c r="J991" s="14"/>
      <c r="K991" s="7"/>
      <c r="L991" s="14"/>
      <c r="M991" s="14"/>
      <c r="N991" s="7"/>
      <c r="O991" s="21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</row>
    <row r="992" spans="1:91" ht="14.25" customHeight="1" x14ac:dyDescent="0.25">
      <c r="A992" s="13"/>
      <c r="B992" s="14"/>
      <c r="C992" s="14"/>
      <c r="D992" s="14"/>
      <c r="E992" s="24"/>
      <c r="F992" s="25"/>
      <c r="G992" s="308"/>
      <c r="H992" s="45"/>
      <c r="I992" s="14"/>
      <c r="J992" s="14"/>
      <c r="K992" s="7"/>
      <c r="L992" s="14"/>
      <c r="M992" s="14"/>
      <c r="N992" s="7"/>
      <c r="O992" s="21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</row>
    <row r="993" spans="1:91" ht="14.25" customHeight="1" x14ac:dyDescent="0.25">
      <c r="A993" s="13"/>
      <c r="B993" s="14"/>
      <c r="C993" s="14"/>
      <c r="D993" s="14"/>
      <c r="E993" s="24"/>
      <c r="F993" s="25"/>
      <c r="G993" s="308"/>
      <c r="H993" s="45"/>
      <c r="I993" s="14"/>
      <c r="J993" s="14"/>
      <c r="K993" s="7"/>
      <c r="L993" s="14"/>
      <c r="M993" s="14"/>
      <c r="N993" s="7"/>
      <c r="O993" s="21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</row>
    <row r="994" spans="1:91" ht="14.25" customHeight="1" x14ac:dyDescent="0.25">
      <c r="A994" s="13"/>
      <c r="B994" s="14"/>
      <c r="C994" s="14"/>
      <c r="D994" s="14"/>
      <c r="E994" s="24"/>
      <c r="F994" s="25"/>
      <c r="G994" s="308"/>
      <c r="H994" s="45"/>
      <c r="I994" s="14"/>
      <c r="J994" s="14"/>
      <c r="K994" s="7"/>
      <c r="L994" s="14"/>
      <c r="M994" s="14"/>
      <c r="N994" s="7"/>
      <c r="O994" s="21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</row>
    <row r="995" spans="1:91" ht="14.25" customHeight="1" x14ac:dyDescent="0.25">
      <c r="A995" s="13"/>
      <c r="B995" s="14"/>
      <c r="C995" s="14"/>
      <c r="D995" s="14"/>
      <c r="E995" s="24"/>
      <c r="F995" s="25"/>
      <c r="G995" s="308"/>
      <c r="H995" s="45"/>
      <c r="I995" s="14"/>
      <c r="J995" s="14"/>
      <c r="K995" s="7"/>
      <c r="L995" s="14"/>
      <c r="M995" s="14"/>
      <c r="N995" s="7"/>
      <c r="O995" s="21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</row>
    <row r="996" spans="1:91" ht="14.25" customHeight="1" x14ac:dyDescent="0.25">
      <c r="A996" s="13"/>
      <c r="B996" s="14"/>
      <c r="C996" s="14"/>
      <c r="D996" s="14"/>
      <c r="E996" s="24"/>
      <c r="F996" s="25"/>
      <c r="G996" s="308"/>
      <c r="H996" s="45"/>
      <c r="I996" s="14"/>
      <c r="J996" s="14"/>
      <c r="K996" s="7"/>
      <c r="L996" s="14"/>
      <c r="M996" s="14"/>
      <c r="N996" s="7"/>
      <c r="O996" s="21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>
        <v>1</v>
      </c>
    </row>
    <row r="997" spans="1:91" ht="14.25" customHeight="1" x14ac:dyDescent="0.25">
      <c r="A997" s="13"/>
      <c r="B997" s="14"/>
      <c r="C997" s="14"/>
      <c r="D997" s="14"/>
      <c r="E997" s="24"/>
      <c r="F997" s="25"/>
      <c r="G997" s="308"/>
      <c r="H997" s="45"/>
      <c r="I997" s="14"/>
      <c r="J997" s="14"/>
      <c r="K997" s="7"/>
      <c r="L997" s="14"/>
      <c r="M997" s="14"/>
      <c r="N997" s="7"/>
      <c r="O997" s="21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</row>
    <row r="998" spans="1:91" ht="14.25" customHeight="1" x14ac:dyDescent="0.25">
      <c r="A998" s="13"/>
      <c r="B998" s="14"/>
      <c r="C998" s="14"/>
      <c r="D998" s="14"/>
      <c r="E998" s="24"/>
      <c r="F998" s="25"/>
      <c r="G998" s="308"/>
      <c r="H998" s="45"/>
      <c r="I998" s="14"/>
      <c r="J998" s="14"/>
      <c r="K998" s="7"/>
      <c r="L998" s="14"/>
      <c r="M998" s="14"/>
      <c r="N998" s="7"/>
      <c r="O998" s="21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</row>
    <row r="999" spans="1:91" ht="14.25" customHeight="1" x14ac:dyDescent="0.25">
      <c r="A999" s="13"/>
      <c r="B999" s="14"/>
      <c r="C999" s="14"/>
      <c r="D999" s="14"/>
      <c r="E999" s="24"/>
      <c r="F999" s="25"/>
      <c r="G999" s="308"/>
      <c r="H999" s="45"/>
      <c r="I999" s="14"/>
      <c r="J999" s="14"/>
      <c r="K999" s="7"/>
      <c r="L999" s="14"/>
      <c r="M999" s="14"/>
      <c r="N999" s="7"/>
      <c r="O999" s="21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</row>
    <row r="1000" spans="1:91" ht="14.25" customHeight="1" x14ac:dyDescent="0.25">
      <c r="A1000" s="13"/>
      <c r="B1000" s="14"/>
      <c r="C1000" s="14"/>
      <c r="D1000" s="14"/>
      <c r="E1000" s="24"/>
      <c r="F1000" s="25"/>
      <c r="G1000" s="308"/>
      <c r="H1000" s="45"/>
      <c r="I1000" s="14"/>
      <c r="J1000" s="14"/>
      <c r="K1000" s="7"/>
      <c r="L1000" s="14"/>
      <c r="M1000" s="14"/>
      <c r="N1000" s="7"/>
      <c r="O1000" s="21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</row>
    <row r="1001" spans="1:91" ht="14.25" customHeight="1" x14ac:dyDescent="0.25">
      <c r="A1001" s="13"/>
      <c r="B1001" s="14"/>
      <c r="C1001" s="14"/>
      <c r="D1001" s="14"/>
      <c r="E1001" s="24"/>
      <c r="F1001" s="25"/>
      <c r="G1001" s="308"/>
      <c r="H1001" s="45"/>
      <c r="I1001" s="14"/>
      <c r="J1001" s="14"/>
      <c r="K1001" s="7"/>
      <c r="L1001" s="14"/>
      <c r="M1001" s="14"/>
      <c r="N1001" s="7"/>
      <c r="O1001" s="21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4"/>
      <c r="BT1001" s="14"/>
      <c r="BU1001" s="14"/>
      <c r="BV1001" s="14"/>
      <c r="BW1001" s="14"/>
      <c r="BX1001" s="14"/>
      <c r="BY1001" s="14"/>
      <c r="BZ1001" s="14"/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M1001" s="14"/>
    </row>
    <row r="1002" spans="1:91" ht="14.25" customHeight="1" x14ac:dyDescent="0.25">
      <c r="A1002" s="13"/>
      <c r="B1002" s="14"/>
      <c r="C1002" s="14"/>
      <c r="D1002" s="14"/>
      <c r="E1002" s="24"/>
      <c r="F1002" s="25"/>
      <c r="G1002" s="308"/>
      <c r="H1002" s="45"/>
      <c r="I1002" s="14"/>
      <c r="J1002" s="14"/>
      <c r="K1002" s="7"/>
      <c r="L1002" s="14"/>
      <c r="M1002" s="14"/>
      <c r="N1002" s="7"/>
      <c r="O1002" s="21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4"/>
      <c r="BT1002" s="14"/>
      <c r="BU1002" s="14"/>
      <c r="BV1002" s="14"/>
      <c r="BW1002" s="14"/>
      <c r="BX1002" s="14"/>
      <c r="BY1002" s="14"/>
      <c r="BZ1002" s="14"/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M1002" s="14"/>
    </row>
    <row r="1003" spans="1:91" ht="14.25" customHeight="1" x14ac:dyDescent="0.25">
      <c r="A1003" s="13"/>
      <c r="B1003" s="14"/>
      <c r="C1003" s="14"/>
      <c r="D1003" s="14"/>
      <c r="E1003" s="24"/>
      <c r="F1003" s="25"/>
      <c r="G1003" s="308"/>
      <c r="H1003" s="45"/>
      <c r="I1003" s="14"/>
      <c r="J1003" s="14"/>
      <c r="K1003" s="7"/>
      <c r="L1003" s="14"/>
      <c r="M1003" s="14"/>
      <c r="N1003" s="7"/>
      <c r="O1003" s="21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4"/>
      <c r="BT1003" s="14"/>
      <c r="BU1003" s="14"/>
      <c r="BV1003" s="14"/>
      <c r="BW1003" s="14"/>
      <c r="BX1003" s="14"/>
      <c r="BY1003" s="14"/>
      <c r="BZ1003" s="14"/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M1003" s="14"/>
    </row>
    <row r="1004" spans="1:91" ht="14.25" customHeight="1" x14ac:dyDescent="0.25">
      <c r="A1004" s="13"/>
      <c r="B1004" s="14"/>
      <c r="C1004" s="14"/>
      <c r="D1004" s="14"/>
      <c r="E1004" s="24"/>
      <c r="F1004" s="25"/>
      <c r="G1004" s="308"/>
      <c r="H1004" s="45"/>
      <c r="I1004" s="14"/>
      <c r="J1004" s="14"/>
      <c r="K1004" s="7"/>
      <c r="L1004" s="14"/>
      <c r="M1004" s="14"/>
      <c r="N1004" s="7"/>
      <c r="O1004" s="21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4"/>
      <c r="BT1004" s="14"/>
      <c r="BU1004" s="14"/>
      <c r="BV1004" s="14"/>
      <c r="BW1004" s="14"/>
      <c r="BX1004" s="14"/>
      <c r="BY1004" s="14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M1004" s="14"/>
    </row>
    <row r="1005" spans="1:91" ht="14.25" customHeight="1" x14ac:dyDescent="0.25">
      <c r="A1005" s="13"/>
      <c r="B1005" s="14"/>
      <c r="C1005" s="14"/>
      <c r="D1005" s="14"/>
      <c r="E1005" s="24"/>
      <c r="F1005" s="25"/>
      <c r="G1005" s="308"/>
      <c r="H1005" s="45"/>
      <c r="I1005" s="14"/>
      <c r="J1005" s="14"/>
      <c r="K1005" s="7"/>
      <c r="L1005" s="14"/>
      <c r="M1005" s="14"/>
      <c r="N1005" s="7"/>
      <c r="O1005" s="21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4"/>
      <c r="BT1005" s="14"/>
      <c r="BU1005" s="14"/>
      <c r="BV1005" s="14"/>
      <c r="BW1005" s="14"/>
      <c r="BX1005" s="14"/>
      <c r="BY1005" s="14"/>
      <c r="BZ1005" s="14"/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M1005" s="14"/>
    </row>
    <row r="1006" spans="1:91" ht="14.25" customHeight="1" x14ac:dyDescent="0.25">
      <c r="A1006" s="13"/>
      <c r="B1006" s="14"/>
      <c r="C1006" s="14"/>
      <c r="D1006" s="14"/>
      <c r="E1006" s="24"/>
      <c r="F1006" s="25"/>
      <c r="G1006" s="308"/>
      <c r="H1006" s="45"/>
      <c r="I1006" s="14"/>
      <c r="J1006" s="14"/>
      <c r="K1006" s="7"/>
      <c r="L1006" s="14"/>
      <c r="M1006" s="14"/>
      <c r="N1006" s="7"/>
      <c r="O1006" s="21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4"/>
      <c r="BT1006" s="14"/>
      <c r="BU1006" s="14"/>
      <c r="BV1006" s="14"/>
      <c r="BW1006" s="14"/>
      <c r="BX1006" s="14"/>
      <c r="BY1006" s="14"/>
      <c r="BZ1006" s="14"/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M1006" s="14"/>
    </row>
    <row r="1007" spans="1:91" ht="14.25" customHeight="1" x14ac:dyDescent="0.25">
      <c r="A1007" s="13"/>
      <c r="B1007" s="14"/>
      <c r="C1007" s="14"/>
      <c r="D1007" s="14"/>
      <c r="E1007" s="24"/>
      <c r="F1007" s="25"/>
      <c r="G1007" s="308"/>
      <c r="H1007" s="45"/>
      <c r="I1007" s="14"/>
      <c r="J1007" s="14"/>
      <c r="K1007" s="7"/>
      <c r="L1007" s="14"/>
      <c r="M1007" s="14"/>
      <c r="N1007" s="7"/>
      <c r="O1007" s="21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4"/>
      <c r="BT1007" s="14"/>
      <c r="BU1007" s="14"/>
      <c r="BV1007" s="14"/>
      <c r="BW1007" s="14"/>
      <c r="BX1007" s="14"/>
      <c r="BY1007" s="14"/>
      <c r="BZ1007" s="14"/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M1007" s="14"/>
    </row>
    <row r="1008" spans="1:91" ht="14.25" customHeight="1" x14ac:dyDescent="0.25">
      <c r="A1008" s="13"/>
      <c r="B1008" s="14"/>
      <c r="C1008" s="14"/>
      <c r="D1008" s="14"/>
      <c r="E1008" s="24"/>
      <c r="F1008" s="25"/>
      <c r="G1008" s="308"/>
      <c r="H1008" s="45"/>
      <c r="I1008" s="14"/>
      <c r="J1008" s="14"/>
      <c r="K1008" s="7"/>
      <c r="L1008" s="14"/>
      <c r="M1008" s="14"/>
      <c r="N1008" s="7"/>
      <c r="O1008" s="21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4"/>
      <c r="BT1008" s="14"/>
      <c r="BU1008" s="14"/>
      <c r="BV1008" s="14"/>
      <c r="BW1008" s="14"/>
      <c r="BX1008" s="14"/>
      <c r="BY1008" s="14"/>
      <c r="BZ1008" s="14"/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M1008" s="14"/>
    </row>
    <row r="1009" spans="1:91" ht="14.25" customHeight="1" x14ac:dyDescent="0.25">
      <c r="A1009" s="13"/>
      <c r="B1009" s="14"/>
      <c r="C1009" s="14"/>
      <c r="D1009" s="14"/>
      <c r="E1009" s="24"/>
      <c r="F1009" s="25"/>
      <c r="G1009" s="308"/>
      <c r="H1009" s="45"/>
      <c r="I1009" s="14"/>
      <c r="J1009" s="14"/>
      <c r="K1009" s="7"/>
      <c r="L1009" s="14"/>
      <c r="M1009" s="14"/>
      <c r="N1009" s="7"/>
      <c r="O1009" s="21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4"/>
      <c r="BT1009" s="14"/>
      <c r="BU1009" s="14"/>
      <c r="BV1009" s="14"/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M1009" s="14"/>
    </row>
    <row r="1010" spans="1:91" ht="14.25" customHeight="1" x14ac:dyDescent="0.25">
      <c r="A1010" s="13"/>
      <c r="B1010" s="14"/>
      <c r="C1010" s="14"/>
      <c r="D1010" s="14"/>
      <c r="E1010" s="24"/>
      <c r="F1010" s="25"/>
      <c r="G1010" s="308"/>
      <c r="H1010" s="45"/>
      <c r="I1010" s="14"/>
      <c r="J1010" s="14"/>
      <c r="K1010" s="7"/>
      <c r="L1010" s="14"/>
      <c r="M1010" s="14"/>
      <c r="N1010" s="7"/>
      <c r="O1010" s="21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4"/>
      <c r="BT1010" s="14"/>
      <c r="BU1010" s="14"/>
      <c r="BV1010" s="14"/>
      <c r="BW1010" s="14"/>
      <c r="BX1010" s="14"/>
      <c r="BY1010" s="14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M1010" s="14"/>
    </row>
    <row r="1011" spans="1:91" ht="14.25" customHeight="1" x14ac:dyDescent="0.25">
      <c r="A1011" s="13"/>
      <c r="B1011" s="14"/>
      <c r="C1011" s="14"/>
      <c r="D1011" s="14"/>
      <c r="E1011" s="24"/>
      <c r="F1011" s="25"/>
      <c r="G1011" s="308"/>
      <c r="H1011" s="45"/>
      <c r="I1011" s="14"/>
      <c r="J1011" s="14"/>
      <c r="K1011" s="7"/>
      <c r="L1011" s="14"/>
      <c r="M1011" s="14"/>
      <c r="N1011" s="7"/>
      <c r="O1011" s="21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4"/>
      <c r="BT1011" s="14"/>
      <c r="BU1011" s="14"/>
      <c r="BV1011" s="14"/>
      <c r="BW1011" s="14"/>
      <c r="BX1011" s="14"/>
      <c r="BY1011" s="14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M1011" s="14"/>
    </row>
    <row r="1012" spans="1:91" ht="14.25" customHeight="1" x14ac:dyDescent="0.25">
      <c r="A1012" s="13"/>
      <c r="B1012" s="14"/>
      <c r="C1012" s="14"/>
      <c r="D1012" s="14"/>
      <c r="E1012" s="24"/>
      <c r="F1012" s="25"/>
      <c r="G1012" s="308"/>
      <c r="H1012" s="45"/>
      <c r="I1012" s="14"/>
      <c r="J1012" s="14"/>
      <c r="K1012" s="7"/>
      <c r="L1012" s="14"/>
      <c r="M1012" s="14"/>
      <c r="N1012" s="7"/>
      <c r="O1012" s="21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4"/>
      <c r="BT1012" s="14"/>
      <c r="BU1012" s="14"/>
      <c r="BV1012" s="14"/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M1012" s="14"/>
    </row>
    <row r="1013" spans="1:91" ht="14.25" customHeight="1" x14ac:dyDescent="0.25">
      <c r="A1013" s="13"/>
      <c r="B1013" s="14"/>
      <c r="C1013" s="14"/>
      <c r="D1013" s="14"/>
      <c r="E1013" s="24"/>
      <c r="F1013" s="25"/>
      <c r="G1013" s="308"/>
      <c r="H1013" s="45"/>
      <c r="I1013" s="14"/>
      <c r="J1013" s="14"/>
      <c r="K1013" s="7"/>
      <c r="L1013" s="14"/>
      <c r="M1013" s="14"/>
      <c r="N1013" s="7"/>
      <c r="O1013" s="21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4"/>
      <c r="BT1013" s="14"/>
      <c r="BU1013" s="14"/>
      <c r="BV1013" s="14"/>
      <c r="BW1013" s="14"/>
      <c r="BX1013" s="14"/>
      <c r="BY1013" s="14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M1013" s="14"/>
    </row>
    <row r="1014" spans="1:91" ht="14.25" customHeight="1" x14ac:dyDescent="0.25">
      <c r="A1014" s="13"/>
      <c r="B1014" s="14"/>
      <c r="C1014" s="14"/>
      <c r="D1014" s="14"/>
      <c r="E1014" s="24"/>
      <c r="F1014" s="25"/>
      <c r="G1014" s="308"/>
      <c r="H1014" s="45"/>
      <c r="I1014" s="14"/>
      <c r="J1014" s="14"/>
      <c r="K1014" s="7"/>
      <c r="L1014" s="14"/>
      <c r="M1014" s="14"/>
      <c r="N1014" s="7"/>
      <c r="O1014" s="21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4"/>
      <c r="BT1014" s="14"/>
      <c r="BU1014" s="14"/>
      <c r="BV1014" s="14"/>
      <c r="BW1014" s="14"/>
      <c r="BX1014" s="14"/>
      <c r="BY1014" s="14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M1014" s="14"/>
    </row>
    <row r="1015" spans="1:91" ht="14.25" customHeight="1" x14ac:dyDescent="0.25">
      <c r="A1015" s="13"/>
      <c r="B1015" s="14"/>
      <c r="C1015" s="14"/>
      <c r="D1015" s="14"/>
      <c r="E1015" s="24"/>
      <c r="F1015" s="25"/>
      <c r="G1015" s="308"/>
      <c r="H1015" s="45"/>
      <c r="I1015" s="14"/>
      <c r="J1015" s="14"/>
      <c r="K1015" s="7"/>
      <c r="L1015" s="14"/>
      <c r="M1015" s="14"/>
      <c r="N1015" s="7"/>
      <c r="O1015" s="21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4"/>
      <c r="BT1015" s="14"/>
      <c r="BU1015" s="14"/>
      <c r="BV1015" s="14"/>
      <c r="BW1015" s="14"/>
      <c r="BX1015" s="14"/>
      <c r="BY1015" s="14"/>
      <c r="BZ1015" s="14"/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M1015" s="14"/>
    </row>
    <row r="1016" spans="1:91" ht="14.25" customHeight="1" x14ac:dyDescent="0.25">
      <c r="A1016" s="13"/>
      <c r="B1016" s="14"/>
      <c r="C1016" s="14"/>
      <c r="D1016" s="14"/>
      <c r="E1016" s="24"/>
      <c r="F1016" s="25"/>
      <c r="G1016" s="308"/>
      <c r="H1016" s="45"/>
      <c r="I1016" s="14"/>
      <c r="J1016" s="14"/>
      <c r="K1016" s="7"/>
      <c r="L1016" s="14"/>
      <c r="M1016" s="14"/>
      <c r="N1016" s="7"/>
      <c r="O1016" s="21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4"/>
      <c r="BT1016" s="14"/>
      <c r="BU1016" s="14"/>
      <c r="BV1016" s="14"/>
      <c r="BW1016" s="14"/>
      <c r="BX1016" s="14"/>
      <c r="BY1016" s="14"/>
      <c r="BZ1016" s="14"/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M1016" s="14"/>
    </row>
    <row r="1017" spans="1:91" ht="14.25" customHeight="1" x14ac:dyDescent="0.25">
      <c r="A1017" s="13"/>
      <c r="B1017" s="14"/>
      <c r="C1017" s="14"/>
      <c r="D1017" s="14"/>
      <c r="E1017" s="24"/>
      <c r="F1017" s="25"/>
      <c r="G1017" s="308"/>
      <c r="H1017" s="45"/>
      <c r="I1017" s="14"/>
      <c r="J1017" s="14"/>
      <c r="K1017" s="7"/>
      <c r="L1017" s="14"/>
      <c r="M1017" s="14"/>
      <c r="N1017" s="7"/>
      <c r="O1017" s="21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4"/>
      <c r="BT1017" s="14"/>
      <c r="BU1017" s="14"/>
      <c r="BV1017" s="14"/>
      <c r="BW1017" s="14"/>
      <c r="BX1017" s="14"/>
      <c r="BY1017" s="14"/>
      <c r="BZ1017" s="14"/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M1017" s="14"/>
    </row>
    <row r="1018" spans="1:91" ht="14.25" customHeight="1" x14ac:dyDescent="0.25">
      <c r="A1018" s="13"/>
      <c r="B1018" s="14"/>
      <c r="C1018" s="14"/>
      <c r="D1018" s="14"/>
      <c r="E1018" s="24"/>
      <c r="F1018" s="25"/>
      <c r="G1018" s="308"/>
      <c r="H1018" s="45"/>
      <c r="I1018" s="14"/>
      <c r="J1018" s="14"/>
      <c r="K1018" s="7"/>
      <c r="L1018" s="14"/>
      <c r="M1018" s="14"/>
      <c r="N1018" s="7"/>
      <c r="O1018" s="21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4"/>
      <c r="BT1018" s="14"/>
      <c r="BU1018" s="14"/>
      <c r="BV1018" s="14"/>
      <c r="BW1018" s="14"/>
      <c r="BX1018" s="14"/>
      <c r="BY1018" s="14"/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M1018" s="14"/>
    </row>
    <row r="1019" spans="1:91" ht="14.25" customHeight="1" x14ac:dyDescent="0.25">
      <c r="A1019" s="13"/>
      <c r="B1019" s="14"/>
      <c r="C1019" s="14"/>
      <c r="D1019" s="14"/>
      <c r="E1019" s="24"/>
      <c r="F1019" s="25"/>
      <c r="G1019" s="308"/>
      <c r="H1019" s="45"/>
      <c r="I1019" s="14"/>
      <c r="J1019" s="14"/>
      <c r="K1019" s="7"/>
      <c r="L1019" s="14"/>
      <c r="M1019" s="14"/>
      <c r="N1019" s="7"/>
      <c r="O1019" s="21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4"/>
      <c r="BT1019" s="14"/>
      <c r="BU1019" s="14"/>
      <c r="BV1019" s="14"/>
      <c r="BW1019" s="14"/>
      <c r="BX1019" s="14"/>
      <c r="BY1019" s="14"/>
      <c r="BZ1019" s="14"/>
      <c r="CA1019" s="14"/>
      <c r="CB1019" s="14"/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M1019" s="14"/>
    </row>
    <row r="1020" spans="1:91" ht="14.25" customHeight="1" x14ac:dyDescent="0.25">
      <c r="A1020" s="13"/>
      <c r="B1020" s="14"/>
      <c r="C1020" s="14"/>
      <c r="D1020" s="14"/>
      <c r="E1020" s="24"/>
      <c r="F1020" s="25"/>
      <c r="G1020" s="308"/>
      <c r="H1020" s="45"/>
      <c r="I1020" s="14"/>
      <c r="J1020" s="14"/>
      <c r="K1020" s="7"/>
      <c r="L1020" s="14"/>
      <c r="M1020" s="14"/>
      <c r="N1020" s="7"/>
      <c r="O1020" s="21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4"/>
      <c r="BT1020" s="14"/>
      <c r="BU1020" s="14"/>
      <c r="BV1020" s="14"/>
      <c r="BW1020" s="14"/>
      <c r="BX1020" s="14"/>
      <c r="BY1020" s="14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M1020" s="14"/>
    </row>
    <row r="1021" spans="1:91" ht="14.25" customHeight="1" x14ac:dyDescent="0.25">
      <c r="A1021" s="13"/>
      <c r="B1021" s="14"/>
      <c r="C1021" s="14"/>
      <c r="D1021" s="14"/>
      <c r="E1021" s="24"/>
      <c r="F1021" s="25"/>
      <c r="G1021" s="308"/>
      <c r="H1021" s="45"/>
      <c r="I1021" s="14"/>
      <c r="J1021" s="14"/>
      <c r="K1021" s="7"/>
      <c r="L1021" s="14"/>
      <c r="M1021" s="14"/>
      <c r="N1021" s="7"/>
      <c r="O1021" s="21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4"/>
      <c r="BT1021" s="14"/>
      <c r="BU1021" s="14"/>
      <c r="BV1021" s="14"/>
      <c r="BW1021" s="14"/>
      <c r="BX1021" s="14"/>
      <c r="BY1021" s="14"/>
      <c r="BZ1021" s="14"/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M1021" s="14"/>
    </row>
    <row r="1022" spans="1:91" ht="14.25" customHeight="1" x14ac:dyDescent="0.25">
      <c r="A1022" s="13"/>
      <c r="B1022" s="14"/>
      <c r="C1022" s="14"/>
      <c r="D1022" s="14"/>
      <c r="E1022" s="24"/>
      <c r="F1022" s="25"/>
      <c r="G1022" s="308"/>
      <c r="H1022" s="45"/>
      <c r="I1022" s="14"/>
      <c r="J1022" s="14"/>
      <c r="K1022" s="7"/>
      <c r="L1022" s="14"/>
      <c r="M1022" s="14"/>
      <c r="N1022" s="7"/>
      <c r="O1022" s="21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/>
      <c r="BU1022" s="14"/>
      <c r="BV1022" s="14"/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M1022" s="14"/>
    </row>
    <row r="1023" spans="1:91" ht="14.25" customHeight="1" x14ac:dyDescent="0.25">
      <c r="A1023" s="13"/>
      <c r="B1023" s="14"/>
      <c r="C1023" s="14"/>
      <c r="D1023" s="14"/>
      <c r="E1023" s="24"/>
      <c r="F1023" s="25"/>
      <c r="G1023" s="308"/>
      <c r="H1023" s="45"/>
      <c r="I1023" s="14"/>
      <c r="J1023" s="14"/>
      <c r="K1023" s="7"/>
      <c r="L1023" s="14"/>
      <c r="M1023" s="14"/>
      <c r="N1023" s="7"/>
      <c r="O1023" s="21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4"/>
      <c r="BT1023" s="14"/>
      <c r="BU1023" s="14"/>
      <c r="BV1023" s="14"/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</row>
    <row r="1024" spans="1:91" ht="14.25" customHeight="1" x14ac:dyDescent="0.25">
      <c r="A1024" s="13"/>
      <c r="B1024" s="14"/>
      <c r="C1024" s="14"/>
      <c r="D1024" s="14"/>
      <c r="E1024" s="24"/>
      <c r="F1024" s="25"/>
      <c r="G1024" s="308"/>
      <c r="H1024" s="45"/>
      <c r="I1024" s="14"/>
      <c r="J1024" s="14"/>
      <c r="K1024" s="7"/>
      <c r="L1024" s="14"/>
      <c r="M1024" s="14"/>
      <c r="N1024" s="7"/>
      <c r="O1024" s="21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4"/>
      <c r="BT1024" s="14"/>
      <c r="BU1024" s="14"/>
      <c r="BV1024" s="14"/>
      <c r="BW1024" s="14"/>
      <c r="BX1024" s="14"/>
      <c r="BY1024" s="14"/>
      <c r="BZ1024" s="14"/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M1024" s="14"/>
    </row>
    <row r="1025" spans="1:91" ht="14.25" customHeight="1" x14ac:dyDescent="0.25">
      <c r="A1025" s="13"/>
      <c r="B1025" s="14"/>
      <c r="C1025" s="14"/>
      <c r="D1025" s="14"/>
      <c r="E1025" s="24"/>
      <c r="F1025" s="25"/>
      <c r="G1025" s="308"/>
      <c r="H1025" s="45"/>
      <c r="I1025" s="14"/>
      <c r="J1025" s="14"/>
      <c r="K1025" s="7"/>
      <c r="L1025" s="14"/>
      <c r="M1025" s="14"/>
      <c r="N1025" s="7"/>
      <c r="O1025" s="21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4"/>
      <c r="BT1025" s="14"/>
      <c r="BU1025" s="14"/>
      <c r="BV1025" s="14"/>
      <c r="BW1025" s="14"/>
      <c r="BX1025" s="14"/>
      <c r="BY1025" s="14"/>
      <c r="BZ1025" s="14"/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M1025" s="14"/>
    </row>
    <row r="1026" spans="1:91" ht="14.25" customHeight="1" x14ac:dyDescent="0.25">
      <c r="A1026" s="13"/>
      <c r="B1026" s="14"/>
      <c r="C1026" s="14"/>
      <c r="D1026" s="14"/>
      <c r="E1026" s="24"/>
      <c r="F1026" s="25"/>
      <c r="G1026" s="308"/>
      <c r="H1026" s="45"/>
      <c r="I1026" s="14"/>
      <c r="J1026" s="14"/>
      <c r="K1026" s="7"/>
      <c r="L1026" s="14"/>
      <c r="M1026" s="14"/>
      <c r="N1026" s="7"/>
      <c r="O1026" s="21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4"/>
      <c r="BT1026" s="14"/>
      <c r="BU1026" s="14"/>
      <c r="BV1026" s="14"/>
      <c r="BW1026" s="14"/>
      <c r="BX1026" s="14"/>
      <c r="BY1026" s="14"/>
      <c r="BZ1026" s="14"/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M1026" s="14"/>
    </row>
    <row r="1027" spans="1:91" ht="14.25" customHeight="1" x14ac:dyDescent="0.25">
      <c r="A1027" s="13"/>
      <c r="B1027" s="14"/>
      <c r="C1027" s="14"/>
      <c r="D1027" s="14"/>
      <c r="E1027" s="24"/>
      <c r="F1027" s="25"/>
      <c r="G1027" s="308"/>
      <c r="H1027" s="45"/>
      <c r="I1027" s="14"/>
      <c r="J1027" s="14"/>
      <c r="K1027" s="7"/>
      <c r="L1027" s="14"/>
      <c r="M1027" s="14"/>
      <c r="N1027" s="7"/>
      <c r="O1027" s="21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4"/>
      <c r="BT1027" s="14"/>
      <c r="BU1027" s="14"/>
      <c r="BV1027" s="14"/>
      <c r="BW1027" s="14"/>
      <c r="BX1027" s="14"/>
      <c r="BY1027" s="14"/>
      <c r="BZ1027" s="14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</row>
    <row r="1028" spans="1:91" ht="14.25" customHeight="1" x14ac:dyDescent="0.25">
      <c r="A1028" s="13"/>
      <c r="B1028" s="14"/>
      <c r="C1028" s="14"/>
      <c r="D1028" s="14"/>
      <c r="E1028" s="24"/>
      <c r="F1028" s="25"/>
      <c r="G1028" s="308"/>
      <c r="H1028" s="45"/>
      <c r="I1028" s="14"/>
      <c r="J1028" s="14"/>
      <c r="K1028" s="7"/>
      <c r="L1028" s="14"/>
      <c r="M1028" s="14"/>
      <c r="N1028" s="7"/>
      <c r="O1028" s="21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4"/>
      <c r="BT1028" s="14"/>
      <c r="BU1028" s="14"/>
      <c r="BV1028" s="14"/>
      <c r="BW1028" s="14"/>
      <c r="BX1028" s="14"/>
      <c r="BY1028" s="14"/>
      <c r="BZ1028" s="14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</row>
    <row r="1029" spans="1:91" ht="14.25" customHeight="1" x14ac:dyDescent="0.25">
      <c r="A1029" s="13"/>
      <c r="B1029" s="14"/>
      <c r="C1029" s="14"/>
      <c r="D1029" s="14"/>
      <c r="E1029" s="24"/>
      <c r="F1029" s="25"/>
      <c r="G1029" s="308"/>
      <c r="H1029" s="45"/>
      <c r="I1029" s="14"/>
      <c r="J1029" s="14"/>
      <c r="K1029" s="7"/>
      <c r="L1029" s="14"/>
      <c r="M1029" s="14"/>
      <c r="N1029" s="7"/>
      <c r="O1029" s="21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4"/>
      <c r="BT1029" s="14"/>
      <c r="BU1029" s="14"/>
      <c r="BV1029" s="14"/>
      <c r="BW1029" s="14"/>
      <c r="BX1029" s="14"/>
      <c r="BY1029" s="14"/>
      <c r="BZ1029" s="14"/>
      <c r="CA1029" s="14"/>
      <c r="CB1029" s="14"/>
      <c r="CC1029" s="14"/>
      <c r="CD1029" s="14"/>
      <c r="CE1029" s="14"/>
      <c r="CF1029" s="14"/>
      <c r="CG1029" s="14"/>
      <c r="CH1029" s="14"/>
      <c r="CI1029" s="14"/>
      <c r="CJ1029" s="14"/>
      <c r="CK1029" s="14"/>
      <c r="CL1029" s="14"/>
      <c r="CM1029" s="14">
        <v>1</v>
      </c>
    </row>
    <row r="1030" spans="1:91" ht="14.25" customHeight="1" x14ac:dyDescent="0.25">
      <c r="A1030" s="13"/>
      <c r="B1030" s="14"/>
      <c r="C1030" s="14"/>
      <c r="D1030" s="14"/>
      <c r="E1030" s="24"/>
      <c r="F1030" s="25"/>
      <c r="G1030" s="308"/>
      <c r="H1030" s="45"/>
      <c r="I1030" s="14"/>
      <c r="J1030" s="14"/>
      <c r="K1030" s="7"/>
      <c r="L1030" s="14"/>
      <c r="M1030" s="14"/>
      <c r="N1030" s="7"/>
      <c r="O1030" s="21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M1030" s="14"/>
    </row>
    <row r="1031" spans="1:91" ht="14.25" customHeight="1" x14ac:dyDescent="0.25">
      <c r="A1031" s="13"/>
      <c r="B1031" s="14"/>
      <c r="C1031" s="14"/>
      <c r="D1031" s="14"/>
      <c r="E1031" s="24"/>
      <c r="F1031" s="25"/>
      <c r="G1031" s="308"/>
      <c r="H1031" s="45"/>
      <c r="I1031" s="14"/>
      <c r="J1031" s="14"/>
      <c r="K1031" s="7"/>
      <c r="L1031" s="14"/>
      <c r="M1031" s="14"/>
      <c r="N1031" s="7"/>
      <c r="O1031" s="21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4"/>
      <c r="BT1031" s="14"/>
      <c r="BU1031" s="14"/>
      <c r="BV1031" s="14"/>
      <c r="BW1031" s="14"/>
      <c r="BX1031" s="14"/>
      <c r="BY1031" s="14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M1031" s="14"/>
    </row>
    <row r="1032" spans="1:91" ht="14.25" customHeight="1" x14ac:dyDescent="0.25">
      <c r="A1032" s="13"/>
      <c r="B1032" s="14"/>
      <c r="C1032" s="14"/>
      <c r="D1032" s="14"/>
      <c r="E1032" s="24"/>
      <c r="F1032" s="25"/>
      <c r="G1032" s="308"/>
      <c r="H1032" s="45"/>
      <c r="I1032" s="14"/>
      <c r="J1032" s="14"/>
      <c r="K1032" s="7"/>
      <c r="L1032" s="14"/>
      <c r="M1032" s="14"/>
      <c r="N1032" s="7"/>
      <c r="O1032" s="21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4"/>
      <c r="BT1032" s="14"/>
      <c r="BU1032" s="14"/>
      <c r="BV1032" s="14"/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M1032" s="14"/>
    </row>
    <row r="1033" spans="1:91" ht="14.25" customHeight="1" x14ac:dyDescent="0.25">
      <c r="A1033" s="13"/>
      <c r="B1033" s="14"/>
      <c r="C1033" s="14"/>
      <c r="D1033" s="14"/>
      <c r="E1033" s="24"/>
      <c r="F1033" s="25"/>
      <c r="G1033" s="308"/>
      <c r="H1033" s="45"/>
      <c r="I1033" s="14"/>
      <c r="J1033" s="14"/>
      <c r="K1033" s="7"/>
      <c r="L1033" s="14"/>
      <c r="M1033" s="14"/>
      <c r="N1033" s="7"/>
      <c r="O1033" s="21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4"/>
      <c r="BT1033" s="14"/>
      <c r="BU1033" s="14"/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M1033" s="14"/>
    </row>
    <row r="1034" spans="1:91" ht="14.25" customHeight="1" x14ac:dyDescent="0.25">
      <c r="A1034" s="13"/>
      <c r="B1034" s="14"/>
      <c r="C1034" s="14"/>
      <c r="D1034" s="14"/>
      <c r="E1034" s="24"/>
      <c r="F1034" s="25"/>
      <c r="G1034" s="308"/>
      <c r="H1034" s="45"/>
      <c r="I1034" s="14"/>
      <c r="J1034" s="14"/>
      <c r="K1034" s="7"/>
      <c r="L1034" s="14"/>
      <c r="M1034" s="14"/>
      <c r="N1034" s="7"/>
      <c r="O1034" s="21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4"/>
      <c r="BT1034" s="14"/>
      <c r="BU1034" s="14"/>
      <c r="BV1034" s="14"/>
      <c r="BW1034" s="14"/>
      <c r="BX1034" s="14"/>
      <c r="BY1034" s="14"/>
      <c r="BZ1034" s="14"/>
      <c r="CA1034" s="14"/>
      <c r="CB1034" s="14"/>
      <c r="CC1034" s="14"/>
      <c r="CD1034" s="14"/>
      <c r="CE1034" s="14"/>
      <c r="CF1034" s="14"/>
      <c r="CG1034" s="14"/>
      <c r="CH1034" s="14"/>
      <c r="CI1034" s="14"/>
      <c r="CJ1034" s="14"/>
      <c r="CK1034" s="14"/>
      <c r="CL1034" s="14"/>
      <c r="CM1034" s="14"/>
    </row>
    <row r="1035" spans="1:91" ht="14.25" customHeight="1" x14ac:dyDescent="0.25">
      <c r="A1035" s="13"/>
      <c r="B1035" s="14"/>
      <c r="C1035" s="14"/>
      <c r="D1035" s="14"/>
      <c r="E1035" s="24"/>
      <c r="F1035" s="25"/>
      <c r="G1035" s="308"/>
      <c r="H1035" s="45"/>
      <c r="I1035" s="14"/>
      <c r="J1035" s="14"/>
      <c r="K1035" s="7"/>
      <c r="L1035" s="14"/>
      <c r="M1035" s="14"/>
      <c r="N1035" s="7"/>
      <c r="O1035" s="21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4"/>
      <c r="BT1035" s="14"/>
      <c r="BU1035" s="14"/>
      <c r="BV1035" s="14"/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M1035" s="14"/>
    </row>
    <row r="1036" spans="1:91" ht="14.25" customHeight="1" x14ac:dyDescent="0.25">
      <c r="A1036" s="13"/>
      <c r="B1036" s="14"/>
      <c r="C1036" s="14"/>
      <c r="D1036" s="14"/>
      <c r="E1036" s="24"/>
      <c r="F1036" s="25"/>
      <c r="G1036" s="308"/>
      <c r="H1036" s="45"/>
      <c r="I1036" s="14"/>
      <c r="J1036" s="14"/>
      <c r="K1036" s="7"/>
      <c r="L1036" s="14"/>
      <c r="M1036" s="14"/>
      <c r="N1036" s="7"/>
      <c r="O1036" s="21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M1036" s="14"/>
    </row>
    <row r="1037" spans="1:91" ht="14.25" customHeight="1" x14ac:dyDescent="0.25">
      <c r="A1037" s="13"/>
      <c r="B1037" s="14"/>
      <c r="C1037" s="14"/>
      <c r="D1037" s="14"/>
      <c r="E1037" s="24"/>
      <c r="F1037" s="25"/>
      <c r="G1037" s="308"/>
      <c r="H1037" s="45"/>
      <c r="I1037" s="14"/>
      <c r="J1037" s="14"/>
      <c r="K1037" s="7"/>
      <c r="L1037" s="14"/>
      <c r="M1037" s="14"/>
      <c r="N1037" s="7"/>
      <c r="O1037" s="21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4"/>
      <c r="BT1037" s="14"/>
      <c r="BU1037" s="14"/>
      <c r="BV1037" s="14"/>
      <c r="BW1037" s="14"/>
      <c r="BX1037" s="14"/>
      <c r="BY1037" s="14"/>
      <c r="BZ1037" s="14"/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M1037" s="14"/>
    </row>
    <row r="1038" spans="1:91" ht="14.25" customHeight="1" x14ac:dyDescent="0.25">
      <c r="A1038" s="13"/>
      <c r="B1038" s="14"/>
      <c r="C1038" s="14"/>
      <c r="D1038" s="14"/>
      <c r="E1038" s="24"/>
      <c r="F1038" s="25"/>
      <c r="G1038" s="308"/>
      <c r="H1038" s="45"/>
      <c r="I1038" s="14"/>
      <c r="J1038" s="14"/>
      <c r="K1038" s="7"/>
      <c r="L1038" s="14"/>
      <c r="M1038" s="14"/>
      <c r="N1038" s="7"/>
      <c r="O1038" s="21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4"/>
      <c r="BT1038" s="14"/>
      <c r="BU1038" s="14"/>
      <c r="BV1038" s="14"/>
      <c r="BW1038" s="14"/>
      <c r="BX1038" s="14"/>
      <c r="BY1038" s="14"/>
      <c r="BZ1038" s="14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M1038" s="14"/>
    </row>
    <row r="1039" spans="1:91" ht="14.25" customHeight="1" x14ac:dyDescent="0.25">
      <c r="A1039" s="13"/>
      <c r="B1039" s="14"/>
      <c r="C1039" s="14"/>
      <c r="D1039" s="14"/>
      <c r="E1039" s="24"/>
      <c r="F1039" s="25"/>
      <c r="G1039" s="308"/>
      <c r="H1039" s="45"/>
      <c r="I1039" s="14"/>
      <c r="J1039" s="14"/>
      <c r="K1039" s="7"/>
      <c r="L1039" s="14"/>
      <c r="M1039" s="14"/>
      <c r="N1039" s="7"/>
      <c r="O1039" s="21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4"/>
      <c r="BT1039" s="14"/>
      <c r="BU1039" s="14"/>
      <c r="BV1039" s="14"/>
      <c r="BW1039" s="14"/>
      <c r="BX1039" s="14"/>
      <c r="BY1039" s="14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M1039" s="14"/>
    </row>
    <row r="1040" spans="1:91" ht="14.25" customHeight="1" x14ac:dyDescent="0.25">
      <c r="A1040" s="13"/>
      <c r="B1040" s="14"/>
      <c r="C1040" s="14"/>
      <c r="D1040" s="14"/>
      <c r="E1040" s="24"/>
      <c r="F1040" s="25"/>
      <c r="G1040" s="308"/>
      <c r="H1040" s="45"/>
      <c r="I1040" s="14"/>
      <c r="J1040" s="14"/>
      <c r="K1040" s="7"/>
      <c r="L1040" s="14"/>
      <c r="M1040" s="14"/>
      <c r="N1040" s="7"/>
      <c r="O1040" s="21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4"/>
      <c r="BT1040" s="14"/>
      <c r="BU1040" s="14"/>
      <c r="BV1040" s="14"/>
      <c r="BW1040" s="14"/>
      <c r="BX1040" s="14"/>
      <c r="BY1040" s="14"/>
      <c r="BZ1040" s="14"/>
      <c r="CA1040" s="14"/>
      <c r="CB1040" s="14"/>
      <c r="CC1040" s="14"/>
      <c r="CD1040" s="14"/>
      <c r="CE1040" s="14"/>
      <c r="CF1040" s="14"/>
      <c r="CG1040" s="14"/>
      <c r="CH1040" s="14"/>
      <c r="CI1040" s="14"/>
      <c r="CJ1040" s="14"/>
      <c r="CK1040" s="14"/>
      <c r="CL1040" s="14"/>
      <c r="CM1040" s="14"/>
    </row>
    <row r="1041" spans="1:91" ht="14.25" customHeight="1" x14ac:dyDescent="0.25">
      <c r="A1041" s="13"/>
      <c r="B1041" s="14"/>
      <c r="C1041" s="14"/>
      <c r="D1041" s="14"/>
      <c r="E1041" s="24"/>
      <c r="F1041" s="25"/>
      <c r="G1041" s="308"/>
      <c r="H1041" s="45"/>
      <c r="I1041" s="14"/>
      <c r="J1041" s="14"/>
      <c r="K1041" s="7"/>
      <c r="L1041" s="14"/>
      <c r="M1041" s="14"/>
      <c r="N1041" s="7"/>
      <c r="O1041" s="21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4"/>
      <c r="BT1041" s="14"/>
      <c r="BU1041" s="14"/>
      <c r="BV1041" s="14"/>
      <c r="BW1041" s="14"/>
      <c r="BX1041" s="14"/>
      <c r="BY1041" s="14"/>
      <c r="BZ1041" s="14"/>
      <c r="CA1041" s="14"/>
      <c r="CB1041" s="14"/>
      <c r="CC1041" s="14"/>
      <c r="CD1041" s="14"/>
      <c r="CE1041" s="14"/>
      <c r="CF1041" s="14"/>
      <c r="CG1041" s="14"/>
      <c r="CH1041" s="14"/>
      <c r="CI1041" s="14"/>
      <c r="CJ1041" s="14"/>
      <c r="CK1041" s="14"/>
      <c r="CL1041" s="14"/>
      <c r="CM1041" s="14"/>
    </row>
    <row r="1042" spans="1:91" ht="14.25" customHeight="1" x14ac:dyDescent="0.25">
      <c r="A1042" s="13"/>
      <c r="B1042" s="14"/>
      <c r="C1042" s="14"/>
      <c r="D1042" s="14"/>
      <c r="E1042" s="24"/>
      <c r="F1042" s="25"/>
      <c r="G1042" s="308"/>
      <c r="H1042" s="45"/>
      <c r="I1042" s="14"/>
      <c r="J1042" s="14"/>
      <c r="K1042" s="7"/>
      <c r="L1042" s="14"/>
      <c r="M1042" s="14"/>
      <c r="N1042" s="7"/>
      <c r="O1042" s="21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4"/>
      <c r="BT1042" s="14"/>
      <c r="BU1042" s="14"/>
      <c r="BV1042" s="14"/>
      <c r="BW1042" s="14"/>
      <c r="BX1042" s="14"/>
      <c r="BY1042" s="14"/>
      <c r="BZ1042" s="14"/>
      <c r="CA1042" s="14"/>
      <c r="CB1042" s="14"/>
      <c r="CC1042" s="14"/>
      <c r="CD1042" s="14"/>
      <c r="CE1042" s="14"/>
      <c r="CF1042" s="14"/>
      <c r="CG1042" s="14"/>
      <c r="CH1042" s="14"/>
      <c r="CI1042" s="14"/>
      <c r="CJ1042" s="14"/>
      <c r="CK1042" s="14"/>
      <c r="CL1042" s="14"/>
      <c r="CM1042" s="14"/>
    </row>
    <row r="1043" spans="1:91" ht="14.25" customHeight="1" x14ac:dyDescent="0.25">
      <c r="A1043" s="13"/>
      <c r="B1043" s="14"/>
      <c r="C1043" s="14"/>
      <c r="D1043" s="14"/>
      <c r="E1043" s="24"/>
      <c r="F1043" s="25"/>
      <c r="G1043" s="308"/>
      <c r="H1043" s="45"/>
      <c r="I1043" s="14"/>
      <c r="J1043" s="14"/>
      <c r="K1043" s="7"/>
      <c r="L1043" s="14"/>
      <c r="M1043" s="14"/>
      <c r="N1043" s="7"/>
      <c r="O1043" s="21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4"/>
      <c r="BT1043" s="14"/>
      <c r="BU1043" s="14"/>
      <c r="BV1043" s="14"/>
      <c r="BW1043" s="14"/>
      <c r="BX1043" s="14"/>
      <c r="BY1043" s="14"/>
      <c r="BZ1043" s="14"/>
      <c r="CA1043" s="14"/>
      <c r="CB1043" s="14"/>
      <c r="CC1043" s="14"/>
      <c r="CD1043" s="14"/>
      <c r="CE1043" s="14"/>
      <c r="CF1043" s="14"/>
      <c r="CG1043" s="14"/>
      <c r="CH1043" s="14"/>
      <c r="CI1043" s="14"/>
      <c r="CJ1043" s="14"/>
      <c r="CK1043" s="14"/>
      <c r="CL1043" s="14"/>
      <c r="CM1043" s="14"/>
    </row>
    <row r="1044" spans="1:91" ht="14.25" customHeight="1" x14ac:dyDescent="0.25">
      <c r="A1044" s="13"/>
      <c r="B1044" s="14"/>
      <c r="C1044" s="14"/>
      <c r="D1044" s="14"/>
      <c r="E1044" s="24"/>
      <c r="F1044" s="25"/>
      <c r="G1044" s="308"/>
      <c r="H1044" s="45"/>
      <c r="I1044" s="14"/>
      <c r="J1044" s="14"/>
      <c r="K1044" s="7"/>
      <c r="L1044" s="14"/>
      <c r="M1044" s="14"/>
      <c r="N1044" s="7"/>
      <c r="O1044" s="21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4"/>
      <c r="BT1044" s="14"/>
      <c r="BU1044" s="14"/>
      <c r="BV1044" s="14"/>
      <c r="BW1044" s="14"/>
      <c r="BX1044" s="14"/>
      <c r="BY1044" s="14"/>
      <c r="BZ1044" s="14"/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M1044" s="14"/>
    </row>
    <row r="1045" spans="1:91" ht="14.25" customHeight="1" x14ac:dyDescent="0.25">
      <c r="A1045" s="13"/>
      <c r="B1045" s="14"/>
      <c r="C1045" s="14"/>
      <c r="D1045" s="14"/>
      <c r="E1045" s="24"/>
      <c r="F1045" s="25"/>
      <c r="G1045" s="308"/>
      <c r="H1045" s="45"/>
      <c r="I1045" s="14"/>
      <c r="J1045" s="14"/>
      <c r="K1045" s="7"/>
      <c r="L1045" s="14"/>
      <c r="M1045" s="14"/>
      <c r="N1045" s="7"/>
      <c r="O1045" s="21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4"/>
      <c r="BT1045" s="14"/>
      <c r="BU1045" s="14"/>
      <c r="BV1045" s="14"/>
      <c r="BW1045" s="14"/>
      <c r="BX1045" s="14"/>
      <c r="BY1045" s="14"/>
      <c r="BZ1045" s="14"/>
      <c r="CA1045" s="14"/>
      <c r="CB1045" s="14"/>
      <c r="CC1045" s="14"/>
      <c r="CD1045" s="14"/>
      <c r="CE1045" s="14"/>
      <c r="CF1045" s="14"/>
      <c r="CG1045" s="14"/>
      <c r="CH1045" s="14"/>
      <c r="CI1045" s="14"/>
      <c r="CJ1045" s="14"/>
      <c r="CK1045" s="14"/>
      <c r="CL1045" s="14"/>
      <c r="CM1045" s="14"/>
    </row>
    <row r="1046" spans="1:91" ht="14.25" customHeight="1" x14ac:dyDescent="0.25">
      <c r="A1046" s="13"/>
      <c r="B1046" s="14"/>
      <c r="C1046" s="14"/>
      <c r="D1046" s="14"/>
      <c r="E1046" s="24"/>
      <c r="F1046" s="25"/>
      <c r="G1046" s="308"/>
      <c r="H1046" s="45"/>
      <c r="I1046" s="14"/>
      <c r="J1046" s="14"/>
      <c r="K1046" s="7"/>
      <c r="L1046" s="14"/>
      <c r="M1046" s="14"/>
      <c r="N1046" s="7"/>
      <c r="O1046" s="21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4"/>
      <c r="BT1046" s="14"/>
      <c r="BU1046" s="14"/>
      <c r="BV1046" s="14"/>
      <c r="BW1046" s="14"/>
      <c r="BX1046" s="14"/>
      <c r="BY1046" s="14"/>
      <c r="BZ1046" s="14"/>
      <c r="CA1046" s="14"/>
      <c r="CB1046" s="14"/>
      <c r="CC1046" s="14"/>
      <c r="CD1046" s="14"/>
      <c r="CE1046" s="14"/>
      <c r="CF1046" s="14"/>
      <c r="CG1046" s="14"/>
      <c r="CH1046" s="14"/>
      <c r="CI1046" s="14"/>
      <c r="CJ1046" s="14"/>
      <c r="CK1046" s="14"/>
      <c r="CL1046" s="14"/>
      <c r="CM1046" s="14"/>
    </row>
    <row r="1047" spans="1:91" ht="14.25" customHeight="1" x14ac:dyDescent="0.25">
      <c r="A1047" s="13"/>
      <c r="B1047" s="14"/>
      <c r="C1047" s="14"/>
      <c r="D1047" s="14"/>
      <c r="E1047" s="24"/>
      <c r="F1047" s="25"/>
      <c r="G1047" s="308"/>
      <c r="H1047" s="45"/>
      <c r="I1047" s="14"/>
      <c r="J1047" s="14"/>
      <c r="K1047" s="7"/>
      <c r="L1047" s="14"/>
      <c r="M1047" s="14"/>
      <c r="N1047" s="7"/>
      <c r="O1047" s="21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4"/>
      <c r="BT1047" s="14"/>
      <c r="BU1047" s="14"/>
      <c r="BV1047" s="14"/>
      <c r="BW1047" s="14"/>
      <c r="BX1047" s="14"/>
      <c r="BY1047" s="14"/>
      <c r="BZ1047" s="14"/>
      <c r="CA1047" s="14"/>
      <c r="CB1047" s="14"/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M1047" s="14"/>
    </row>
    <row r="1048" spans="1:91" ht="14.25" customHeight="1" x14ac:dyDescent="0.25">
      <c r="A1048" s="13"/>
      <c r="B1048" s="14"/>
      <c r="C1048" s="14"/>
      <c r="D1048" s="14"/>
      <c r="E1048" s="24"/>
      <c r="F1048" s="25"/>
      <c r="G1048" s="308"/>
      <c r="H1048" s="45"/>
      <c r="I1048" s="14"/>
      <c r="J1048" s="14"/>
      <c r="K1048" s="7"/>
      <c r="L1048" s="14"/>
      <c r="M1048" s="14"/>
      <c r="N1048" s="7"/>
      <c r="O1048" s="21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4"/>
      <c r="BT1048" s="14"/>
      <c r="BU1048" s="14"/>
      <c r="BV1048" s="14"/>
      <c r="BW1048" s="14"/>
      <c r="BX1048" s="14"/>
      <c r="BY1048" s="14"/>
      <c r="BZ1048" s="14"/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M1048" s="14"/>
    </row>
    <row r="1049" spans="1:91" ht="14.25" customHeight="1" x14ac:dyDescent="0.25">
      <c r="A1049" s="13"/>
      <c r="B1049" s="14"/>
      <c r="C1049" s="14"/>
      <c r="D1049" s="14"/>
      <c r="E1049" s="24"/>
      <c r="F1049" s="25"/>
      <c r="G1049" s="308"/>
      <c r="H1049" s="45"/>
      <c r="I1049" s="14"/>
      <c r="J1049" s="14"/>
      <c r="K1049" s="7"/>
      <c r="L1049" s="14"/>
      <c r="M1049" s="14"/>
      <c r="N1049" s="7"/>
      <c r="O1049" s="21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4"/>
      <c r="BT1049" s="14"/>
      <c r="BU1049" s="14"/>
      <c r="BV1049" s="14"/>
      <c r="BW1049" s="14"/>
      <c r="BX1049" s="14"/>
      <c r="BY1049" s="14"/>
      <c r="BZ1049" s="14"/>
      <c r="CA1049" s="14"/>
      <c r="CB1049" s="14"/>
      <c r="CC1049" s="14"/>
      <c r="CD1049" s="14"/>
      <c r="CE1049" s="14"/>
      <c r="CF1049" s="14"/>
      <c r="CG1049" s="14"/>
      <c r="CH1049" s="14"/>
      <c r="CI1049" s="14"/>
      <c r="CJ1049" s="14"/>
      <c r="CK1049" s="14"/>
      <c r="CL1049" s="14"/>
      <c r="CM1049" s="14"/>
    </row>
    <row r="1050" spans="1:91" ht="14.25" customHeight="1" x14ac:dyDescent="0.25">
      <c r="A1050" s="13"/>
      <c r="B1050" s="14"/>
      <c r="C1050" s="14"/>
      <c r="D1050" s="14"/>
      <c r="E1050" s="24"/>
      <c r="F1050" s="25"/>
      <c r="G1050" s="308"/>
      <c r="H1050" s="45"/>
      <c r="I1050" s="14"/>
      <c r="J1050" s="14"/>
      <c r="K1050" s="7"/>
      <c r="L1050" s="14"/>
      <c r="M1050" s="14"/>
      <c r="N1050" s="7"/>
      <c r="O1050" s="21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4"/>
      <c r="BT1050" s="14"/>
      <c r="BU1050" s="14"/>
      <c r="BV1050" s="14"/>
      <c r="BW1050" s="14"/>
      <c r="BX1050" s="14"/>
      <c r="BY1050" s="14"/>
      <c r="BZ1050" s="14"/>
      <c r="CA1050" s="14"/>
      <c r="CB1050" s="14"/>
      <c r="CC1050" s="14"/>
      <c r="CD1050" s="14"/>
      <c r="CE1050" s="14"/>
      <c r="CF1050" s="14"/>
      <c r="CG1050" s="14"/>
      <c r="CH1050" s="14"/>
      <c r="CI1050" s="14"/>
      <c r="CJ1050" s="14"/>
      <c r="CK1050" s="14"/>
      <c r="CL1050" s="14"/>
      <c r="CM1050" s="14"/>
    </row>
    <row r="1051" spans="1:91" ht="14.25" customHeight="1" x14ac:dyDescent="0.25">
      <c r="A1051" s="13"/>
      <c r="B1051" s="14"/>
      <c r="C1051" s="14"/>
      <c r="D1051" s="14"/>
      <c r="E1051" s="24"/>
      <c r="F1051" s="25"/>
      <c r="G1051" s="308"/>
      <c r="H1051" s="45"/>
      <c r="I1051" s="14"/>
      <c r="J1051" s="14"/>
      <c r="K1051" s="7"/>
      <c r="L1051" s="14"/>
      <c r="M1051" s="14"/>
      <c r="N1051" s="7"/>
      <c r="O1051" s="21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4"/>
      <c r="BT1051" s="14"/>
      <c r="BU1051" s="14"/>
      <c r="BV1051" s="14"/>
      <c r="BW1051" s="14"/>
      <c r="BX1051" s="14"/>
      <c r="BY1051" s="14"/>
      <c r="BZ1051" s="14"/>
      <c r="CA1051" s="14"/>
      <c r="CB1051" s="14"/>
      <c r="CC1051" s="14"/>
      <c r="CD1051" s="14"/>
      <c r="CE1051" s="14"/>
      <c r="CF1051" s="14"/>
      <c r="CG1051" s="14"/>
      <c r="CH1051" s="14"/>
      <c r="CI1051" s="14"/>
      <c r="CJ1051" s="14"/>
      <c r="CK1051" s="14"/>
      <c r="CL1051" s="14"/>
      <c r="CM1051" s="14"/>
    </row>
    <row r="1052" spans="1:91" ht="14.25" customHeight="1" x14ac:dyDescent="0.25">
      <c r="A1052" s="13"/>
      <c r="B1052" s="14"/>
      <c r="C1052" s="14"/>
      <c r="D1052" s="14"/>
      <c r="E1052" s="24"/>
      <c r="F1052" s="25"/>
      <c r="G1052" s="308"/>
      <c r="H1052" s="45"/>
      <c r="I1052" s="14"/>
      <c r="J1052" s="14"/>
      <c r="K1052" s="7"/>
      <c r="L1052" s="14"/>
      <c r="M1052" s="14"/>
      <c r="N1052" s="7"/>
      <c r="O1052" s="21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4"/>
      <c r="BT1052" s="14"/>
      <c r="BU1052" s="14"/>
      <c r="BV1052" s="14"/>
      <c r="BW1052" s="14"/>
      <c r="BX1052" s="14"/>
      <c r="BY1052" s="14"/>
      <c r="BZ1052" s="14"/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M1052" s="14"/>
    </row>
    <row r="1053" spans="1:91" ht="14.25" customHeight="1" x14ac:dyDescent="0.25">
      <c r="A1053" s="13"/>
      <c r="B1053" s="14"/>
      <c r="C1053" s="14"/>
      <c r="D1053" s="14"/>
      <c r="E1053" s="24"/>
      <c r="F1053" s="25"/>
      <c r="G1053" s="308"/>
      <c r="H1053" s="45"/>
      <c r="I1053" s="14"/>
      <c r="J1053" s="14"/>
      <c r="K1053" s="7"/>
      <c r="L1053" s="14"/>
      <c r="M1053" s="14"/>
      <c r="N1053" s="7"/>
      <c r="O1053" s="21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4"/>
      <c r="BT1053" s="14"/>
      <c r="BU1053" s="14"/>
      <c r="BV1053" s="14"/>
      <c r="BW1053" s="14"/>
      <c r="BX1053" s="14"/>
      <c r="BY1053" s="14"/>
      <c r="BZ1053" s="14"/>
      <c r="CA1053" s="14"/>
      <c r="CB1053" s="14"/>
      <c r="CC1053" s="14"/>
      <c r="CD1053" s="14"/>
      <c r="CE1053" s="14"/>
      <c r="CF1053" s="14"/>
      <c r="CG1053" s="14"/>
      <c r="CH1053" s="14"/>
      <c r="CI1053" s="14"/>
      <c r="CJ1053" s="14"/>
      <c r="CK1053" s="14"/>
      <c r="CL1053" s="14"/>
      <c r="CM1053" s="14"/>
    </row>
    <row r="1054" spans="1:91" ht="14.25" customHeight="1" x14ac:dyDescent="0.25">
      <c r="A1054" s="13"/>
      <c r="B1054" s="14"/>
      <c r="C1054" s="14"/>
      <c r="D1054" s="14"/>
      <c r="E1054" s="24"/>
      <c r="F1054" s="25"/>
      <c r="G1054" s="308"/>
      <c r="H1054" s="45"/>
      <c r="I1054" s="14"/>
      <c r="J1054" s="14"/>
      <c r="K1054" s="7"/>
      <c r="L1054" s="14"/>
      <c r="M1054" s="14"/>
      <c r="N1054" s="7"/>
      <c r="O1054" s="21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4"/>
      <c r="BT1054" s="14"/>
      <c r="BU1054" s="14"/>
      <c r="BV1054" s="14"/>
      <c r="BW1054" s="14"/>
      <c r="BX1054" s="14"/>
      <c r="BY1054" s="14"/>
      <c r="BZ1054" s="14"/>
      <c r="CA1054" s="14"/>
      <c r="CB1054" s="14"/>
      <c r="CC1054" s="14"/>
      <c r="CD1054" s="14"/>
      <c r="CE1054" s="14"/>
      <c r="CF1054" s="14"/>
      <c r="CG1054" s="14"/>
      <c r="CH1054" s="14"/>
      <c r="CI1054" s="14"/>
      <c r="CJ1054" s="14"/>
      <c r="CK1054" s="14"/>
      <c r="CL1054" s="14"/>
      <c r="CM1054" s="14"/>
    </row>
    <row r="1055" spans="1:91" ht="14.25" customHeight="1" x14ac:dyDescent="0.25">
      <c r="A1055" s="13"/>
      <c r="B1055" s="14"/>
      <c r="C1055" s="14"/>
      <c r="D1055" s="14"/>
      <c r="E1055" s="24"/>
      <c r="F1055" s="25"/>
      <c r="G1055" s="308"/>
      <c r="H1055" s="45"/>
      <c r="I1055" s="14"/>
      <c r="J1055" s="14"/>
      <c r="K1055" s="7"/>
      <c r="L1055" s="14"/>
      <c r="M1055" s="14"/>
      <c r="N1055" s="7"/>
      <c r="O1055" s="21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4"/>
      <c r="BT1055" s="14"/>
      <c r="BU1055" s="14"/>
      <c r="BV1055" s="14"/>
      <c r="BW1055" s="14"/>
      <c r="BX1055" s="14"/>
      <c r="BY1055" s="14"/>
      <c r="BZ1055" s="14"/>
      <c r="CA1055" s="14"/>
      <c r="CB1055" s="14"/>
      <c r="CC1055" s="14"/>
      <c r="CD1055" s="14"/>
      <c r="CE1055" s="14"/>
      <c r="CF1055" s="14"/>
      <c r="CG1055" s="14"/>
      <c r="CH1055" s="14"/>
      <c r="CI1055" s="14"/>
      <c r="CJ1055" s="14"/>
      <c r="CK1055" s="14"/>
      <c r="CL1055" s="14"/>
      <c r="CM1055" s="14"/>
    </row>
    <row r="1056" spans="1:91" ht="14.25" customHeight="1" x14ac:dyDescent="0.25">
      <c r="A1056" s="13"/>
      <c r="B1056" s="14"/>
      <c r="C1056" s="14"/>
      <c r="D1056" s="14"/>
      <c r="E1056" s="24"/>
      <c r="F1056" s="25"/>
      <c r="G1056" s="308"/>
      <c r="H1056" s="45"/>
      <c r="I1056" s="14"/>
      <c r="J1056" s="14"/>
      <c r="K1056" s="7"/>
      <c r="L1056" s="14"/>
      <c r="M1056" s="14"/>
      <c r="N1056" s="7"/>
      <c r="O1056" s="21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4"/>
      <c r="BT1056" s="14"/>
      <c r="BU1056" s="14"/>
      <c r="BV1056" s="14"/>
      <c r="BW1056" s="14"/>
      <c r="BX1056" s="14"/>
      <c r="BY1056" s="14"/>
      <c r="BZ1056" s="14"/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M1056" s="14"/>
    </row>
    <row r="1057" spans="1:91" ht="14.25" customHeight="1" x14ac:dyDescent="0.25">
      <c r="A1057" s="13"/>
      <c r="B1057" s="14"/>
      <c r="C1057" s="14"/>
      <c r="D1057" s="14"/>
      <c r="E1057" s="24"/>
      <c r="F1057" s="25"/>
      <c r="G1057" s="308"/>
      <c r="H1057" s="45"/>
      <c r="I1057" s="14"/>
      <c r="J1057" s="14"/>
      <c r="K1057" s="7"/>
      <c r="L1057" s="14"/>
      <c r="M1057" s="14"/>
      <c r="N1057" s="7"/>
      <c r="O1057" s="21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  <c r="BX1057" s="14"/>
      <c r="BY1057" s="14"/>
      <c r="BZ1057" s="14"/>
      <c r="CA1057" s="14"/>
      <c r="CB1057" s="14"/>
      <c r="CC1057" s="14"/>
      <c r="CD1057" s="14"/>
      <c r="CE1057" s="14"/>
      <c r="CF1057" s="14"/>
      <c r="CG1057" s="14"/>
      <c r="CH1057" s="14"/>
      <c r="CI1057" s="14"/>
      <c r="CJ1057" s="14"/>
      <c r="CK1057" s="14"/>
      <c r="CL1057" s="14"/>
      <c r="CM1057" s="14"/>
    </row>
    <row r="1058" spans="1:91" ht="14.25" customHeight="1" x14ac:dyDescent="0.25">
      <c r="A1058" s="13"/>
      <c r="B1058" s="14"/>
      <c r="C1058" s="14"/>
      <c r="D1058" s="14"/>
      <c r="E1058" s="24"/>
      <c r="F1058" s="25"/>
      <c r="G1058" s="308"/>
      <c r="H1058" s="45"/>
      <c r="I1058" s="14"/>
      <c r="J1058" s="14"/>
      <c r="K1058" s="7"/>
      <c r="L1058" s="14"/>
      <c r="M1058" s="14"/>
      <c r="N1058" s="7"/>
      <c r="O1058" s="21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  <c r="BX1058" s="14"/>
      <c r="BY1058" s="14"/>
      <c r="BZ1058" s="14"/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M1058" s="14"/>
    </row>
    <row r="1059" spans="1:91" ht="14.25" customHeight="1" x14ac:dyDescent="0.25">
      <c r="A1059" s="13"/>
      <c r="B1059" s="14"/>
      <c r="C1059" s="14"/>
      <c r="D1059" s="14"/>
      <c r="E1059" s="24"/>
      <c r="F1059" s="25"/>
      <c r="G1059" s="308"/>
      <c r="H1059" s="45"/>
      <c r="I1059" s="14"/>
      <c r="J1059" s="14"/>
      <c r="K1059" s="7"/>
      <c r="L1059" s="14"/>
      <c r="M1059" s="14"/>
      <c r="N1059" s="7"/>
      <c r="O1059" s="21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4"/>
      <c r="BT1059" s="14"/>
      <c r="BU1059" s="14"/>
      <c r="BV1059" s="14"/>
      <c r="BW1059" s="14"/>
      <c r="BX1059" s="14"/>
      <c r="BY1059" s="14"/>
      <c r="BZ1059" s="14"/>
      <c r="CA1059" s="14"/>
      <c r="CB1059" s="14"/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M1059" s="14"/>
    </row>
    <row r="1060" spans="1:91" ht="14.25" customHeight="1" x14ac:dyDescent="0.25">
      <c r="A1060" s="13"/>
      <c r="B1060" s="14"/>
      <c r="C1060" s="14"/>
      <c r="D1060" s="14"/>
      <c r="E1060" s="24"/>
      <c r="F1060" s="25"/>
      <c r="G1060" s="308"/>
      <c r="H1060" s="45"/>
      <c r="I1060" s="14"/>
      <c r="J1060" s="14"/>
      <c r="K1060" s="7"/>
      <c r="L1060" s="14"/>
      <c r="M1060" s="14"/>
      <c r="N1060" s="7"/>
      <c r="O1060" s="21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  <c r="BX1060" s="14"/>
      <c r="BY1060" s="14"/>
      <c r="BZ1060" s="14"/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M1060" s="14"/>
    </row>
    <row r="1061" spans="1:91" ht="14.25" customHeight="1" x14ac:dyDescent="0.25">
      <c r="A1061" s="13"/>
      <c r="B1061" s="14"/>
      <c r="C1061" s="14"/>
      <c r="D1061" s="14"/>
      <c r="E1061" s="24"/>
      <c r="F1061" s="25"/>
      <c r="G1061" s="308"/>
      <c r="H1061" s="45"/>
      <c r="I1061" s="14"/>
      <c r="J1061" s="14"/>
      <c r="K1061" s="7"/>
      <c r="L1061" s="14"/>
      <c r="M1061" s="14"/>
      <c r="N1061" s="7"/>
      <c r="O1061" s="21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4"/>
      <c r="BT1061" s="14"/>
      <c r="BU1061" s="14"/>
      <c r="BV1061" s="14"/>
      <c r="BW1061" s="14"/>
      <c r="BX1061" s="14"/>
      <c r="BY1061" s="14"/>
      <c r="BZ1061" s="14"/>
      <c r="CA1061" s="14"/>
      <c r="CB1061" s="14"/>
      <c r="CC1061" s="14"/>
      <c r="CD1061" s="14"/>
      <c r="CE1061" s="14"/>
      <c r="CF1061" s="14"/>
      <c r="CG1061" s="14"/>
      <c r="CH1061" s="14"/>
      <c r="CI1061" s="14"/>
      <c r="CJ1061" s="14"/>
      <c r="CK1061" s="14"/>
      <c r="CL1061" s="14"/>
      <c r="CM1061" s="14"/>
    </row>
    <row r="1062" spans="1:91" ht="14.25" customHeight="1" x14ac:dyDescent="0.25">
      <c r="A1062" s="13"/>
      <c r="B1062" s="14"/>
      <c r="C1062" s="14"/>
      <c r="D1062" s="14"/>
      <c r="E1062" s="24"/>
      <c r="F1062" s="25"/>
      <c r="G1062" s="308"/>
      <c r="H1062" s="45"/>
      <c r="I1062" s="14"/>
      <c r="J1062" s="14"/>
      <c r="K1062" s="7"/>
      <c r="L1062" s="14"/>
      <c r="M1062" s="14"/>
      <c r="N1062" s="7"/>
      <c r="O1062" s="21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4"/>
      <c r="BT1062" s="14"/>
      <c r="BU1062" s="14"/>
      <c r="BV1062" s="14"/>
      <c r="BW1062" s="14"/>
      <c r="BX1062" s="14"/>
      <c r="BY1062" s="14"/>
      <c r="BZ1062" s="14"/>
      <c r="CA1062" s="14"/>
      <c r="CB1062" s="14"/>
      <c r="CC1062" s="14"/>
      <c r="CD1062" s="14"/>
      <c r="CE1062" s="14"/>
      <c r="CF1062" s="14"/>
      <c r="CG1062" s="14"/>
      <c r="CH1062" s="14"/>
      <c r="CI1062" s="14"/>
      <c r="CJ1062" s="14"/>
      <c r="CK1062" s="14"/>
      <c r="CL1062" s="14"/>
      <c r="CM1062" s="14">
        <v>1</v>
      </c>
    </row>
    <row r="1063" spans="1:91" ht="14.25" customHeight="1" x14ac:dyDescent="0.25">
      <c r="A1063" s="13"/>
      <c r="B1063" s="14"/>
      <c r="C1063" s="14"/>
      <c r="D1063" s="14"/>
      <c r="E1063" s="24"/>
      <c r="F1063" s="25"/>
      <c r="G1063" s="308"/>
      <c r="H1063" s="45"/>
      <c r="I1063" s="14"/>
      <c r="J1063" s="14"/>
      <c r="K1063" s="7"/>
      <c r="L1063" s="14"/>
      <c r="M1063" s="14"/>
      <c r="N1063" s="7"/>
      <c r="O1063" s="21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/>
      <c r="BR1063" s="14"/>
      <c r="BS1063" s="14"/>
      <c r="BT1063" s="14"/>
      <c r="BU1063" s="14"/>
      <c r="BV1063" s="14"/>
      <c r="BW1063" s="14"/>
      <c r="BX1063" s="14"/>
      <c r="BY1063" s="14"/>
      <c r="BZ1063" s="14"/>
      <c r="CA1063" s="14"/>
      <c r="CB1063" s="14"/>
      <c r="CC1063" s="14"/>
      <c r="CD1063" s="14"/>
      <c r="CE1063" s="14"/>
      <c r="CF1063" s="14"/>
      <c r="CG1063" s="14"/>
      <c r="CH1063" s="14"/>
      <c r="CI1063" s="14"/>
      <c r="CJ1063" s="14"/>
      <c r="CK1063" s="14"/>
      <c r="CL1063" s="14"/>
      <c r="CM1063" s="14"/>
    </row>
    <row r="1064" spans="1:91" ht="14.25" customHeight="1" x14ac:dyDescent="0.25">
      <c r="A1064" s="13"/>
      <c r="B1064" s="14"/>
      <c r="C1064" s="14"/>
      <c r="D1064" s="14"/>
      <c r="E1064" s="24"/>
      <c r="F1064" s="25"/>
      <c r="G1064" s="308"/>
      <c r="H1064" s="45"/>
      <c r="I1064" s="14"/>
      <c r="J1064" s="14"/>
      <c r="K1064" s="7"/>
      <c r="L1064" s="14"/>
      <c r="M1064" s="14"/>
      <c r="N1064" s="7"/>
      <c r="O1064" s="21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4"/>
      <c r="BT1064" s="14"/>
      <c r="BU1064" s="14"/>
      <c r="BV1064" s="14"/>
      <c r="BW1064" s="14"/>
      <c r="BX1064" s="14"/>
      <c r="BY1064" s="14"/>
      <c r="BZ1064" s="14"/>
      <c r="CA1064" s="14"/>
      <c r="CB1064" s="14"/>
      <c r="CC1064" s="14"/>
      <c r="CD1064" s="14"/>
      <c r="CE1064" s="14"/>
      <c r="CF1064" s="14"/>
      <c r="CG1064" s="14"/>
      <c r="CH1064" s="14"/>
      <c r="CI1064" s="14"/>
      <c r="CJ1064" s="14"/>
      <c r="CK1064" s="14"/>
      <c r="CL1064" s="14"/>
      <c r="CM1064" s="14"/>
    </row>
    <row r="1065" spans="1:91" ht="14.25" customHeight="1" x14ac:dyDescent="0.25">
      <c r="A1065" s="13"/>
      <c r="B1065" s="14"/>
      <c r="C1065" s="14"/>
      <c r="D1065" s="14"/>
      <c r="E1065" s="24"/>
      <c r="F1065" s="25"/>
      <c r="G1065" s="308"/>
      <c r="H1065" s="45"/>
      <c r="I1065" s="14"/>
      <c r="J1065" s="14"/>
      <c r="K1065" s="7"/>
      <c r="L1065" s="14"/>
      <c r="M1065" s="14"/>
      <c r="N1065" s="7"/>
      <c r="O1065" s="21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/>
      <c r="BS1065" s="14"/>
      <c r="BT1065" s="14"/>
      <c r="BU1065" s="14"/>
      <c r="BV1065" s="14"/>
      <c r="BW1065" s="14"/>
      <c r="BX1065" s="14"/>
      <c r="BY1065" s="14"/>
      <c r="BZ1065" s="14"/>
      <c r="CA1065" s="14"/>
      <c r="CB1065" s="14"/>
      <c r="CC1065" s="14"/>
      <c r="CD1065" s="14"/>
      <c r="CE1065" s="14"/>
      <c r="CF1065" s="14"/>
      <c r="CG1065" s="14"/>
      <c r="CH1065" s="14"/>
      <c r="CI1065" s="14"/>
      <c r="CJ1065" s="14"/>
      <c r="CK1065" s="14"/>
      <c r="CL1065" s="14"/>
      <c r="CM1065" s="14"/>
    </row>
    <row r="1066" spans="1:91" ht="14.25" customHeight="1" x14ac:dyDescent="0.25">
      <c r="A1066" s="13"/>
      <c r="B1066" s="14"/>
      <c r="C1066" s="14"/>
      <c r="D1066" s="14"/>
      <c r="E1066" s="24"/>
      <c r="F1066" s="25"/>
      <c r="G1066" s="308"/>
      <c r="H1066" s="45"/>
      <c r="I1066" s="14"/>
      <c r="J1066" s="14"/>
      <c r="K1066" s="7"/>
      <c r="L1066" s="14"/>
      <c r="M1066" s="14"/>
      <c r="N1066" s="7"/>
      <c r="O1066" s="21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4"/>
      <c r="BT1066" s="14"/>
      <c r="BU1066" s="14"/>
      <c r="BV1066" s="14"/>
      <c r="BW1066" s="14"/>
      <c r="BX1066" s="14"/>
      <c r="BY1066" s="14"/>
      <c r="BZ1066" s="14"/>
      <c r="CA1066" s="14"/>
      <c r="CB1066" s="14"/>
      <c r="CC1066" s="14"/>
      <c r="CD1066" s="14"/>
      <c r="CE1066" s="14"/>
      <c r="CF1066" s="14"/>
      <c r="CG1066" s="14"/>
      <c r="CH1066" s="14"/>
      <c r="CI1066" s="14"/>
      <c r="CJ1066" s="14"/>
      <c r="CK1066" s="14"/>
      <c r="CL1066" s="14"/>
      <c r="CM1066" s="14"/>
    </row>
    <row r="1067" spans="1:91" ht="14.25" customHeight="1" x14ac:dyDescent="0.25">
      <c r="A1067" s="13"/>
      <c r="B1067" s="14"/>
      <c r="C1067" s="14"/>
      <c r="D1067" s="14"/>
      <c r="E1067" s="24"/>
      <c r="F1067" s="25"/>
      <c r="G1067" s="308"/>
      <c r="H1067" s="45"/>
      <c r="I1067" s="14"/>
      <c r="J1067" s="14"/>
      <c r="K1067" s="7"/>
      <c r="L1067" s="14"/>
      <c r="M1067" s="14"/>
      <c r="N1067" s="7"/>
      <c r="O1067" s="21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4"/>
      <c r="BT1067" s="14"/>
      <c r="BU1067" s="14"/>
      <c r="BV1067" s="14"/>
      <c r="BW1067" s="14"/>
      <c r="BX1067" s="14"/>
      <c r="BY1067" s="14"/>
      <c r="BZ1067" s="14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</row>
    <row r="1068" spans="1:91" ht="14.25" customHeight="1" x14ac:dyDescent="0.25">
      <c r="A1068" s="13"/>
      <c r="B1068" s="14"/>
      <c r="C1068" s="14"/>
      <c r="D1068" s="14"/>
      <c r="E1068" s="24"/>
      <c r="F1068" s="25"/>
      <c r="G1068" s="308"/>
      <c r="H1068" s="45"/>
      <c r="I1068" s="14"/>
      <c r="J1068" s="14"/>
      <c r="K1068" s="7"/>
      <c r="L1068" s="14"/>
      <c r="M1068" s="14"/>
      <c r="N1068" s="7"/>
      <c r="O1068" s="21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4"/>
      <c r="BT1068" s="14"/>
      <c r="BU1068" s="14"/>
      <c r="BV1068" s="14"/>
      <c r="BW1068" s="14"/>
      <c r="BX1068" s="14"/>
      <c r="BY1068" s="14"/>
      <c r="BZ1068" s="14"/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</row>
    <row r="1069" spans="1:91" ht="14.25" customHeight="1" x14ac:dyDescent="0.25">
      <c r="A1069" s="13"/>
      <c r="B1069" s="14"/>
      <c r="C1069" s="14"/>
      <c r="D1069" s="14"/>
      <c r="E1069" s="24"/>
      <c r="F1069" s="25"/>
      <c r="G1069" s="308"/>
      <c r="H1069" s="45"/>
      <c r="I1069" s="14"/>
      <c r="J1069" s="14"/>
      <c r="K1069" s="7"/>
      <c r="L1069" s="14"/>
      <c r="M1069" s="14"/>
      <c r="N1069" s="7"/>
      <c r="O1069" s="21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4"/>
      <c r="BT1069" s="14"/>
      <c r="BU1069" s="14"/>
      <c r="BV1069" s="14"/>
      <c r="BW1069" s="14"/>
      <c r="BX1069" s="14"/>
      <c r="BY1069" s="14"/>
      <c r="BZ1069" s="14"/>
      <c r="CA1069" s="14"/>
      <c r="CB1069" s="14"/>
      <c r="CC1069" s="14"/>
      <c r="CD1069" s="14"/>
      <c r="CE1069" s="14"/>
      <c r="CF1069" s="14"/>
      <c r="CG1069" s="14"/>
      <c r="CH1069" s="14"/>
      <c r="CI1069" s="14"/>
      <c r="CJ1069" s="14"/>
      <c r="CK1069" s="14"/>
      <c r="CL1069" s="14"/>
      <c r="CM1069" s="14"/>
    </row>
    <row r="1070" spans="1:91" ht="14.25" customHeight="1" x14ac:dyDescent="0.25">
      <c r="A1070" s="13"/>
      <c r="B1070" s="14"/>
      <c r="C1070" s="14"/>
      <c r="D1070" s="14"/>
      <c r="E1070" s="24"/>
      <c r="F1070" s="25"/>
      <c r="G1070" s="308"/>
      <c r="H1070" s="45"/>
      <c r="I1070" s="14"/>
      <c r="J1070" s="14"/>
      <c r="K1070" s="7"/>
      <c r="L1070" s="14"/>
      <c r="M1070" s="14"/>
      <c r="N1070" s="7"/>
      <c r="O1070" s="21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4"/>
      <c r="BT1070" s="14"/>
      <c r="BU1070" s="14"/>
      <c r="BV1070" s="14"/>
      <c r="BW1070" s="14"/>
      <c r="BX1070" s="14"/>
      <c r="BY1070" s="14"/>
      <c r="BZ1070" s="14"/>
      <c r="CA1070" s="14"/>
      <c r="CB1070" s="14"/>
      <c r="CC1070" s="14"/>
      <c r="CD1070" s="14"/>
      <c r="CE1070" s="14"/>
      <c r="CF1070" s="14"/>
      <c r="CG1070" s="14"/>
      <c r="CH1070" s="14"/>
      <c r="CI1070" s="14"/>
      <c r="CJ1070" s="14"/>
      <c r="CK1070" s="14"/>
      <c r="CL1070" s="14"/>
      <c r="CM1070" s="14"/>
    </row>
    <row r="1071" spans="1:91" ht="14.25" customHeight="1" x14ac:dyDescent="0.25">
      <c r="A1071" s="13"/>
      <c r="B1071" s="14"/>
      <c r="C1071" s="14"/>
      <c r="D1071" s="14"/>
      <c r="E1071" s="24"/>
      <c r="F1071" s="25"/>
      <c r="G1071" s="308"/>
      <c r="H1071" s="45"/>
      <c r="I1071" s="14"/>
      <c r="J1071" s="14"/>
      <c r="K1071" s="7"/>
      <c r="L1071" s="14"/>
      <c r="M1071" s="14"/>
      <c r="N1071" s="7"/>
      <c r="O1071" s="21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4"/>
      <c r="BT1071" s="14"/>
      <c r="BU1071" s="14"/>
      <c r="BV1071" s="14"/>
      <c r="BW1071" s="14"/>
      <c r="BX1071" s="14"/>
      <c r="BY1071" s="14"/>
      <c r="BZ1071" s="14"/>
      <c r="CA1071" s="14"/>
      <c r="CB1071" s="14"/>
      <c r="CC1071" s="14"/>
      <c r="CD1071" s="14"/>
      <c r="CE1071" s="14"/>
      <c r="CF1071" s="14"/>
      <c r="CG1071" s="14"/>
      <c r="CH1071" s="14"/>
      <c r="CI1071" s="14"/>
      <c r="CJ1071" s="14"/>
      <c r="CK1071" s="14"/>
      <c r="CL1071" s="14"/>
      <c r="CM1071" s="14"/>
    </row>
    <row r="1072" spans="1:91" ht="14.25" customHeight="1" x14ac:dyDescent="0.25">
      <c r="A1072" s="13"/>
      <c r="B1072" s="14"/>
      <c r="C1072" s="14"/>
      <c r="D1072" s="14"/>
      <c r="E1072" s="24"/>
      <c r="F1072" s="25"/>
      <c r="G1072" s="308"/>
      <c r="H1072" s="45"/>
      <c r="I1072" s="14"/>
      <c r="J1072" s="14"/>
      <c r="K1072" s="7"/>
      <c r="L1072" s="14"/>
      <c r="M1072" s="14"/>
      <c r="N1072" s="7"/>
      <c r="O1072" s="21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4"/>
      <c r="BT1072" s="14"/>
      <c r="BU1072" s="14"/>
      <c r="BV1072" s="14"/>
      <c r="BW1072" s="14"/>
      <c r="BX1072" s="14"/>
      <c r="BY1072" s="14"/>
      <c r="BZ1072" s="14"/>
      <c r="CA1072" s="14"/>
      <c r="CB1072" s="14"/>
      <c r="CC1072" s="14"/>
      <c r="CD1072" s="14"/>
      <c r="CE1072" s="14"/>
      <c r="CF1072" s="14"/>
      <c r="CG1072" s="14"/>
      <c r="CH1072" s="14"/>
      <c r="CI1072" s="14"/>
      <c r="CJ1072" s="14"/>
      <c r="CK1072" s="14"/>
      <c r="CL1072" s="14"/>
      <c r="CM1072" s="14"/>
    </row>
    <row r="1073" spans="1:91" ht="14.25" customHeight="1" x14ac:dyDescent="0.25">
      <c r="A1073" s="13"/>
      <c r="B1073" s="14"/>
      <c r="C1073" s="14"/>
      <c r="D1073" s="14"/>
      <c r="E1073" s="24"/>
      <c r="F1073" s="25"/>
      <c r="G1073" s="308"/>
      <c r="H1073" s="45"/>
      <c r="I1073" s="14"/>
      <c r="J1073" s="14"/>
      <c r="K1073" s="7"/>
      <c r="L1073" s="14"/>
      <c r="M1073" s="14"/>
      <c r="N1073" s="7"/>
      <c r="O1073" s="21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4"/>
      <c r="BT1073" s="14"/>
      <c r="BU1073" s="14"/>
      <c r="BV1073" s="14"/>
      <c r="BW1073" s="14"/>
      <c r="BX1073" s="14"/>
      <c r="BY1073" s="14"/>
      <c r="BZ1073" s="14"/>
      <c r="CA1073" s="14"/>
      <c r="CB1073" s="14"/>
      <c r="CC1073" s="14"/>
      <c r="CD1073" s="14"/>
      <c r="CE1073" s="14"/>
      <c r="CF1073" s="14"/>
      <c r="CG1073" s="14"/>
      <c r="CH1073" s="14"/>
      <c r="CI1073" s="14"/>
      <c r="CJ1073" s="14"/>
      <c r="CK1073" s="14"/>
      <c r="CL1073" s="14"/>
      <c r="CM1073" s="14"/>
    </row>
    <row r="1074" spans="1:91" ht="14.25" customHeight="1" x14ac:dyDescent="0.25">
      <c r="A1074" s="13"/>
      <c r="B1074" s="14"/>
      <c r="C1074" s="14"/>
      <c r="D1074" s="14"/>
      <c r="E1074" s="24"/>
      <c r="F1074" s="25"/>
      <c r="G1074" s="308"/>
      <c r="H1074" s="45"/>
      <c r="I1074" s="14"/>
      <c r="J1074" s="14"/>
      <c r="K1074" s="7"/>
      <c r="L1074" s="14"/>
      <c r="M1074" s="14"/>
      <c r="N1074" s="7"/>
      <c r="O1074" s="21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4"/>
      <c r="BT1074" s="14"/>
      <c r="BU1074" s="14"/>
      <c r="BV1074" s="14"/>
      <c r="BW1074" s="14"/>
      <c r="BX1074" s="14"/>
      <c r="BY1074" s="14"/>
      <c r="BZ1074" s="14"/>
      <c r="CA1074" s="14"/>
      <c r="CB1074" s="14"/>
      <c r="CC1074" s="14"/>
      <c r="CD1074" s="14"/>
      <c r="CE1074" s="14"/>
      <c r="CF1074" s="14"/>
      <c r="CG1074" s="14"/>
      <c r="CH1074" s="14"/>
      <c r="CI1074" s="14"/>
      <c r="CJ1074" s="14"/>
      <c r="CK1074" s="14"/>
      <c r="CL1074" s="14"/>
      <c r="CM1074" s="14"/>
    </row>
    <row r="1075" spans="1:91" ht="14.25" customHeight="1" x14ac:dyDescent="0.25">
      <c r="A1075" s="13"/>
      <c r="B1075" s="14"/>
      <c r="C1075" s="14"/>
      <c r="D1075" s="14"/>
      <c r="E1075" s="24"/>
      <c r="F1075" s="25"/>
      <c r="G1075" s="308"/>
      <c r="H1075" s="45"/>
      <c r="I1075" s="14"/>
      <c r="J1075" s="14"/>
      <c r="K1075" s="7"/>
      <c r="L1075" s="14"/>
      <c r="M1075" s="14"/>
      <c r="N1075" s="7"/>
      <c r="O1075" s="21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4"/>
      <c r="BT1075" s="14"/>
      <c r="BU1075" s="14"/>
      <c r="BV1075" s="14"/>
      <c r="BW1075" s="14"/>
      <c r="BX1075" s="14"/>
      <c r="BY1075" s="14"/>
      <c r="BZ1075" s="14"/>
      <c r="CA1075" s="14"/>
      <c r="CB1075" s="14"/>
      <c r="CC1075" s="14"/>
      <c r="CD1075" s="14"/>
      <c r="CE1075" s="14"/>
      <c r="CF1075" s="14"/>
      <c r="CG1075" s="14"/>
      <c r="CH1075" s="14"/>
      <c r="CI1075" s="14"/>
      <c r="CJ1075" s="14"/>
      <c r="CK1075" s="14"/>
      <c r="CL1075" s="14"/>
      <c r="CM1075" s="14"/>
    </row>
    <row r="1076" spans="1:91" ht="14.25" customHeight="1" x14ac:dyDescent="0.25">
      <c r="A1076" s="13"/>
      <c r="B1076" s="14"/>
      <c r="C1076" s="14"/>
      <c r="D1076" s="14"/>
      <c r="E1076" s="24"/>
      <c r="F1076" s="25"/>
      <c r="G1076" s="308"/>
      <c r="H1076" s="45"/>
      <c r="I1076" s="14"/>
      <c r="J1076" s="14"/>
      <c r="K1076" s="7"/>
      <c r="L1076" s="14"/>
      <c r="M1076" s="14"/>
      <c r="N1076" s="7"/>
      <c r="O1076" s="21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4"/>
      <c r="BT1076" s="14"/>
      <c r="BU1076" s="14"/>
      <c r="BV1076" s="14"/>
      <c r="BW1076" s="14"/>
      <c r="BX1076" s="14"/>
      <c r="BY1076" s="14"/>
      <c r="BZ1076" s="14"/>
      <c r="CA1076" s="14"/>
      <c r="CB1076" s="14"/>
      <c r="CC1076" s="14"/>
      <c r="CD1076" s="14"/>
      <c r="CE1076" s="14"/>
      <c r="CF1076" s="14"/>
      <c r="CG1076" s="14"/>
      <c r="CH1076" s="14"/>
      <c r="CI1076" s="14"/>
      <c r="CJ1076" s="14"/>
      <c r="CK1076" s="14"/>
      <c r="CL1076" s="14"/>
      <c r="CM1076" s="14"/>
    </row>
    <row r="1077" spans="1:91" ht="14.25" customHeight="1" x14ac:dyDescent="0.25">
      <c r="A1077" s="13"/>
      <c r="B1077" s="14"/>
      <c r="C1077" s="14"/>
      <c r="D1077" s="14"/>
      <c r="E1077" s="24"/>
      <c r="F1077" s="25"/>
      <c r="G1077" s="308"/>
      <c r="H1077" s="45"/>
      <c r="I1077" s="14"/>
      <c r="J1077" s="14"/>
      <c r="K1077" s="7"/>
      <c r="L1077" s="14"/>
      <c r="M1077" s="14"/>
      <c r="N1077" s="7"/>
      <c r="O1077" s="21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  <c r="BP1077" s="14"/>
      <c r="BQ1077" s="14"/>
      <c r="BR1077" s="14"/>
      <c r="BS1077" s="14"/>
      <c r="BT1077" s="14"/>
      <c r="BU1077" s="14"/>
      <c r="BV1077" s="14"/>
      <c r="BW1077" s="14"/>
      <c r="BX1077" s="14"/>
      <c r="BY1077" s="14"/>
      <c r="BZ1077" s="14"/>
      <c r="CA1077" s="14"/>
      <c r="CB1077" s="14"/>
      <c r="CC1077" s="14"/>
      <c r="CD1077" s="14"/>
      <c r="CE1077" s="14"/>
      <c r="CF1077" s="14"/>
      <c r="CG1077" s="14"/>
      <c r="CH1077" s="14"/>
      <c r="CI1077" s="14"/>
      <c r="CJ1077" s="14"/>
      <c r="CK1077" s="14"/>
      <c r="CL1077" s="14"/>
      <c r="CM1077" s="14"/>
    </row>
    <row r="1078" spans="1:91" ht="14.25" customHeight="1" x14ac:dyDescent="0.25">
      <c r="A1078" s="13"/>
      <c r="B1078" s="14"/>
      <c r="C1078" s="14"/>
      <c r="D1078" s="14"/>
      <c r="E1078" s="24"/>
      <c r="F1078" s="25"/>
      <c r="G1078" s="308"/>
      <c r="H1078" s="45"/>
      <c r="I1078" s="14"/>
      <c r="J1078" s="14"/>
      <c r="K1078" s="7"/>
      <c r="L1078" s="14"/>
      <c r="M1078" s="14"/>
      <c r="N1078" s="7"/>
      <c r="O1078" s="21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  <c r="BP1078" s="14"/>
      <c r="BQ1078" s="14"/>
      <c r="BR1078" s="14"/>
      <c r="BS1078" s="14"/>
      <c r="BT1078" s="14"/>
      <c r="BU1078" s="14"/>
      <c r="BV1078" s="14"/>
      <c r="BW1078" s="14"/>
      <c r="BX1078" s="14"/>
      <c r="BY1078" s="14"/>
      <c r="BZ1078" s="14"/>
      <c r="CA1078" s="14"/>
      <c r="CB1078" s="14"/>
      <c r="CC1078" s="14"/>
      <c r="CD1078" s="14"/>
      <c r="CE1078" s="14"/>
      <c r="CF1078" s="14"/>
      <c r="CG1078" s="14"/>
      <c r="CH1078" s="14"/>
      <c r="CI1078" s="14"/>
      <c r="CJ1078" s="14"/>
      <c r="CK1078" s="14"/>
      <c r="CL1078" s="14"/>
      <c r="CM1078" s="14"/>
    </row>
    <row r="1079" spans="1:91" ht="14.25" customHeight="1" x14ac:dyDescent="0.25">
      <c r="A1079" s="13"/>
      <c r="B1079" s="14"/>
      <c r="C1079" s="14"/>
      <c r="D1079" s="14"/>
      <c r="E1079" s="24"/>
      <c r="F1079" s="25"/>
      <c r="G1079" s="308"/>
      <c r="H1079" s="45"/>
      <c r="I1079" s="14"/>
      <c r="J1079" s="14"/>
      <c r="K1079" s="7"/>
      <c r="L1079" s="14"/>
      <c r="M1079" s="14"/>
      <c r="N1079" s="7"/>
      <c r="O1079" s="21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4"/>
      <c r="BT1079" s="14"/>
      <c r="BU1079" s="14"/>
      <c r="BV1079" s="14"/>
      <c r="BW1079" s="14"/>
      <c r="BX1079" s="14"/>
      <c r="BY1079" s="14"/>
      <c r="BZ1079" s="14"/>
      <c r="CA1079" s="14"/>
      <c r="CB1079" s="14"/>
      <c r="CC1079" s="14"/>
      <c r="CD1079" s="14"/>
      <c r="CE1079" s="14"/>
      <c r="CF1079" s="14"/>
      <c r="CG1079" s="14"/>
      <c r="CH1079" s="14"/>
      <c r="CI1079" s="14"/>
      <c r="CJ1079" s="14"/>
      <c r="CK1079" s="14"/>
      <c r="CL1079" s="14"/>
      <c r="CM1079" s="14"/>
    </row>
    <row r="1080" spans="1:91" ht="14.25" customHeight="1" x14ac:dyDescent="0.25">
      <c r="A1080" s="13"/>
      <c r="B1080" s="14"/>
      <c r="C1080" s="14"/>
      <c r="D1080" s="14"/>
      <c r="E1080" s="24"/>
      <c r="F1080" s="25"/>
      <c r="G1080" s="308"/>
      <c r="H1080" s="45"/>
      <c r="I1080" s="14"/>
      <c r="J1080" s="14"/>
      <c r="K1080" s="7"/>
      <c r="L1080" s="14"/>
      <c r="M1080" s="14"/>
      <c r="N1080" s="7"/>
      <c r="O1080" s="21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  <c r="BP1080" s="14"/>
      <c r="BQ1080" s="14"/>
      <c r="BR1080" s="14"/>
      <c r="BS1080" s="14"/>
      <c r="BT1080" s="14"/>
      <c r="BU1080" s="14"/>
      <c r="BV1080" s="14"/>
      <c r="BW1080" s="14"/>
      <c r="BX1080" s="14"/>
      <c r="BY1080" s="14"/>
      <c r="BZ1080" s="14"/>
      <c r="CA1080" s="14"/>
      <c r="CB1080" s="14"/>
      <c r="CC1080" s="14"/>
      <c r="CD1080" s="14"/>
      <c r="CE1080" s="14"/>
      <c r="CF1080" s="14"/>
      <c r="CG1080" s="14"/>
      <c r="CH1080" s="14"/>
      <c r="CI1080" s="14"/>
      <c r="CJ1080" s="14"/>
      <c r="CK1080" s="14"/>
      <c r="CL1080" s="14"/>
      <c r="CM1080" s="14"/>
    </row>
    <row r="1081" spans="1:91" ht="14.25" customHeight="1" x14ac:dyDescent="0.25">
      <c r="A1081" s="13"/>
      <c r="B1081" s="14"/>
      <c r="C1081" s="14"/>
      <c r="D1081" s="14"/>
      <c r="E1081" s="24"/>
      <c r="F1081" s="25"/>
      <c r="G1081" s="308"/>
      <c r="H1081" s="45"/>
      <c r="I1081" s="14"/>
      <c r="J1081" s="14"/>
      <c r="K1081" s="7"/>
      <c r="L1081" s="14"/>
      <c r="M1081" s="14"/>
      <c r="N1081" s="7"/>
      <c r="O1081" s="21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4"/>
      <c r="BT1081" s="14"/>
      <c r="BU1081" s="14"/>
      <c r="BV1081" s="14"/>
      <c r="BW1081" s="14"/>
      <c r="BX1081" s="14"/>
      <c r="BY1081" s="14"/>
      <c r="BZ1081" s="14"/>
      <c r="CA1081" s="14"/>
      <c r="CB1081" s="14"/>
      <c r="CC1081" s="14"/>
      <c r="CD1081" s="14"/>
      <c r="CE1081" s="14"/>
      <c r="CF1081" s="14"/>
      <c r="CG1081" s="14"/>
      <c r="CH1081" s="14"/>
      <c r="CI1081" s="14"/>
      <c r="CJ1081" s="14"/>
      <c r="CK1081" s="14"/>
      <c r="CL1081" s="14"/>
      <c r="CM1081" s="14"/>
    </row>
    <row r="1082" spans="1:91" ht="14.25" customHeight="1" x14ac:dyDescent="0.25">
      <c r="A1082" s="13"/>
      <c r="B1082" s="14"/>
      <c r="C1082" s="14"/>
      <c r="D1082" s="14"/>
      <c r="E1082" s="24"/>
      <c r="F1082" s="25"/>
      <c r="G1082" s="308"/>
      <c r="H1082" s="45"/>
      <c r="I1082" s="14"/>
      <c r="J1082" s="14"/>
      <c r="K1082" s="7"/>
      <c r="L1082" s="14"/>
      <c r="M1082" s="14"/>
      <c r="N1082" s="7"/>
      <c r="O1082" s="21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4"/>
      <c r="BT1082" s="14"/>
      <c r="BU1082" s="14"/>
      <c r="BV1082" s="14"/>
      <c r="BW1082" s="14"/>
      <c r="BX1082" s="14"/>
      <c r="BY1082" s="14"/>
      <c r="BZ1082" s="14"/>
      <c r="CA1082" s="14"/>
      <c r="CB1082" s="14"/>
      <c r="CC1082" s="14"/>
      <c r="CD1082" s="14"/>
      <c r="CE1082" s="14"/>
      <c r="CF1082" s="14"/>
      <c r="CG1082" s="14"/>
      <c r="CH1082" s="14"/>
      <c r="CI1082" s="14"/>
      <c r="CJ1082" s="14"/>
      <c r="CK1082" s="14"/>
      <c r="CL1082" s="14"/>
      <c r="CM1082" s="14"/>
    </row>
    <row r="1083" spans="1:91" ht="14.25" customHeight="1" x14ac:dyDescent="0.25">
      <c r="A1083" s="13"/>
      <c r="B1083" s="14"/>
      <c r="C1083" s="14"/>
      <c r="D1083" s="14"/>
      <c r="E1083" s="24"/>
      <c r="F1083" s="25"/>
      <c r="G1083" s="308"/>
      <c r="H1083" s="45"/>
      <c r="I1083" s="14"/>
      <c r="J1083" s="14"/>
      <c r="K1083" s="7"/>
      <c r="L1083" s="14"/>
      <c r="M1083" s="14"/>
      <c r="N1083" s="7"/>
      <c r="O1083" s="21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4"/>
      <c r="BT1083" s="14"/>
      <c r="BU1083" s="14"/>
      <c r="BV1083" s="14"/>
      <c r="BW1083" s="14"/>
      <c r="BX1083" s="14"/>
      <c r="BY1083" s="14"/>
      <c r="BZ1083" s="14"/>
      <c r="CA1083" s="14"/>
      <c r="CB1083" s="14"/>
      <c r="CC1083" s="14"/>
      <c r="CD1083" s="14"/>
      <c r="CE1083" s="14"/>
      <c r="CF1083" s="14"/>
      <c r="CG1083" s="14"/>
      <c r="CH1083" s="14"/>
      <c r="CI1083" s="14"/>
      <c r="CJ1083" s="14"/>
      <c r="CK1083" s="14"/>
      <c r="CL1083" s="14"/>
      <c r="CM1083" s="14"/>
    </row>
    <row r="1084" spans="1:91" ht="14.25" customHeight="1" x14ac:dyDescent="0.25">
      <c r="A1084" s="13"/>
      <c r="B1084" s="14"/>
      <c r="C1084" s="14"/>
      <c r="D1084" s="14"/>
      <c r="E1084" s="24"/>
      <c r="F1084" s="25"/>
      <c r="G1084" s="308"/>
      <c r="H1084" s="45"/>
      <c r="I1084" s="14"/>
      <c r="J1084" s="14"/>
      <c r="K1084" s="7"/>
      <c r="L1084" s="14"/>
      <c r="M1084" s="14"/>
      <c r="N1084" s="7"/>
      <c r="O1084" s="21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  <c r="BP1084" s="14"/>
      <c r="BQ1084" s="14"/>
      <c r="BR1084" s="14"/>
      <c r="BS1084" s="14"/>
      <c r="BT1084" s="14"/>
      <c r="BU1084" s="14"/>
      <c r="BV1084" s="14"/>
      <c r="BW1084" s="14"/>
      <c r="BX1084" s="14"/>
      <c r="BY1084" s="14"/>
      <c r="BZ1084" s="14"/>
      <c r="CA1084" s="14"/>
      <c r="CB1084" s="14"/>
      <c r="CC1084" s="14"/>
      <c r="CD1084" s="14"/>
      <c r="CE1084" s="14"/>
      <c r="CF1084" s="14"/>
      <c r="CG1084" s="14"/>
      <c r="CH1084" s="14"/>
      <c r="CI1084" s="14"/>
      <c r="CJ1084" s="14"/>
      <c r="CK1084" s="14"/>
      <c r="CL1084" s="14"/>
      <c r="CM1084" s="14"/>
    </row>
    <row r="1085" spans="1:91" ht="14.25" customHeight="1" x14ac:dyDescent="0.25">
      <c r="A1085" s="13"/>
      <c r="B1085" s="14"/>
      <c r="C1085" s="14"/>
      <c r="D1085" s="14"/>
      <c r="E1085" s="24"/>
      <c r="F1085" s="25"/>
      <c r="G1085" s="308"/>
      <c r="H1085" s="45"/>
      <c r="I1085" s="14"/>
      <c r="J1085" s="14"/>
      <c r="K1085" s="7"/>
      <c r="L1085" s="14"/>
      <c r="M1085" s="14"/>
      <c r="N1085" s="7"/>
      <c r="O1085" s="21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  <c r="BP1085" s="14"/>
      <c r="BQ1085" s="14"/>
      <c r="BR1085" s="14"/>
      <c r="BS1085" s="14"/>
      <c r="BT1085" s="14"/>
      <c r="BU1085" s="14"/>
      <c r="BV1085" s="14"/>
      <c r="BW1085" s="14"/>
      <c r="BX1085" s="14"/>
      <c r="BY1085" s="14"/>
      <c r="BZ1085" s="14"/>
      <c r="CA1085" s="14"/>
      <c r="CB1085" s="14"/>
      <c r="CC1085" s="14"/>
      <c r="CD1085" s="14"/>
      <c r="CE1085" s="14"/>
      <c r="CF1085" s="14"/>
      <c r="CG1085" s="14"/>
      <c r="CH1085" s="14"/>
      <c r="CI1085" s="14"/>
      <c r="CJ1085" s="14"/>
      <c r="CK1085" s="14"/>
      <c r="CL1085" s="14"/>
      <c r="CM1085" s="14"/>
    </row>
    <row r="1086" spans="1:91" ht="14.25" customHeight="1" x14ac:dyDescent="0.25">
      <c r="A1086" s="13"/>
      <c r="B1086" s="14"/>
      <c r="C1086" s="14"/>
      <c r="D1086" s="14"/>
      <c r="E1086" s="24"/>
      <c r="F1086" s="25"/>
      <c r="G1086" s="308"/>
      <c r="H1086" s="45"/>
      <c r="I1086" s="14"/>
      <c r="J1086" s="14"/>
      <c r="K1086" s="7"/>
      <c r="L1086" s="14"/>
      <c r="M1086" s="14"/>
      <c r="N1086" s="7"/>
      <c r="O1086" s="21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  <c r="BP1086" s="14"/>
      <c r="BQ1086" s="14"/>
      <c r="BR1086" s="14"/>
      <c r="BS1086" s="14"/>
      <c r="BT1086" s="14"/>
      <c r="BU1086" s="14"/>
      <c r="BV1086" s="14"/>
      <c r="BW1086" s="14"/>
      <c r="BX1086" s="14"/>
      <c r="BY1086" s="14"/>
      <c r="BZ1086" s="14"/>
      <c r="CA1086" s="14"/>
      <c r="CB1086" s="14"/>
      <c r="CC1086" s="14"/>
      <c r="CD1086" s="14"/>
      <c r="CE1086" s="14"/>
      <c r="CF1086" s="14"/>
      <c r="CG1086" s="14"/>
      <c r="CH1086" s="14"/>
      <c r="CI1086" s="14"/>
      <c r="CJ1086" s="14"/>
      <c r="CK1086" s="14"/>
      <c r="CL1086" s="14"/>
      <c r="CM1086" s="14"/>
    </row>
    <row r="1087" spans="1:91" ht="14.25" customHeight="1" x14ac:dyDescent="0.25">
      <c r="A1087" s="13"/>
      <c r="B1087" s="14"/>
      <c r="C1087" s="14"/>
      <c r="D1087" s="14"/>
      <c r="E1087" s="24"/>
      <c r="F1087" s="25"/>
      <c r="G1087" s="308"/>
      <c r="H1087" s="45"/>
      <c r="I1087" s="14"/>
      <c r="J1087" s="14"/>
      <c r="K1087" s="7"/>
      <c r="L1087" s="14"/>
      <c r="M1087" s="14"/>
      <c r="N1087" s="7"/>
      <c r="O1087" s="21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4"/>
      <c r="BT1087" s="14"/>
      <c r="BU1087" s="14"/>
      <c r="BV1087" s="14"/>
      <c r="BW1087" s="14"/>
      <c r="BX1087" s="14"/>
      <c r="BY1087" s="14"/>
      <c r="BZ1087" s="14"/>
      <c r="CA1087" s="14"/>
      <c r="CB1087" s="14"/>
      <c r="CC1087" s="14"/>
      <c r="CD1087" s="14"/>
      <c r="CE1087" s="14"/>
      <c r="CF1087" s="14"/>
      <c r="CG1087" s="14"/>
      <c r="CH1087" s="14"/>
      <c r="CI1087" s="14"/>
      <c r="CJ1087" s="14"/>
      <c r="CK1087" s="14"/>
      <c r="CL1087" s="14"/>
      <c r="CM1087" s="14"/>
    </row>
    <row r="1088" spans="1:91" ht="14.25" customHeight="1" x14ac:dyDescent="0.25">
      <c r="A1088" s="13"/>
      <c r="B1088" s="14"/>
      <c r="C1088" s="14"/>
      <c r="D1088" s="14"/>
      <c r="E1088" s="24"/>
      <c r="F1088" s="25"/>
      <c r="G1088" s="308"/>
      <c r="H1088" s="45"/>
      <c r="I1088" s="14"/>
      <c r="J1088" s="14"/>
      <c r="K1088" s="7"/>
      <c r="L1088" s="14"/>
      <c r="M1088" s="14"/>
      <c r="N1088" s="7"/>
      <c r="O1088" s="21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4"/>
      <c r="BT1088" s="14"/>
      <c r="BU1088" s="14"/>
      <c r="BV1088" s="14"/>
      <c r="BW1088" s="14"/>
      <c r="BX1088" s="14"/>
      <c r="BY1088" s="14"/>
      <c r="BZ1088" s="14"/>
      <c r="CA1088" s="14"/>
      <c r="CB1088" s="14"/>
      <c r="CC1088" s="14"/>
      <c r="CD1088" s="14"/>
      <c r="CE1088" s="14"/>
      <c r="CF1088" s="14"/>
      <c r="CG1088" s="14"/>
      <c r="CH1088" s="14"/>
      <c r="CI1088" s="14"/>
      <c r="CJ1088" s="14"/>
      <c r="CK1088" s="14"/>
      <c r="CL1088" s="14"/>
      <c r="CM1088" s="14"/>
    </row>
    <row r="1089" spans="1:91" ht="14.25" customHeight="1" x14ac:dyDescent="0.25">
      <c r="A1089" s="13"/>
      <c r="B1089" s="14"/>
      <c r="C1089" s="14"/>
      <c r="D1089" s="14"/>
      <c r="E1089" s="24"/>
      <c r="F1089" s="25"/>
      <c r="G1089" s="308"/>
      <c r="H1089" s="45"/>
      <c r="I1089" s="14"/>
      <c r="J1089" s="14"/>
      <c r="K1089" s="7"/>
      <c r="L1089" s="14"/>
      <c r="M1089" s="14"/>
      <c r="N1089" s="7"/>
      <c r="O1089" s="21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4"/>
      <c r="BT1089" s="14"/>
      <c r="BU1089" s="14"/>
      <c r="BV1089" s="14"/>
      <c r="BW1089" s="14"/>
      <c r="BX1089" s="14"/>
      <c r="BY1089" s="14"/>
      <c r="BZ1089" s="14"/>
      <c r="CA1089" s="14"/>
      <c r="CB1089" s="14"/>
      <c r="CC1089" s="14"/>
      <c r="CD1089" s="14"/>
      <c r="CE1089" s="14"/>
      <c r="CF1089" s="14"/>
      <c r="CG1089" s="14"/>
      <c r="CH1089" s="14"/>
      <c r="CI1089" s="14"/>
      <c r="CJ1089" s="14"/>
      <c r="CK1089" s="14"/>
      <c r="CL1089" s="14"/>
      <c r="CM1089" s="14"/>
    </row>
    <row r="1090" spans="1:91" ht="14.25" customHeight="1" x14ac:dyDescent="0.25">
      <c r="A1090" s="13"/>
      <c r="B1090" s="14"/>
      <c r="C1090" s="14"/>
      <c r="D1090" s="14"/>
      <c r="E1090" s="24"/>
      <c r="F1090" s="25"/>
      <c r="G1090" s="308"/>
      <c r="H1090" s="45"/>
      <c r="I1090" s="14"/>
      <c r="J1090" s="14"/>
      <c r="K1090" s="7"/>
      <c r="L1090" s="14"/>
      <c r="M1090" s="14"/>
      <c r="N1090" s="7"/>
      <c r="O1090" s="21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4"/>
      <c r="BT1090" s="14"/>
      <c r="BU1090" s="14"/>
      <c r="BV1090" s="14"/>
      <c r="BW1090" s="14"/>
      <c r="BX1090" s="14"/>
      <c r="BY1090" s="14"/>
      <c r="BZ1090" s="14"/>
      <c r="CA1090" s="14"/>
      <c r="CB1090" s="14"/>
      <c r="CC1090" s="14"/>
      <c r="CD1090" s="14"/>
      <c r="CE1090" s="14"/>
      <c r="CF1090" s="14"/>
      <c r="CG1090" s="14"/>
      <c r="CH1090" s="14"/>
      <c r="CI1090" s="14"/>
      <c r="CJ1090" s="14"/>
      <c r="CK1090" s="14"/>
      <c r="CL1090" s="14"/>
      <c r="CM1090" s="14"/>
    </row>
    <row r="1091" spans="1:91" ht="14.25" customHeight="1" x14ac:dyDescent="0.25">
      <c r="A1091" s="13"/>
      <c r="B1091" s="14"/>
      <c r="C1091" s="14"/>
      <c r="D1091" s="14"/>
      <c r="E1091" s="24"/>
      <c r="F1091" s="25"/>
      <c r="G1091" s="308"/>
      <c r="H1091" s="45"/>
      <c r="I1091" s="14"/>
      <c r="J1091" s="14"/>
      <c r="K1091" s="7"/>
      <c r="L1091" s="14"/>
      <c r="M1091" s="14"/>
      <c r="N1091" s="7"/>
      <c r="O1091" s="21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4"/>
      <c r="BT1091" s="14"/>
      <c r="BU1091" s="14"/>
      <c r="BV1091" s="14"/>
      <c r="BW1091" s="14"/>
      <c r="BX1091" s="14"/>
      <c r="BY1091" s="14"/>
      <c r="BZ1091" s="14"/>
      <c r="CA1091" s="14"/>
      <c r="CB1091" s="14"/>
      <c r="CC1091" s="14"/>
      <c r="CD1091" s="14"/>
      <c r="CE1091" s="14"/>
      <c r="CF1091" s="14"/>
      <c r="CG1091" s="14"/>
      <c r="CH1091" s="14"/>
      <c r="CI1091" s="14"/>
      <c r="CJ1091" s="14"/>
      <c r="CK1091" s="14"/>
      <c r="CL1091" s="14"/>
      <c r="CM1091" s="14"/>
    </row>
    <row r="1092" spans="1:91" ht="14.25" customHeight="1" x14ac:dyDescent="0.25">
      <c r="A1092" s="13"/>
      <c r="B1092" s="14"/>
      <c r="C1092" s="14"/>
      <c r="D1092" s="14"/>
      <c r="E1092" s="24"/>
      <c r="F1092" s="25"/>
      <c r="G1092" s="308"/>
      <c r="H1092" s="45"/>
      <c r="I1092" s="14"/>
      <c r="J1092" s="14"/>
      <c r="K1092" s="7"/>
      <c r="L1092" s="14"/>
      <c r="M1092" s="14"/>
      <c r="N1092" s="7"/>
      <c r="O1092" s="21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  <c r="BP1092" s="14"/>
      <c r="BQ1092" s="14"/>
      <c r="BR1092" s="14"/>
      <c r="BS1092" s="14"/>
      <c r="BT1092" s="14"/>
      <c r="BU1092" s="14"/>
      <c r="BV1092" s="14"/>
      <c r="BW1092" s="14"/>
      <c r="BX1092" s="14"/>
      <c r="BY1092" s="14"/>
      <c r="BZ1092" s="14"/>
      <c r="CA1092" s="14"/>
      <c r="CB1092" s="14"/>
      <c r="CC1092" s="14"/>
      <c r="CD1092" s="14"/>
      <c r="CE1092" s="14"/>
      <c r="CF1092" s="14"/>
      <c r="CG1092" s="14"/>
      <c r="CH1092" s="14"/>
      <c r="CI1092" s="14"/>
      <c r="CJ1092" s="14"/>
      <c r="CK1092" s="14"/>
      <c r="CL1092" s="14"/>
      <c r="CM1092" s="14"/>
    </row>
    <row r="1093" spans="1:91" ht="14.25" customHeight="1" x14ac:dyDescent="0.25">
      <c r="A1093" s="13"/>
      <c r="B1093" s="14"/>
      <c r="C1093" s="14"/>
      <c r="D1093" s="14"/>
      <c r="E1093" s="24"/>
      <c r="F1093" s="25"/>
      <c r="G1093" s="308"/>
      <c r="H1093" s="45"/>
      <c r="I1093" s="14"/>
      <c r="J1093" s="14"/>
      <c r="K1093" s="7"/>
      <c r="L1093" s="14"/>
      <c r="M1093" s="14"/>
      <c r="N1093" s="7"/>
      <c r="O1093" s="21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4"/>
      <c r="BT1093" s="14"/>
      <c r="BU1093" s="14"/>
      <c r="BV1093" s="14"/>
      <c r="BW1093" s="14"/>
      <c r="BX1093" s="14"/>
      <c r="BY1093" s="14"/>
      <c r="BZ1093" s="14"/>
      <c r="CA1093" s="14"/>
      <c r="CB1093" s="14"/>
      <c r="CC1093" s="14"/>
      <c r="CD1093" s="14"/>
      <c r="CE1093" s="14"/>
      <c r="CF1093" s="14"/>
      <c r="CG1093" s="14"/>
      <c r="CH1093" s="14"/>
      <c r="CI1093" s="14"/>
      <c r="CJ1093" s="14"/>
      <c r="CK1093" s="14"/>
      <c r="CL1093" s="14"/>
      <c r="CM1093" s="14"/>
    </row>
    <row r="1094" spans="1:91" ht="14.25" customHeight="1" x14ac:dyDescent="0.25">
      <c r="A1094" s="13"/>
      <c r="B1094" s="14"/>
      <c r="C1094" s="14"/>
      <c r="D1094" s="14"/>
      <c r="E1094" s="24"/>
      <c r="F1094" s="25"/>
      <c r="G1094" s="308"/>
      <c r="H1094" s="45"/>
      <c r="I1094" s="14"/>
      <c r="J1094" s="14"/>
      <c r="K1094" s="7"/>
      <c r="L1094" s="14"/>
      <c r="M1094" s="14"/>
      <c r="N1094" s="7"/>
      <c r="O1094" s="21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  <c r="BP1094" s="14"/>
      <c r="BQ1094" s="14"/>
      <c r="BR1094" s="14"/>
      <c r="BS1094" s="14"/>
      <c r="BT1094" s="14"/>
      <c r="BU1094" s="14"/>
      <c r="BV1094" s="14"/>
      <c r="BW1094" s="14"/>
      <c r="BX1094" s="14"/>
      <c r="BY1094" s="14"/>
      <c r="BZ1094" s="14"/>
      <c r="CA1094" s="14"/>
      <c r="CB1094" s="14"/>
      <c r="CC1094" s="14"/>
      <c r="CD1094" s="14"/>
      <c r="CE1094" s="14"/>
      <c r="CF1094" s="14"/>
      <c r="CG1094" s="14"/>
      <c r="CH1094" s="14"/>
      <c r="CI1094" s="14"/>
      <c r="CJ1094" s="14"/>
      <c r="CK1094" s="14"/>
      <c r="CL1094" s="14"/>
      <c r="CM1094" s="14"/>
    </row>
    <row r="1095" spans="1:91" ht="14.25" customHeight="1" x14ac:dyDescent="0.25">
      <c r="A1095" s="13"/>
      <c r="B1095" s="14"/>
      <c r="C1095" s="14"/>
      <c r="D1095" s="14"/>
      <c r="E1095" s="24"/>
      <c r="F1095" s="25"/>
      <c r="G1095" s="308"/>
      <c r="H1095" s="45"/>
      <c r="I1095" s="14"/>
      <c r="J1095" s="14"/>
      <c r="K1095" s="7"/>
      <c r="L1095" s="14"/>
      <c r="M1095" s="14"/>
      <c r="N1095" s="7"/>
      <c r="O1095" s="21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  <c r="BP1095" s="14"/>
      <c r="BQ1095" s="14"/>
      <c r="BR1095" s="14"/>
      <c r="BS1095" s="14"/>
      <c r="BT1095" s="14"/>
      <c r="BU1095" s="14"/>
      <c r="BV1095" s="14"/>
      <c r="BW1095" s="14"/>
      <c r="BX1095" s="14"/>
      <c r="BY1095" s="14"/>
      <c r="BZ1095" s="14"/>
      <c r="CA1095" s="14"/>
      <c r="CB1095" s="14"/>
      <c r="CC1095" s="14"/>
      <c r="CD1095" s="14"/>
      <c r="CE1095" s="14"/>
      <c r="CF1095" s="14"/>
      <c r="CG1095" s="14"/>
      <c r="CH1095" s="14"/>
      <c r="CI1095" s="14"/>
      <c r="CJ1095" s="14"/>
      <c r="CK1095" s="14"/>
      <c r="CL1095" s="14"/>
      <c r="CM1095" s="14">
        <v>1</v>
      </c>
    </row>
    <row r="1096" spans="1:91" ht="14.25" customHeight="1" x14ac:dyDescent="0.25">
      <c r="A1096" s="13"/>
      <c r="B1096" s="14"/>
      <c r="C1096" s="14"/>
      <c r="D1096" s="14"/>
      <c r="E1096" s="24"/>
      <c r="F1096" s="25"/>
      <c r="G1096" s="308"/>
      <c r="H1096" s="45"/>
      <c r="I1096" s="14"/>
      <c r="J1096" s="14"/>
      <c r="K1096" s="7"/>
      <c r="L1096" s="14"/>
      <c r="M1096" s="14"/>
      <c r="N1096" s="7"/>
      <c r="O1096" s="21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  <c r="BP1096" s="14"/>
      <c r="BQ1096" s="14"/>
      <c r="BR1096" s="14"/>
      <c r="BS1096" s="14"/>
      <c r="BT1096" s="14"/>
      <c r="BU1096" s="14"/>
      <c r="BV1096" s="14"/>
      <c r="BW1096" s="14"/>
      <c r="BX1096" s="14"/>
      <c r="BY1096" s="14"/>
      <c r="BZ1096" s="14"/>
      <c r="CA1096" s="14"/>
      <c r="CB1096" s="14"/>
      <c r="CC1096" s="14"/>
      <c r="CD1096" s="14"/>
      <c r="CE1096" s="14"/>
      <c r="CF1096" s="14"/>
      <c r="CG1096" s="14"/>
      <c r="CH1096" s="14"/>
      <c r="CI1096" s="14"/>
      <c r="CJ1096" s="14"/>
      <c r="CK1096" s="14"/>
      <c r="CL1096" s="14"/>
      <c r="CM1096" s="14"/>
    </row>
    <row r="1097" spans="1:91" ht="14.25" customHeight="1" x14ac:dyDescent="0.25">
      <c r="A1097" s="13"/>
      <c r="B1097" s="14"/>
      <c r="C1097" s="14"/>
      <c r="D1097" s="14"/>
      <c r="E1097" s="24"/>
      <c r="F1097" s="25"/>
      <c r="G1097" s="308"/>
      <c r="H1097" s="45"/>
      <c r="I1097" s="14"/>
      <c r="J1097" s="14"/>
      <c r="K1097" s="7"/>
      <c r="L1097" s="14"/>
      <c r="M1097" s="14"/>
      <c r="N1097" s="7"/>
      <c r="O1097" s="21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  <c r="BP1097" s="14"/>
      <c r="BQ1097" s="14"/>
      <c r="BR1097" s="14"/>
      <c r="BS1097" s="14"/>
      <c r="BT1097" s="14"/>
      <c r="BU1097" s="14"/>
      <c r="BV1097" s="14"/>
      <c r="BW1097" s="14"/>
      <c r="BX1097" s="14"/>
      <c r="BY1097" s="14"/>
      <c r="BZ1097" s="14"/>
      <c r="CA1097" s="14"/>
      <c r="CB1097" s="14"/>
      <c r="CC1097" s="14"/>
      <c r="CD1097" s="14"/>
      <c r="CE1097" s="14"/>
      <c r="CF1097" s="14"/>
      <c r="CG1097" s="14"/>
      <c r="CH1097" s="14"/>
      <c r="CI1097" s="14"/>
      <c r="CJ1097" s="14"/>
      <c r="CK1097" s="14"/>
      <c r="CL1097" s="14"/>
      <c r="CM1097" s="14"/>
    </row>
    <row r="1098" spans="1:91" ht="14.25" customHeight="1" x14ac:dyDescent="0.25">
      <c r="A1098" s="13"/>
      <c r="B1098" s="14"/>
      <c r="C1098" s="14"/>
      <c r="D1098" s="14"/>
      <c r="E1098" s="24"/>
      <c r="F1098" s="25"/>
      <c r="G1098" s="308"/>
      <c r="H1098" s="45"/>
      <c r="I1098" s="14"/>
      <c r="J1098" s="14"/>
      <c r="K1098" s="7"/>
      <c r="L1098" s="14"/>
      <c r="M1098" s="14"/>
      <c r="N1098" s="7"/>
      <c r="O1098" s="21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  <c r="BP1098" s="14"/>
      <c r="BQ1098" s="14"/>
      <c r="BR1098" s="14"/>
      <c r="BS1098" s="14"/>
      <c r="BT1098" s="14"/>
      <c r="BU1098" s="14"/>
      <c r="BV1098" s="14"/>
      <c r="BW1098" s="14"/>
      <c r="BX1098" s="14"/>
      <c r="BY1098" s="14"/>
      <c r="BZ1098" s="14"/>
      <c r="CA1098" s="14"/>
      <c r="CB1098" s="14"/>
      <c r="CC1098" s="14"/>
      <c r="CD1098" s="14"/>
      <c r="CE1098" s="14"/>
      <c r="CF1098" s="14"/>
      <c r="CG1098" s="14"/>
      <c r="CH1098" s="14"/>
      <c r="CI1098" s="14"/>
      <c r="CJ1098" s="14"/>
      <c r="CK1098" s="14"/>
      <c r="CL1098" s="14"/>
      <c r="CM1098" s="14"/>
    </row>
    <row r="1099" spans="1:91" ht="14.25" customHeight="1" x14ac:dyDescent="0.25">
      <c r="A1099" s="13"/>
      <c r="B1099" s="14"/>
      <c r="C1099" s="14"/>
      <c r="D1099" s="14"/>
      <c r="E1099" s="24"/>
      <c r="F1099" s="25"/>
      <c r="G1099" s="308"/>
      <c r="H1099" s="45"/>
      <c r="I1099" s="14"/>
      <c r="J1099" s="14"/>
      <c r="K1099" s="7"/>
      <c r="L1099" s="14"/>
      <c r="M1099" s="14"/>
      <c r="N1099" s="7"/>
      <c r="O1099" s="21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4"/>
      <c r="BT1099" s="14"/>
      <c r="BU1099" s="14"/>
      <c r="BV1099" s="14"/>
      <c r="BW1099" s="14"/>
      <c r="BX1099" s="14"/>
      <c r="BY1099" s="14"/>
      <c r="BZ1099" s="14"/>
      <c r="CA1099" s="14"/>
      <c r="CB1099" s="14"/>
      <c r="CC1099" s="14"/>
      <c r="CD1099" s="14"/>
      <c r="CE1099" s="14"/>
      <c r="CF1099" s="14"/>
      <c r="CG1099" s="14"/>
      <c r="CH1099" s="14"/>
      <c r="CI1099" s="14"/>
      <c r="CJ1099" s="14"/>
      <c r="CK1099" s="14"/>
      <c r="CL1099" s="14"/>
      <c r="CM1099" s="14"/>
    </row>
    <row r="1100" spans="1:91" ht="14.25" customHeight="1" x14ac:dyDescent="0.25">
      <c r="A1100" s="13"/>
      <c r="B1100" s="14"/>
      <c r="C1100" s="14"/>
      <c r="D1100" s="14"/>
      <c r="E1100" s="24"/>
      <c r="F1100" s="25"/>
      <c r="G1100" s="308"/>
      <c r="H1100" s="45"/>
      <c r="I1100" s="14"/>
      <c r="J1100" s="14"/>
      <c r="K1100" s="7"/>
      <c r="L1100" s="14"/>
      <c r="M1100" s="14"/>
      <c r="N1100" s="7"/>
      <c r="O1100" s="21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4"/>
      <c r="BT1100" s="14"/>
      <c r="BU1100" s="14"/>
      <c r="BV1100" s="14"/>
      <c r="BW1100" s="14"/>
      <c r="BX1100" s="14"/>
      <c r="BY1100" s="14"/>
      <c r="BZ1100" s="14"/>
      <c r="CA1100" s="14"/>
      <c r="CB1100" s="14"/>
      <c r="CC1100" s="14"/>
      <c r="CD1100" s="14"/>
      <c r="CE1100" s="14"/>
      <c r="CF1100" s="14"/>
      <c r="CG1100" s="14"/>
      <c r="CH1100" s="14"/>
      <c r="CI1100" s="14"/>
      <c r="CJ1100" s="14"/>
      <c r="CK1100" s="14"/>
      <c r="CL1100" s="14"/>
      <c r="CM1100" s="14"/>
    </row>
    <row r="1101" spans="1:91" ht="14.25" customHeight="1" x14ac:dyDescent="0.25">
      <c r="A1101" s="13"/>
      <c r="B1101" s="14"/>
      <c r="C1101" s="14"/>
      <c r="D1101" s="14"/>
      <c r="E1101" s="24"/>
      <c r="F1101" s="25"/>
      <c r="G1101" s="308"/>
      <c r="H1101" s="45"/>
      <c r="I1101" s="14"/>
      <c r="J1101" s="14"/>
      <c r="K1101" s="7"/>
      <c r="L1101" s="14"/>
      <c r="M1101" s="14"/>
      <c r="N1101" s="7"/>
      <c r="O1101" s="21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4"/>
      <c r="BT1101" s="14"/>
      <c r="BU1101" s="14"/>
      <c r="BV1101" s="14"/>
      <c r="BW1101" s="14"/>
      <c r="BX1101" s="14"/>
      <c r="BY1101" s="14"/>
      <c r="BZ1101" s="14"/>
      <c r="CA1101" s="14"/>
      <c r="CB1101" s="14"/>
      <c r="CC1101" s="14"/>
      <c r="CD1101" s="14"/>
      <c r="CE1101" s="14"/>
      <c r="CF1101" s="14"/>
      <c r="CG1101" s="14"/>
      <c r="CH1101" s="14"/>
      <c r="CI1101" s="14"/>
      <c r="CJ1101" s="14"/>
      <c r="CK1101" s="14"/>
      <c r="CL1101" s="14"/>
      <c r="CM1101" s="14"/>
    </row>
    <row r="1102" spans="1:91" ht="14.25" customHeight="1" x14ac:dyDescent="0.25">
      <c r="A1102" s="13"/>
      <c r="B1102" s="14"/>
      <c r="C1102" s="14"/>
      <c r="D1102" s="14"/>
      <c r="E1102" s="24"/>
      <c r="F1102" s="25"/>
      <c r="G1102" s="308"/>
      <c r="H1102" s="45"/>
      <c r="I1102" s="14"/>
      <c r="J1102" s="14"/>
      <c r="K1102" s="7"/>
      <c r="L1102" s="14"/>
      <c r="M1102" s="14"/>
      <c r="N1102" s="7"/>
      <c r="O1102" s="21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4"/>
      <c r="BT1102" s="14"/>
      <c r="BU1102" s="14"/>
      <c r="BV1102" s="14"/>
      <c r="BW1102" s="14"/>
      <c r="BX1102" s="14"/>
      <c r="BY1102" s="14"/>
      <c r="BZ1102" s="14"/>
      <c r="CA1102" s="14"/>
      <c r="CB1102" s="14"/>
      <c r="CC1102" s="14"/>
      <c r="CD1102" s="14"/>
      <c r="CE1102" s="14"/>
      <c r="CF1102" s="14"/>
      <c r="CG1102" s="14"/>
      <c r="CH1102" s="14"/>
      <c r="CI1102" s="14"/>
      <c r="CJ1102" s="14"/>
      <c r="CK1102" s="14"/>
      <c r="CL1102" s="14"/>
      <c r="CM1102" s="14"/>
    </row>
    <row r="1103" spans="1:91" ht="14.25" customHeight="1" x14ac:dyDescent="0.25">
      <c r="A1103" s="13"/>
      <c r="B1103" s="14"/>
      <c r="C1103" s="14"/>
      <c r="D1103" s="14"/>
      <c r="E1103" s="24"/>
      <c r="F1103" s="25"/>
      <c r="G1103" s="308"/>
      <c r="H1103" s="45"/>
      <c r="I1103" s="14"/>
      <c r="J1103" s="14"/>
      <c r="K1103" s="7"/>
      <c r="L1103" s="14"/>
      <c r="M1103" s="14"/>
      <c r="N1103" s="7"/>
      <c r="O1103" s="21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  <c r="BP1103" s="14"/>
      <c r="BQ1103" s="14"/>
      <c r="BR1103" s="14"/>
      <c r="BS1103" s="14"/>
      <c r="BT1103" s="14"/>
      <c r="BU1103" s="14"/>
      <c r="BV1103" s="14"/>
      <c r="BW1103" s="14"/>
      <c r="BX1103" s="14"/>
      <c r="BY1103" s="14"/>
      <c r="BZ1103" s="14"/>
      <c r="CA1103" s="14"/>
      <c r="CB1103" s="14"/>
      <c r="CC1103" s="14"/>
      <c r="CD1103" s="14"/>
      <c r="CE1103" s="14"/>
      <c r="CF1103" s="14"/>
      <c r="CG1103" s="14"/>
      <c r="CH1103" s="14"/>
      <c r="CI1103" s="14"/>
      <c r="CJ1103" s="14"/>
      <c r="CK1103" s="14"/>
      <c r="CL1103" s="14"/>
      <c r="CM1103" s="14"/>
    </row>
    <row r="1104" spans="1:91" ht="14.25" customHeight="1" x14ac:dyDescent="0.25">
      <c r="A1104" s="13"/>
      <c r="B1104" s="14"/>
      <c r="C1104" s="14"/>
      <c r="D1104" s="14"/>
      <c r="E1104" s="24"/>
      <c r="F1104" s="25"/>
      <c r="G1104" s="308"/>
      <c r="H1104" s="45"/>
      <c r="I1104" s="14"/>
      <c r="J1104" s="14"/>
      <c r="K1104" s="7"/>
      <c r="L1104" s="14"/>
      <c r="M1104" s="14"/>
      <c r="N1104" s="7"/>
      <c r="O1104" s="21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  <c r="BP1104" s="14"/>
      <c r="BQ1104" s="14"/>
      <c r="BR1104" s="14"/>
      <c r="BS1104" s="14"/>
      <c r="BT1104" s="14"/>
      <c r="BU1104" s="14"/>
      <c r="BV1104" s="14"/>
      <c r="BW1104" s="14"/>
      <c r="BX1104" s="14"/>
      <c r="BY1104" s="14"/>
      <c r="BZ1104" s="14"/>
      <c r="CA1104" s="14"/>
      <c r="CB1104" s="14"/>
      <c r="CC1104" s="14"/>
      <c r="CD1104" s="14"/>
      <c r="CE1104" s="14"/>
      <c r="CF1104" s="14"/>
      <c r="CG1104" s="14"/>
      <c r="CH1104" s="14"/>
      <c r="CI1104" s="14"/>
      <c r="CJ1104" s="14"/>
      <c r="CK1104" s="14"/>
      <c r="CL1104" s="14"/>
      <c r="CM1104" s="14"/>
    </row>
    <row r="1105" spans="1:91" ht="14.25" customHeight="1" x14ac:dyDescent="0.25">
      <c r="A1105" s="13"/>
      <c r="B1105" s="14"/>
      <c r="C1105" s="14"/>
      <c r="D1105" s="14"/>
      <c r="E1105" s="24"/>
      <c r="F1105" s="25"/>
      <c r="G1105" s="308"/>
      <c r="H1105" s="45"/>
      <c r="I1105" s="14"/>
      <c r="J1105" s="14"/>
      <c r="K1105" s="7"/>
      <c r="L1105" s="14"/>
      <c r="M1105" s="14"/>
      <c r="N1105" s="7"/>
      <c r="O1105" s="21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4"/>
      <c r="BT1105" s="14"/>
      <c r="BU1105" s="14"/>
      <c r="BV1105" s="14"/>
      <c r="BW1105" s="14"/>
      <c r="BX1105" s="14"/>
      <c r="BY1105" s="14"/>
      <c r="BZ1105" s="14"/>
      <c r="CA1105" s="14"/>
      <c r="CB1105" s="14"/>
      <c r="CC1105" s="14"/>
      <c r="CD1105" s="14"/>
      <c r="CE1105" s="14"/>
      <c r="CF1105" s="14"/>
      <c r="CG1105" s="14"/>
      <c r="CH1105" s="14"/>
      <c r="CI1105" s="14"/>
      <c r="CJ1105" s="14"/>
      <c r="CK1105" s="14"/>
      <c r="CL1105" s="14"/>
      <c r="CM1105" s="14"/>
    </row>
    <row r="1106" spans="1:91" ht="14.25" customHeight="1" x14ac:dyDescent="0.25">
      <c r="A1106" s="13"/>
      <c r="B1106" s="14"/>
      <c r="C1106" s="14"/>
      <c r="D1106" s="14"/>
      <c r="E1106" s="24"/>
      <c r="F1106" s="25"/>
      <c r="G1106" s="308"/>
      <c r="H1106" s="45"/>
      <c r="I1106" s="14"/>
      <c r="J1106" s="14"/>
      <c r="K1106" s="7"/>
      <c r="L1106" s="14"/>
      <c r="M1106" s="14"/>
      <c r="N1106" s="7"/>
      <c r="O1106" s="21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4"/>
      <c r="BT1106" s="14"/>
      <c r="BU1106" s="14"/>
      <c r="BV1106" s="14"/>
      <c r="BW1106" s="14"/>
      <c r="BX1106" s="14"/>
      <c r="BY1106" s="14"/>
      <c r="BZ1106" s="14"/>
      <c r="CA1106" s="14"/>
      <c r="CB1106" s="14"/>
      <c r="CC1106" s="14"/>
      <c r="CD1106" s="14"/>
      <c r="CE1106" s="14"/>
      <c r="CF1106" s="14"/>
      <c r="CG1106" s="14"/>
      <c r="CH1106" s="14"/>
      <c r="CI1106" s="14"/>
      <c r="CJ1106" s="14"/>
      <c r="CK1106" s="14"/>
      <c r="CL1106" s="14"/>
      <c r="CM1106" s="14"/>
    </row>
    <row r="1107" spans="1:91" ht="14.25" customHeight="1" x14ac:dyDescent="0.25">
      <c r="A1107" s="13"/>
      <c r="B1107" s="14"/>
      <c r="C1107" s="14"/>
      <c r="D1107" s="14"/>
      <c r="E1107" s="24"/>
      <c r="F1107" s="25"/>
      <c r="G1107" s="308"/>
      <c r="H1107" s="45"/>
      <c r="I1107" s="14"/>
      <c r="J1107" s="14"/>
      <c r="K1107" s="7"/>
      <c r="L1107" s="14"/>
      <c r="M1107" s="14"/>
      <c r="N1107" s="7"/>
      <c r="O1107" s="21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  <c r="BP1107" s="14"/>
      <c r="BQ1107" s="14"/>
      <c r="BR1107" s="14"/>
      <c r="BS1107" s="14"/>
      <c r="BT1107" s="14"/>
      <c r="BU1107" s="14"/>
      <c r="BV1107" s="14"/>
      <c r="BW1107" s="14"/>
      <c r="BX1107" s="14"/>
      <c r="BY1107" s="14"/>
      <c r="BZ1107" s="14"/>
      <c r="CA1107" s="14"/>
      <c r="CB1107" s="14"/>
      <c r="CC1107" s="14"/>
      <c r="CD1107" s="14"/>
      <c r="CE1107" s="14"/>
      <c r="CF1107" s="14"/>
      <c r="CG1107" s="14"/>
      <c r="CH1107" s="14"/>
      <c r="CI1107" s="14"/>
      <c r="CJ1107" s="14"/>
      <c r="CK1107" s="14"/>
      <c r="CL1107" s="14"/>
      <c r="CM1107" s="14"/>
    </row>
    <row r="1108" spans="1:91" ht="14.25" customHeight="1" x14ac:dyDescent="0.25">
      <c r="A1108" s="13"/>
      <c r="B1108" s="14"/>
      <c r="C1108" s="14"/>
      <c r="D1108" s="14"/>
      <c r="E1108" s="24"/>
      <c r="F1108" s="25"/>
      <c r="G1108" s="308"/>
      <c r="H1108" s="45"/>
      <c r="I1108" s="14"/>
      <c r="J1108" s="14"/>
      <c r="K1108" s="7"/>
      <c r="L1108" s="14"/>
      <c r="M1108" s="14"/>
      <c r="N1108" s="7"/>
      <c r="O1108" s="21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  <c r="BP1108" s="14"/>
      <c r="BQ1108" s="14"/>
      <c r="BR1108" s="14"/>
      <c r="BS1108" s="14"/>
      <c r="BT1108" s="14"/>
      <c r="BU1108" s="14"/>
      <c r="BV1108" s="14"/>
      <c r="BW1108" s="14"/>
      <c r="BX1108" s="14"/>
      <c r="BY1108" s="14"/>
      <c r="BZ1108" s="14"/>
      <c r="CA1108" s="14"/>
      <c r="CB1108" s="14"/>
      <c r="CC1108" s="14"/>
      <c r="CD1108" s="14"/>
      <c r="CE1108" s="14"/>
      <c r="CF1108" s="14"/>
      <c r="CG1108" s="14"/>
      <c r="CH1108" s="14"/>
      <c r="CI1108" s="14"/>
      <c r="CJ1108" s="14"/>
      <c r="CK1108" s="14"/>
      <c r="CL1108" s="14"/>
      <c r="CM1108" s="14"/>
    </row>
    <row r="1109" spans="1:91" ht="14.25" customHeight="1" x14ac:dyDescent="0.25">
      <c r="A1109" s="13"/>
      <c r="B1109" s="14"/>
      <c r="C1109" s="14"/>
      <c r="D1109" s="14"/>
      <c r="E1109" s="24"/>
      <c r="F1109" s="25"/>
      <c r="G1109" s="308"/>
      <c r="H1109" s="45"/>
      <c r="I1109" s="14"/>
      <c r="J1109" s="14"/>
      <c r="K1109" s="7"/>
      <c r="L1109" s="14"/>
      <c r="M1109" s="14"/>
      <c r="N1109" s="7"/>
      <c r="O1109" s="21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  <c r="BP1109" s="14"/>
      <c r="BQ1109" s="14"/>
      <c r="BR1109" s="14"/>
      <c r="BS1109" s="14"/>
      <c r="BT1109" s="14"/>
      <c r="BU1109" s="14"/>
      <c r="BV1109" s="14"/>
      <c r="BW1109" s="14"/>
      <c r="BX1109" s="14"/>
      <c r="BY1109" s="14"/>
      <c r="BZ1109" s="14"/>
      <c r="CA1109" s="14"/>
      <c r="CB1109" s="14"/>
      <c r="CC1109" s="14"/>
      <c r="CD1109" s="14"/>
      <c r="CE1109" s="14"/>
      <c r="CF1109" s="14"/>
      <c r="CG1109" s="14"/>
      <c r="CH1109" s="14"/>
      <c r="CI1109" s="14"/>
      <c r="CJ1109" s="14"/>
      <c r="CK1109" s="14"/>
      <c r="CL1109" s="14"/>
      <c r="CM1109" s="14"/>
    </row>
    <row r="1110" spans="1:91" ht="14.25" customHeight="1" x14ac:dyDescent="0.25">
      <c r="A1110" s="13"/>
      <c r="B1110" s="14"/>
      <c r="C1110" s="14"/>
      <c r="D1110" s="14"/>
      <c r="E1110" s="24"/>
      <c r="F1110" s="25"/>
      <c r="G1110" s="308"/>
      <c r="H1110" s="45"/>
      <c r="I1110" s="14"/>
      <c r="J1110" s="14"/>
      <c r="K1110" s="7"/>
      <c r="L1110" s="14"/>
      <c r="M1110" s="14"/>
      <c r="N1110" s="7"/>
      <c r="O1110" s="21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  <c r="BP1110" s="14"/>
      <c r="BQ1110" s="14"/>
      <c r="BR1110" s="14"/>
      <c r="BS1110" s="14"/>
      <c r="BT1110" s="14"/>
      <c r="BU1110" s="14"/>
      <c r="BV1110" s="14"/>
      <c r="BW1110" s="14"/>
      <c r="BX1110" s="14"/>
      <c r="BY1110" s="14"/>
      <c r="BZ1110" s="14"/>
      <c r="CA1110" s="14"/>
      <c r="CB1110" s="14"/>
      <c r="CC1110" s="14"/>
      <c r="CD1110" s="14"/>
      <c r="CE1110" s="14"/>
      <c r="CF1110" s="14"/>
      <c r="CG1110" s="14"/>
      <c r="CH1110" s="14"/>
      <c r="CI1110" s="14"/>
      <c r="CJ1110" s="14"/>
      <c r="CK1110" s="14"/>
      <c r="CL1110" s="14"/>
      <c r="CM1110" s="14"/>
    </row>
    <row r="1111" spans="1:91" ht="14.25" customHeight="1" x14ac:dyDescent="0.25">
      <c r="A1111" s="13"/>
      <c r="B1111" s="14"/>
      <c r="C1111" s="14"/>
      <c r="D1111" s="14"/>
      <c r="E1111" s="24"/>
      <c r="F1111" s="25"/>
      <c r="G1111" s="308"/>
      <c r="H1111" s="45"/>
      <c r="I1111" s="14"/>
      <c r="J1111" s="14"/>
      <c r="K1111" s="7"/>
      <c r="L1111" s="14"/>
      <c r="M1111" s="14"/>
      <c r="N1111" s="7"/>
      <c r="O1111" s="21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  <c r="BP1111" s="14"/>
      <c r="BQ1111" s="14"/>
      <c r="BR1111" s="14"/>
      <c r="BS1111" s="14"/>
      <c r="BT1111" s="14"/>
      <c r="BU1111" s="14"/>
      <c r="BV1111" s="14"/>
      <c r="BW1111" s="14"/>
      <c r="BX1111" s="14"/>
      <c r="BY1111" s="14"/>
      <c r="BZ1111" s="14"/>
      <c r="CA1111" s="14"/>
      <c r="CB1111" s="14"/>
      <c r="CC1111" s="14"/>
      <c r="CD1111" s="14"/>
      <c r="CE1111" s="14"/>
      <c r="CF1111" s="14"/>
      <c r="CG1111" s="14"/>
      <c r="CH1111" s="14"/>
      <c r="CI1111" s="14"/>
      <c r="CJ1111" s="14"/>
      <c r="CK1111" s="14"/>
      <c r="CL1111" s="14"/>
      <c r="CM1111" s="14"/>
    </row>
    <row r="1112" spans="1:91" ht="14.25" customHeight="1" x14ac:dyDescent="0.25">
      <c r="A1112" s="13"/>
      <c r="B1112" s="14"/>
      <c r="C1112" s="14"/>
      <c r="D1112" s="14"/>
      <c r="E1112" s="24"/>
      <c r="F1112" s="25"/>
      <c r="G1112" s="308"/>
      <c r="H1112" s="45"/>
      <c r="I1112" s="14"/>
      <c r="J1112" s="14"/>
      <c r="K1112" s="7"/>
      <c r="L1112" s="14"/>
      <c r="M1112" s="14"/>
      <c r="N1112" s="7"/>
      <c r="O1112" s="21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  <c r="BP1112" s="14"/>
      <c r="BQ1112" s="14"/>
      <c r="BR1112" s="14"/>
      <c r="BS1112" s="14"/>
      <c r="BT1112" s="14"/>
      <c r="BU1112" s="14"/>
      <c r="BV1112" s="14"/>
      <c r="BW1112" s="14"/>
      <c r="BX1112" s="14"/>
      <c r="BY1112" s="14"/>
      <c r="BZ1112" s="14"/>
      <c r="CA1112" s="14"/>
      <c r="CB1112" s="14"/>
      <c r="CC1112" s="14"/>
      <c r="CD1112" s="14"/>
      <c r="CE1112" s="14"/>
      <c r="CF1112" s="14"/>
      <c r="CG1112" s="14"/>
      <c r="CH1112" s="14"/>
      <c r="CI1112" s="14"/>
      <c r="CJ1112" s="14"/>
      <c r="CK1112" s="14"/>
      <c r="CL1112" s="14"/>
      <c r="CM1112" s="14"/>
    </row>
    <row r="1113" spans="1:91" ht="14.25" customHeight="1" x14ac:dyDescent="0.25">
      <c r="A1113" s="13"/>
      <c r="B1113" s="14"/>
      <c r="C1113" s="14"/>
      <c r="D1113" s="14"/>
      <c r="E1113" s="24"/>
      <c r="F1113" s="25"/>
      <c r="G1113" s="308"/>
      <c r="H1113" s="45"/>
      <c r="I1113" s="14"/>
      <c r="J1113" s="14"/>
      <c r="K1113" s="7"/>
      <c r="L1113" s="14"/>
      <c r="M1113" s="14"/>
      <c r="N1113" s="7"/>
      <c r="O1113" s="21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  <c r="BP1113" s="14"/>
      <c r="BQ1113" s="14"/>
      <c r="BR1113" s="14"/>
      <c r="BS1113" s="14"/>
      <c r="BT1113" s="14"/>
      <c r="BU1113" s="14"/>
      <c r="BV1113" s="14"/>
      <c r="BW1113" s="14"/>
      <c r="BX1113" s="14"/>
      <c r="BY1113" s="14"/>
      <c r="BZ1113" s="14"/>
      <c r="CA1113" s="14"/>
      <c r="CB1113" s="14"/>
      <c r="CC1113" s="14"/>
      <c r="CD1113" s="14"/>
      <c r="CE1113" s="14"/>
      <c r="CF1113" s="14"/>
      <c r="CG1113" s="14"/>
      <c r="CH1113" s="14"/>
      <c r="CI1113" s="14"/>
      <c r="CJ1113" s="14"/>
      <c r="CK1113" s="14"/>
      <c r="CL1113" s="14"/>
      <c r="CM1113" s="14"/>
    </row>
    <row r="1114" spans="1:91" ht="14.25" customHeight="1" x14ac:dyDescent="0.25">
      <c r="A1114" s="13"/>
      <c r="B1114" s="14"/>
      <c r="C1114" s="14"/>
      <c r="D1114" s="14"/>
      <c r="E1114" s="24"/>
      <c r="F1114" s="25"/>
      <c r="G1114" s="308"/>
      <c r="H1114" s="45"/>
      <c r="I1114" s="14"/>
      <c r="J1114" s="14"/>
      <c r="K1114" s="7"/>
      <c r="L1114" s="14"/>
      <c r="M1114" s="14"/>
      <c r="N1114" s="7"/>
      <c r="O1114" s="21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  <c r="BP1114" s="14"/>
      <c r="BQ1114" s="14"/>
      <c r="BR1114" s="14"/>
      <c r="BS1114" s="14"/>
      <c r="BT1114" s="14"/>
      <c r="BU1114" s="14"/>
      <c r="BV1114" s="14"/>
      <c r="BW1114" s="14"/>
      <c r="BX1114" s="14"/>
      <c r="BY1114" s="14"/>
      <c r="BZ1114" s="14"/>
      <c r="CA1114" s="14"/>
      <c r="CB1114" s="14"/>
      <c r="CC1114" s="14"/>
      <c r="CD1114" s="14"/>
      <c r="CE1114" s="14"/>
      <c r="CF1114" s="14"/>
      <c r="CG1114" s="14"/>
      <c r="CH1114" s="14"/>
      <c r="CI1114" s="14"/>
      <c r="CJ1114" s="14"/>
      <c r="CK1114" s="14"/>
      <c r="CL1114" s="14"/>
      <c r="CM1114" s="14"/>
    </row>
    <row r="1115" spans="1:91" ht="14.25" customHeight="1" x14ac:dyDescent="0.25">
      <c r="A1115" s="13"/>
      <c r="B1115" s="14"/>
      <c r="C1115" s="14"/>
      <c r="D1115" s="14"/>
      <c r="E1115" s="24"/>
      <c r="F1115" s="25"/>
      <c r="G1115" s="308"/>
      <c r="H1115" s="45"/>
      <c r="I1115" s="14"/>
      <c r="J1115" s="14"/>
      <c r="K1115" s="7"/>
      <c r="L1115" s="14"/>
      <c r="M1115" s="14"/>
      <c r="N1115" s="7"/>
      <c r="O1115" s="21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  <c r="BP1115" s="14"/>
      <c r="BQ1115" s="14"/>
      <c r="BR1115" s="14"/>
      <c r="BS1115" s="14"/>
      <c r="BT1115" s="14"/>
      <c r="BU1115" s="14"/>
      <c r="BV1115" s="14"/>
      <c r="BW1115" s="14"/>
      <c r="BX1115" s="14"/>
      <c r="BY1115" s="14"/>
      <c r="BZ1115" s="14"/>
      <c r="CA1115" s="14"/>
      <c r="CB1115" s="14"/>
      <c r="CC1115" s="14"/>
      <c r="CD1115" s="14"/>
      <c r="CE1115" s="14"/>
      <c r="CF1115" s="14"/>
      <c r="CG1115" s="14"/>
      <c r="CH1115" s="14"/>
      <c r="CI1115" s="14"/>
      <c r="CJ1115" s="14"/>
      <c r="CK1115" s="14"/>
      <c r="CL1115" s="14"/>
      <c r="CM1115" s="14"/>
    </row>
    <row r="1116" spans="1:91" ht="14.25" customHeight="1" x14ac:dyDescent="0.25">
      <c r="A1116" s="13"/>
      <c r="B1116" s="14"/>
      <c r="C1116" s="14"/>
      <c r="D1116" s="14"/>
      <c r="E1116" s="24"/>
      <c r="F1116" s="25"/>
      <c r="G1116" s="308"/>
      <c r="H1116" s="45"/>
      <c r="I1116" s="14"/>
      <c r="J1116" s="14"/>
      <c r="K1116" s="7"/>
      <c r="L1116" s="14"/>
      <c r="M1116" s="14"/>
      <c r="N1116" s="7"/>
      <c r="O1116" s="21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  <c r="BP1116" s="14"/>
      <c r="BQ1116" s="14"/>
      <c r="BR1116" s="14"/>
      <c r="BS1116" s="14"/>
      <c r="BT1116" s="14"/>
      <c r="BU1116" s="14"/>
      <c r="BV1116" s="14"/>
      <c r="BW1116" s="14"/>
      <c r="BX1116" s="14"/>
      <c r="BY1116" s="14"/>
      <c r="BZ1116" s="14"/>
      <c r="CA1116" s="14"/>
      <c r="CB1116" s="14"/>
      <c r="CC1116" s="14"/>
      <c r="CD1116" s="14"/>
      <c r="CE1116" s="14"/>
      <c r="CF1116" s="14"/>
      <c r="CG1116" s="14"/>
      <c r="CH1116" s="14"/>
      <c r="CI1116" s="14"/>
      <c r="CJ1116" s="14"/>
      <c r="CK1116" s="14"/>
      <c r="CL1116" s="14"/>
      <c r="CM1116" s="14"/>
    </row>
    <row r="1117" spans="1:91" ht="14.25" customHeight="1" x14ac:dyDescent="0.25">
      <c r="A1117" s="13"/>
      <c r="B1117" s="14"/>
      <c r="C1117" s="14"/>
      <c r="D1117" s="14"/>
      <c r="E1117" s="24"/>
      <c r="F1117" s="25"/>
      <c r="G1117" s="308"/>
      <c r="H1117" s="45"/>
      <c r="I1117" s="14"/>
      <c r="J1117" s="14"/>
      <c r="K1117" s="7"/>
      <c r="L1117" s="14"/>
      <c r="M1117" s="14"/>
      <c r="N1117" s="7"/>
      <c r="O1117" s="21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  <c r="BP1117" s="14"/>
      <c r="BQ1117" s="14"/>
      <c r="BR1117" s="14"/>
      <c r="BS1117" s="14"/>
      <c r="BT1117" s="14"/>
      <c r="BU1117" s="14"/>
      <c r="BV1117" s="14"/>
      <c r="BW1117" s="14"/>
      <c r="BX1117" s="14"/>
      <c r="BY1117" s="14"/>
      <c r="BZ1117" s="14"/>
      <c r="CA1117" s="14"/>
      <c r="CB1117" s="14"/>
      <c r="CC1117" s="14"/>
      <c r="CD1117" s="14"/>
      <c r="CE1117" s="14"/>
      <c r="CF1117" s="14"/>
      <c r="CG1117" s="14"/>
      <c r="CH1117" s="14"/>
      <c r="CI1117" s="14"/>
      <c r="CJ1117" s="14"/>
      <c r="CK1117" s="14"/>
      <c r="CL1117" s="14"/>
      <c r="CM1117" s="14"/>
    </row>
    <row r="1118" spans="1:91" ht="14.25" customHeight="1" x14ac:dyDescent="0.25">
      <c r="A1118" s="13"/>
      <c r="B1118" s="14"/>
      <c r="C1118" s="14"/>
      <c r="D1118" s="14"/>
      <c r="E1118" s="24"/>
      <c r="F1118" s="25"/>
      <c r="G1118" s="308"/>
      <c r="H1118" s="45"/>
      <c r="I1118" s="14"/>
      <c r="J1118" s="14"/>
      <c r="K1118" s="7"/>
      <c r="L1118" s="14"/>
      <c r="M1118" s="14"/>
      <c r="N1118" s="7"/>
      <c r="O1118" s="21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  <c r="BP1118" s="14"/>
      <c r="BQ1118" s="14"/>
      <c r="BR1118" s="14"/>
      <c r="BS1118" s="14"/>
      <c r="BT1118" s="14"/>
      <c r="BU1118" s="14"/>
      <c r="BV1118" s="14"/>
      <c r="BW1118" s="14"/>
      <c r="BX1118" s="14"/>
      <c r="BY1118" s="14"/>
      <c r="BZ1118" s="14"/>
      <c r="CA1118" s="14"/>
      <c r="CB1118" s="14"/>
      <c r="CC1118" s="14"/>
      <c r="CD1118" s="14"/>
      <c r="CE1118" s="14"/>
      <c r="CF1118" s="14"/>
      <c r="CG1118" s="14"/>
      <c r="CH1118" s="14"/>
      <c r="CI1118" s="14"/>
      <c r="CJ1118" s="14"/>
      <c r="CK1118" s="14"/>
      <c r="CL1118" s="14"/>
      <c r="CM1118" s="14"/>
    </row>
    <row r="1119" spans="1:91" ht="14.25" customHeight="1" x14ac:dyDescent="0.25">
      <c r="A1119" s="13"/>
      <c r="B1119" s="14"/>
      <c r="C1119" s="14"/>
      <c r="D1119" s="14"/>
      <c r="E1119" s="24"/>
      <c r="F1119" s="25"/>
      <c r="G1119" s="308"/>
      <c r="H1119" s="45"/>
      <c r="I1119" s="14"/>
      <c r="J1119" s="14"/>
      <c r="K1119" s="7"/>
      <c r="L1119" s="14"/>
      <c r="M1119" s="14"/>
      <c r="N1119" s="7"/>
      <c r="O1119" s="21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  <c r="BP1119" s="14"/>
      <c r="BQ1119" s="14"/>
      <c r="BR1119" s="14"/>
      <c r="BS1119" s="14"/>
      <c r="BT1119" s="14"/>
      <c r="BU1119" s="14"/>
      <c r="BV1119" s="14"/>
      <c r="BW1119" s="14"/>
      <c r="BX1119" s="14"/>
      <c r="BY1119" s="14"/>
      <c r="BZ1119" s="14"/>
      <c r="CA1119" s="14"/>
      <c r="CB1119" s="14"/>
      <c r="CC1119" s="14"/>
      <c r="CD1119" s="14"/>
      <c r="CE1119" s="14"/>
      <c r="CF1119" s="14"/>
      <c r="CG1119" s="14"/>
      <c r="CH1119" s="14"/>
      <c r="CI1119" s="14"/>
      <c r="CJ1119" s="14"/>
      <c r="CK1119" s="14"/>
      <c r="CL1119" s="14"/>
      <c r="CM1119" s="14"/>
    </row>
    <row r="1120" spans="1:91" ht="14.25" customHeight="1" x14ac:dyDescent="0.25">
      <c r="A1120" s="13"/>
      <c r="B1120" s="14"/>
      <c r="C1120" s="14"/>
      <c r="D1120" s="14"/>
      <c r="E1120" s="24"/>
      <c r="F1120" s="25"/>
      <c r="G1120" s="308"/>
      <c r="H1120" s="45"/>
      <c r="I1120" s="14"/>
      <c r="J1120" s="14"/>
      <c r="K1120" s="7"/>
      <c r="L1120" s="14"/>
      <c r="M1120" s="14"/>
      <c r="N1120" s="7"/>
      <c r="O1120" s="21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  <c r="BP1120" s="14"/>
      <c r="BQ1120" s="14"/>
      <c r="BR1120" s="14"/>
      <c r="BS1120" s="14"/>
      <c r="BT1120" s="14"/>
      <c r="BU1120" s="14"/>
      <c r="BV1120" s="14"/>
      <c r="BW1120" s="14"/>
      <c r="BX1120" s="14"/>
      <c r="BY1120" s="14"/>
      <c r="BZ1120" s="14"/>
      <c r="CA1120" s="14"/>
      <c r="CB1120" s="14"/>
      <c r="CC1120" s="14"/>
      <c r="CD1120" s="14"/>
      <c r="CE1120" s="14"/>
      <c r="CF1120" s="14"/>
      <c r="CG1120" s="14"/>
      <c r="CH1120" s="14"/>
      <c r="CI1120" s="14"/>
      <c r="CJ1120" s="14"/>
      <c r="CK1120" s="14"/>
      <c r="CL1120" s="14"/>
      <c r="CM1120" s="14"/>
    </row>
    <row r="1121" spans="1:91" ht="14.25" customHeight="1" x14ac:dyDescent="0.25">
      <c r="A1121" s="13"/>
      <c r="B1121" s="14"/>
      <c r="C1121" s="14"/>
      <c r="D1121" s="14"/>
      <c r="E1121" s="24"/>
      <c r="F1121" s="25"/>
      <c r="G1121" s="308"/>
      <c r="H1121" s="45"/>
      <c r="I1121" s="14"/>
      <c r="J1121" s="14"/>
      <c r="K1121" s="7"/>
      <c r="L1121" s="14"/>
      <c r="M1121" s="14"/>
      <c r="N1121" s="7"/>
      <c r="O1121" s="21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  <c r="BP1121" s="14"/>
      <c r="BQ1121" s="14"/>
      <c r="BR1121" s="14"/>
      <c r="BS1121" s="14"/>
      <c r="BT1121" s="14"/>
      <c r="BU1121" s="14"/>
      <c r="BV1121" s="14"/>
      <c r="BW1121" s="14"/>
      <c r="BX1121" s="14"/>
      <c r="BY1121" s="14"/>
      <c r="BZ1121" s="14"/>
      <c r="CA1121" s="14"/>
      <c r="CB1121" s="14"/>
      <c r="CC1121" s="14"/>
      <c r="CD1121" s="14"/>
      <c r="CE1121" s="14"/>
      <c r="CF1121" s="14"/>
      <c r="CG1121" s="14"/>
      <c r="CH1121" s="14"/>
      <c r="CI1121" s="14"/>
      <c r="CJ1121" s="14"/>
      <c r="CK1121" s="14"/>
      <c r="CL1121" s="14"/>
      <c r="CM1121" s="14"/>
    </row>
    <row r="1122" spans="1:91" ht="14.25" customHeight="1" x14ac:dyDescent="0.25">
      <c r="A1122" s="13"/>
      <c r="B1122" s="14"/>
      <c r="C1122" s="14"/>
      <c r="D1122" s="14"/>
      <c r="E1122" s="24"/>
      <c r="F1122" s="25"/>
      <c r="G1122" s="308"/>
      <c r="H1122" s="45"/>
      <c r="I1122" s="14"/>
      <c r="J1122" s="14"/>
      <c r="K1122" s="7"/>
      <c r="L1122" s="14"/>
      <c r="M1122" s="14"/>
      <c r="N1122" s="7"/>
      <c r="O1122" s="21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  <c r="BP1122" s="14"/>
      <c r="BQ1122" s="14"/>
      <c r="BR1122" s="14"/>
      <c r="BS1122" s="14"/>
      <c r="BT1122" s="14"/>
      <c r="BU1122" s="14"/>
      <c r="BV1122" s="14"/>
      <c r="BW1122" s="14"/>
      <c r="BX1122" s="14"/>
      <c r="BY1122" s="14"/>
      <c r="BZ1122" s="14"/>
      <c r="CA1122" s="14"/>
      <c r="CB1122" s="14"/>
      <c r="CC1122" s="14"/>
      <c r="CD1122" s="14"/>
      <c r="CE1122" s="14"/>
      <c r="CF1122" s="14"/>
      <c r="CG1122" s="14"/>
      <c r="CH1122" s="14"/>
      <c r="CI1122" s="14"/>
      <c r="CJ1122" s="14"/>
      <c r="CK1122" s="14"/>
      <c r="CL1122" s="14"/>
      <c r="CM1122" s="14"/>
    </row>
    <row r="1123" spans="1:91" ht="14.25" customHeight="1" x14ac:dyDescent="0.25">
      <c r="A1123" s="13"/>
      <c r="B1123" s="14"/>
      <c r="C1123" s="14"/>
      <c r="D1123" s="14"/>
      <c r="E1123" s="24"/>
      <c r="F1123" s="25"/>
      <c r="G1123" s="308"/>
      <c r="H1123" s="45"/>
      <c r="I1123" s="14"/>
      <c r="J1123" s="14"/>
      <c r="K1123" s="7"/>
      <c r="L1123" s="14"/>
      <c r="M1123" s="14"/>
      <c r="N1123" s="7"/>
      <c r="O1123" s="21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4"/>
      <c r="BT1123" s="14"/>
      <c r="BU1123" s="14"/>
      <c r="BV1123" s="14"/>
      <c r="BW1123" s="14"/>
      <c r="BX1123" s="14"/>
      <c r="BY1123" s="14"/>
      <c r="BZ1123" s="14"/>
      <c r="CA1123" s="14"/>
      <c r="CB1123" s="14"/>
      <c r="CC1123" s="14"/>
      <c r="CD1123" s="14"/>
      <c r="CE1123" s="14"/>
      <c r="CF1123" s="14"/>
      <c r="CG1123" s="14"/>
      <c r="CH1123" s="14"/>
      <c r="CI1123" s="14"/>
      <c r="CJ1123" s="14"/>
      <c r="CK1123" s="14"/>
      <c r="CL1123" s="14"/>
      <c r="CM1123" s="14"/>
    </row>
    <row r="1124" spans="1:91" ht="14.25" customHeight="1" x14ac:dyDescent="0.25">
      <c r="A1124" s="13"/>
      <c r="B1124" s="14"/>
      <c r="C1124" s="14"/>
      <c r="D1124" s="14"/>
      <c r="E1124" s="24"/>
      <c r="F1124" s="25"/>
      <c r="G1124" s="308"/>
      <c r="H1124" s="45"/>
      <c r="I1124" s="14"/>
      <c r="J1124" s="14"/>
      <c r="K1124" s="7"/>
      <c r="L1124" s="14"/>
      <c r="M1124" s="14"/>
      <c r="N1124" s="7"/>
      <c r="O1124" s="21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4"/>
      <c r="BT1124" s="14"/>
      <c r="BU1124" s="14"/>
      <c r="BV1124" s="14"/>
      <c r="BW1124" s="14"/>
      <c r="BX1124" s="14"/>
      <c r="BY1124" s="14"/>
      <c r="BZ1124" s="14"/>
      <c r="CA1124" s="14"/>
      <c r="CB1124" s="14"/>
      <c r="CC1124" s="14"/>
      <c r="CD1124" s="14"/>
      <c r="CE1124" s="14"/>
      <c r="CF1124" s="14"/>
      <c r="CG1124" s="14"/>
      <c r="CH1124" s="14"/>
      <c r="CI1124" s="14"/>
      <c r="CJ1124" s="14"/>
      <c r="CK1124" s="14"/>
      <c r="CL1124" s="14"/>
      <c r="CM1124" s="14"/>
    </row>
    <row r="1125" spans="1:91" ht="14.25" customHeight="1" x14ac:dyDescent="0.25">
      <c r="A1125" s="13"/>
      <c r="B1125" s="14"/>
      <c r="C1125" s="14"/>
      <c r="D1125" s="14"/>
      <c r="E1125" s="24"/>
      <c r="F1125" s="25"/>
      <c r="G1125" s="308"/>
      <c r="H1125" s="45"/>
      <c r="I1125" s="14"/>
      <c r="J1125" s="14"/>
      <c r="K1125" s="7"/>
      <c r="L1125" s="14"/>
      <c r="M1125" s="14"/>
      <c r="N1125" s="7"/>
      <c r="O1125" s="21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4"/>
      <c r="BT1125" s="14"/>
      <c r="BU1125" s="14"/>
      <c r="BV1125" s="14"/>
      <c r="BW1125" s="14"/>
      <c r="BX1125" s="14"/>
      <c r="BY1125" s="14"/>
      <c r="BZ1125" s="14"/>
      <c r="CA1125" s="14"/>
      <c r="CB1125" s="14"/>
      <c r="CC1125" s="14"/>
      <c r="CD1125" s="14"/>
      <c r="CE1125" s="14"/>
      <c r="CF1125" s="14"/>
      <c r="CG1125" s="14"/>
      <c r="CH1125" s="14"/>
      <c r="CI1125" s="14"/>
      <c r="CJ1125" s="14"/>
      <c r="CK1125" s="14"/>
      <c r="CL1125" s="14"/>
      <c r="CM1125" s="14"/>
    </row>
    <row r="1126" spans="1:91" ht="14.25" customHeight="1" x14ac:dyDescent="0.25">
      <c r="A1126" s="13"/>
      <c r="B1126" s="14"/>
      <c r="C1126" s="14"/>
      <c r="D1126" s="14"/>
      <c r="E1126" s="24"/>
      <c r="F1126" s="25"/>
      <c r="G1126" s="308"/>
      <c r="H1126" s="45"/>
      <c r="I1126" s="14"/>
      <c r="J1126" s="14"/>
      <c r="K1126" s="7"/>
      <c r="L1126" s="14"/>
      <c r="M1126" s="14"/>
      <c r="N1126" s="7"/>
      <c r="O1126" s="21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  <c r="BP1126" s="14"/>
      <c r="BQ1126" s="14"/>
      <c r="BR1126" s="14"/>
      <c r="BS1126" s="14"/>
      <c r="BT1126" s="14"/>
      <c r="BU1126" s="14"/>
      <c r="BV1126" s="14"/>
      <c r="BW1126" s="14"/>
      <c r="BX1126" s="14"/>
      <c r="BY1126" s="14"/>
      <c r="BZ1126" s="14"/>
      <c r="CA1126" s="14"/>
      <c r="CB1126" s="14"/>
      <c r="CC1126" s="14"/>
      <c r="CD1126" s="14"/>
      <c r="CE1126" s="14"/>
      <c r="CF1126" s="14"/>
      <c r="CG1126" s="14"/>
      <c r="CH1126" s="14"/>
      <c r="CI1126" s="14"/>
      <c r="CJ1126" s="14"/>
      <c r="CK1126" s="14"/>
      <c r="CL1126" s="14"/>
      <c r="CM1126" s="14"/>
    </row>
    <row r="1127" spans="1:91" ht="14.25" customHeight="1" x14ac:dyDescent="0.25">
      <c r="A1127" s="13"/>
      <c r="B1127" s="14"/>
      <c r="C1127" s="14"/>
      <c r="D1127" s="14"/>
      <c r="E1127" s="24"/>
      <c r="F1127" s="25"/>
      <c r="G1127" s="308"/>
      <c r="H1127" s="45"/>
      <c r="I1127" s="14"/>
      <c r="J1127" s="14"/>
      <c r="K1127" s="7"/>
      <c r="L1127" s="14"/>
      <c r="M1127" s="14"/>
      <c r="N1127" s="7"/>
      <c r="O1127" s="21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4"/>
      <c r="BT1127" s="14"/>
      <c r="BU1127" s="14"/>
      <c r="BV1127" s="14"/>
      <c r="BW1127" s="14"/>
      <c r="BX1127" s="14"/>
      <c r="BY1127" s="14"/>
      <c r="BZ1127" s="14"/>
      <c r="CA1127" s="14"/>
      <c r="CB1127" s="14"/>
      <c r="CC1127" s="14"/>
      <c r="CD1127" s="14"/>
      <c r="CE1127" s="14"/>
      <c r="CF1127" s="14"/>
      <c r="CG1127" s="14"/>
      <c r="CH1127" s="14"/>
      <c r="CI1127" s="14"/>
      <c r="CJ1127" s="14"/>
      <c r="CK1127" s="14"/>
      <c r="CL1127" s="14"/>
      <c r="CM1127" s="14"/>
    </row>
    <row r="1128" spans="1:91" ht="14.25" customHeight="1" x14ac:dyDescent="0.25">
      <c r="A1128" s="13"/>
      <c r="B1128" s="14"/>
      <c r="C1128" s="14"/>
      <c r="D1128" s="14"/>
      <c r="E1128" s="24"/>
      <c r="F1128" s="25"/>
      <c r="G1128" s="308"/>
      <c r="H1128" s="45"/>
      <c r="I1128" s="14"/>
      <c r="J1128" s="14"/>
      <c r="K1128" s="7"/>
      <c r="L1128" s="14"/>
      <c r="M1128" s="14"/>
      <c r="N1128" s="7"/>
      <c r="O1128" s="21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4"/>
      <c r="BT1128" s="14"/>
      <c r="BU1128" s="14"/>
      <c r="BV1128" s="14"/>
      <c r="BW1128" s="14"/>
      <c r="BX1128" s="14"/>
      <c r="BY1128" s="14"/>
      <c r="BZ1128" s="14"/>
      <c r="CA1128" s="14"/>
      <c r="CB1128" s="14"/>
      <c r="CC1128" s="14"/>
      <c r="CD1128" s="14"/>
      <c r="CE1128" s="14"/>
      <c r="CF1128" s="14"/>
      <c r="CG1128" s="14"/>
      <c r="CH1128" s="14"/>
      <c r="CI1128" s="14"/>
      <c r="CJ1128" s="14"/>
      <c r="CK1128" s="14"/>
      <c r="CL1128" s="14"/>
      <c r="CM1128" s="14">
        <v>1</v>
      </c>
    </row>
    <row r="1129" spans="1:91" x14ac:dyDescent="0.25">
      <c r="A1129" s="281"/>
      <c r="B1129" s="105"/>
      <c r="C1129" s="105"/>
      <c r="D1129" s="105"/>
      <c r="E1129" s="106"/>
      <c r="F1129" s="105"/>
      <c r="G1129" s="315"/>
      <c r="H1129" s="107"/>
      <c r="I1129" s="105"/>
      <c r="J1129" s="105"/>
      <c r="K1129" s="105"/>
      <c r="L1129" s="105"/>
      <c r="M1129" s="105"/>
      <c r="N1129" s="105"/>
      <c r="O1129" s="105"/>
      <c r="P1129" s="105"/>
      <c r="Q1129" s="105"/>
      <c r="R1129" s="105"/>
      <c r="S1129" s="105"/>
      <c r="T1129" s="105"/>
      <c r="U1129" s="105"/>
      <c r="V1129" s="105"/>
      <c r="W1129" s="105"/>
      <c r="X1129" s="105"/>
      <c r="Y1129" s="105"/>
      <c r="Z1129" s="105"/>
      <c r="AA1129" s="105"/>
      <c r="AB1129" s="105"/>
      <c r="AC1129" s="105"/>
      <c r="AD1129" s="105"/>
      <c r="AE1129" s="105"/>
      <c r="AF1129" s="105"/>
      <c r="AG1129" s="105"/>
      <c r="AH1129" s="105"/>
      <c r="AI1129" s="105"/>
      <c r="AJ1129" s="105"/>
      <c r="AK1129" s="105"/>
      <c r="AL1129" s="105"/>
      <c r="AM1129" s="105"/>
      <c r="AN1129" s="105"/>
      <c r="AO1129" s="105"/>
      <c r="AP1129" s="105"/>
      <c r="AQ1129" s="105"/>
      <c r="AR1129" s="105"/>
      <c r="AS1129" s="105"/>
      <c r="AT1129" s="105"/>
      <c r="AU1129" s="105"/>
      <c r="AV1129" s="105"/>
      <c r="AW1129" s="105"/>
      <c r="AX1129" s="105"/>
      <c r="AY1129" s="105"/>
      <c r="AZ1129" s="105"/>
      <c r="BA1129" s="105"/>
      <c r="BB1129" s="105"/>
      <c r="BC1129" s="105"/>
      <c r="BD1129" s="105"/>
      <c r="BE1129" s="105"/>
      <c r="BF1129" s="105"/>
      <c r="BG1129" s="105"/>
      <c r="BH1129" s="105"/>
      <c r="BI1129" s="105"/>
      <c r="BJ1129" s="105"/>
      <c r="BK1129" s="105"/>
      <c r="BL1129" s="105"/>
      <c r="BM1129" s="105"/>
      <c r="BN1129" s="105"/>
      <c r="BO1129" s="105"/>
      <c r="BP1129" s="105"/>
      <c r="BQ1129" s="105"/>
      <c r="BR1129" s="105"/>
      <c r="BS1129" s="105"/>
      <c r="BT1129" s="105"/>
      <c r="BU1129" s="105"/>
      <c r="BV1129" s="105"/>
      <c r="BW1129" s="105"/>
      <c r="BX1129" s="105"/>
      <c r="BY1129" s="105"/>
      <c r="BZ1129" s="105"/>
      <c r="CA1129" s="105"/>
      <c r="CB1129" s="105"/>
      <c r="CC1129" s="105"/>
      <c r="CD1129" s="105"/>
      <c r="CE1129" s="105"/>
      <c r="CF1129" s="105"/>
      <c r="CG1129" s="105"/>
      <c r="CH1129" s="105"/>
      <c r="CI1129" s="105"/>
      <c r="CJ1129" s="105"/>
      <c r="CK1129" s="105"/>
      <c r="CL1129" s="105"/>
      <c r="CM1129" s="105"/>
    </row>
    <row r="1130" spans="1:91" x14ac:dyDescent="0.25">
      <c r="A1130" s="281"/>
      <c r="B1130" s="105"/>
      <c r="C1130" s="105"/>
      <c r="D1130" s="105"/>
      <c r="E1130" s="106"/>
      <c r="F1130" s="105"/>
      <c r="G1130" s="315"/>
      <c r="H1130" s="107"/>
      <c r="I1130" s="105"/>
      <c r="J1130" s="105"/>
      <c r="K1130" s="105"/>
      <c r="L1130" s="105"/>
      <c r="M1130" s="105"/>
      <c r="N1130" s="105"/>
      <c r="O1130" s="105"/>
      <c r="P1130" s="105"/>
      <c r="Q1130" s="105"/>
      <c r="R1130" s="105"/>
      <c r="S1130" s="105"/>
      <c r="T1130" s="105"/>
      <c r="U1130" s="105"/>
      <c r="V1130" s="105"/>
      <c r="W1130" s="105"/>
      <c r="X1130" s="105"/>
      <c r="Y1130" s="105"/>
      <c r="Z1130" s="105"/>
      <c r="AA1130" s="105"/>
      <c r="AB1130" s="105"/>
      <c r="AC1130" s="105"/>
      <c r="AD1130" s="105"/>
      <c r="AE1130" s="105"/>
      <c r="AF1130" s="105"/>
      <c r="AG1130" s="105"/>
      <c r="AH1130" s="105"/>
      <c r="AI1130" s="105"/>
      <c r="AJ1130" s="105"/>
      <c r="AK1130" s="105"/>
      <c r="AL1130" s="105"/>
      <c r="AM1130" s="105"/>
      <c r="AN1130" s="105"/>
      <c r="AO1130" s="105"/>
      <c r="AP1130" s="105"/>
      <c r="AQ1130" s="105"/>
      <c r="AR1130" s="105"/>
      <c r="AS1130" s="105"/>
      <c r="AT1130" s="105"/>
      <c r="AU1130" s="105"/>
      <c r="AV1130" s="105"/>
      <c r="AW1130" s="105"/>
      <c r="AX1130" s="105"/>
      <c r="AY1130" s="105"/>
      <c r="AZ1130" s="105"/>
      <c r="BA1130" s="105"/>
      <c r="BB1130" s="105"/>
      <c r="BC1130" s="105"/>
      <c r="BD1130" s="105"/>
      <c r="BE1130" s="105"/>
      <c r="BF1130" s="105"/>
      <c r="BG1130" s="105"/>
      <c r="BH1130" s="105"/>
      <c r="BI1130" s="105"/>
      <c r="BJ1130" s="105"/>
      <c r="BK1130" s="105"/>
      <c r="BL1130" s="105"/>
      <c r="BM1130" s="105"/>
      <c r="BN1130" s="105"/>
      <c r="BO1130" s="105"/>
      <c r="BP1130" s="105"/>
      <c r="BQ1130" s="105"/>
      <c r="BR1130" s="105"/>
      <c r="BS1130" s="105"/>
      <c r="BT1130" s="105"/>
      <c r="BU1130" s="105"/>
      <c r="BV1130" s="105"/>
      <c r="BW1130" s="105"/>
      <c r="BX1130" s="105"/>
      <c r="BY1130" s="105"/>
      <c r="BZ1130" s="105"/>
      <c r="CA1130" s="105"/>
      <c r="CB1130" s="105"/>
      <c r="CC1130" s="105"/>
      <c r="CD1130" s="105"/>
      <c r="CE1130" s="105"/>
      <c r="CF1130" s="105"/>
      <c r="CG1130" s="105"/>
      <c r="CH1130" s="105"/>
      <c r="CI1130" s="105"/>
      <c r="CJ1130" s="105"/>
      <c r="CK1130" s="105"/>
      <c r="CL1130" s="105"/>
      <c r="CM1130" s="105"/>
    </row>
    <row r="1131" spans="1:91" x14ac:dyDescent="0.25">
      <c r="A1131" s="281"/>
      <c r="B1131" s="105"/>
      <c r="C1131" s="105"/>
      <c r="D1131" s="105"/>
      <c r="E1131" s="106"/>
      <c r="F1131" s="105"/>
      <c r="G1131" s="315"/>
      <c r="H1131" s="107"/>
      <c r="I1131" s="105"/>
      <c r="J1131" s="105"/>
      <c r="K1131" s="105"/>
      <c r="L1131" s="105"/>
      <c r="M1131" s="105"/>
      <c r="N1131" s="105"/>
      <c r="O1131" s="105"/>
      <c r="P1131" s="105"/>
      <c r="Q1131" s="105"/>
      <c r="R1131" s="105"/>
      <c r="S1131" s="105"/>
      <c r="T1131" s="105"/>
      <c r="U1131" s="105"/>
      <c r="V1131" s="105"/>
      <c r="W1131" s="105"/>
      <c r="X1131" s="105"/>
      <c r="Y1131" s="105"/>
      <c r="Z1131" s="105"/>
      <c r="AA1131" s="105"/>
      <c r="AB1131" s="105"/>
      <c r="AC1131" s="105"/>
      <c r="AD1131" s="105"/>
      <c r="AE1131" s="105"/>
      <c r="AF1131" s="105"/>
      <c r="AG1131" s="105"/>
      <c r="AH1131" s="105"/>
      <c r="AI1131" s="105"/>
      <c r="AJ1131" s="105"/>
      <c r="AK1131" s="105"/>
      <c r="AL1131" s="105"/>
      <c r="AM1131" s="105"/>
      <c r="AN1131" s="105"/>
      <c r="AO1131" s="105"/>
      <c r="AP1131" s="105"/>
      <c r="AQ1131" s="105"/>
      <c r="AR1131" s="105"/>
      <c r="AS1131" s="105"/>
      <c r="AT1131" s="105"/>
      <c r="AU1131" s="105"/>
      <c r="AV1131" s="105"/>
      <c r="AW1131" s="105"/>
      <c r="AX1131" s="105"/>
      <c r="AY1131" s="105"/>
      <c r="AZ1131" s="105"/>
      <c r="BA1131" s="105"/>
      <c r="BB1131" s="105"/>
      <c r="BC1131" s="105"/>
      <c r="BD1131" s="105"/>
      <c r="BE1131" s="105"/>
      <c r="BF1131" s="105"/>
      <c r="BG1131" s="105"/>
      <c r="BH1131" s="105"/>
      <c r="BI1131" s="105"/>
      <c r="BJ1131" s="105"/>
      <c r="BK1131" s="105"/>
      <c r="BL1131" s="105"/>
      <c r="BM1131" s="105"/>
      <c r="BN1131" s="105"/>
      <c r="BO1131" s="105"/>
      <c r="BP1131" s="105"/>
      <c r="BQ1131" s="105"/>
      <c r="BR1131" s="105"/>
      <c r="BS1131" s="105"/>
      <c r="BT1131" s="105"/>
      <c r="BU1131" s="105"/>
      <c r="BV1131" s="105"/>
      <c r="BW1131" s="105"/>
      <c r="BX1131" s="105"/>
      <c r="BY1131" s="105"/>
      <c r="BZ1131" s="105"/>
      <c r="CA1131" s="105"/>
      <c r="CB1131" s="105"/>
      <c r="CC1131" s="105"/>
      <c r="CD1131" s="105"/>
      <c r="CE1131" s="105"/>
      <c r="CF1131" s="105"/>
      <c r="CG1131" s="105"/>
      <c r="CH1131" s="105"/>
      <c r="CI1131" s="105"/>
      <c r="CJ1131" s="105"/>
      <c r="CK1131" s="105"/>
      <c r="CL1131" s="105"/>
      <c r="CM1131" s="105"/>
    </row>
    <row r="1132" spans="1:91" x14ac:dyDescent="0.25">
      <c r="A1132" s="281"/>
      <c r="B1132" s="105"/>
      <c r="C1132" s="105"/>
      <c r="D1132" s="105"/>
      <c r="E1132" s="106"/>
      <c r="F1132" s="105"/>
      <c r="G1132" s="315"/>
      <c r="H1132" s="107"/>
      <c r="I1132" s="105"/>
      <c r="J1132" s="105"/>
      <c r="K1132" s="105"/>
      <c r="L1132" s="105"/>
      <c r="M1132" s="105"/>
      <c r="N1132" s="105"/>
      <c r="O1132" s="105"/>
      <c r="P1132" s="105"/>
      <c r="Q1132" s="105"/>
      <c r="R1132" s="105"/>
      <c r="S1132" s="105"/>
      <c r="T1132" s="105"/>
      <c r="U1132" s="105"/>
      <c r="V1132" s="105"/>
      <c r="W1132" s="105"/>
      <c r="X1132" s="105"/>
      <c r="Y1132" s="105"/>
      <c r="Z1132" s="105"/>
      <c r="AA1132" s="105"/>
      <c r="AB1132" s="105"/>
      <c r="AC1132" s="105"/>
      <c r="AD1132" s="105"/>
      <c r="AE1132" s="105"/>
      <c r="AF1132" s="105"/>
      <c r="AG1132" s="105"/>
      <c r="AH1132" s="105"/>
      <c r="AI1132" s="105"/>
      <c r="AJ1132" s="105"/>
      <c r="AK1132" s="105"/>
      <c r="AL1132" s="105"/>
      <c r="AM1132" s="105"/>
      <c r="AN1132" s="105"/>
      <c r="AO1132" s="105"/>
      <c r="AP1132" s="105"/>
      <c r="AQ1132" s="105"/>
      <c r="AR1132" s="105"/>
      <c r="AS1132" s="105"/>
      <c r="AT1132" s="105"/>
      <c r="AU1132" s="105"/>
      <c r="AV1132" s="105"/>
      <c r="AW1132" s="105"/>
      <c r="AX1132" s="105"/>
      <c r="AY1132" s="105"/>
      <c r="AZ1132" s="105"/>
      <c r="BA1132" s="105"/>
      <c r="BB1132" s="105"/>
      <c r="BC1132" s="105"/>
      <c r="BD1132" s="105"/>
      <c r="BE1132" s="105"/>
      <c r="BF1132" s="105"/>
      <c r="BG1132" s="105"/>
      <c r="BH1132" s="105"/>
      <c r="BI1132" s="105"/>
      <c r="BJ1132" s="105"/>
      <c r="BK1132" s="105"/>
      <c r="BL1132" s="105"/>
      <c r="BM1132" s="105"/>
      <c r="BN1132" s="105"/>
      <c r="BO1132" s="105"/>
      <c r="BP1132" s="105"/>
      <c r="BQ1132" s="105"/>
      <c r="BR1132" s="105"/>
      <c r="BS1132" s="105"/>
      <c r="BT1132" s="105"/>
      <c r="BU1132" s="105"/>
      <c r="BV1132" s="105"/>
      <c r="BW1132" s="105"/>
      <c r="BX1132" s="105"/>
      <c r="BY1132" s="105"/>
      <c r="BZ1132" s="105"/>
      <c r="CA1132" s="105"/>
      <c r="CB1132" s="105"/>
      <c r="CC1132" s="105"/>
      <c r="CD1132" s="105"/>
      <c r="CE1132" s="105"/>
      <c r="CF1132" s="105"/>
      <c r="CG1132" s="105"/>
      <c r="CH1132" s="105"/>
      <c r="CI1132" s="105"/>
      <c r="CJ1132" s="105"/>
      <c r="CK1132" s="105"/>
      <c r="CL1132" s="105"/>
      <c r="CM1132" s="105"/>
    </row>
    <row r="1133" spans="1:91" x14ac:dyDescent="0.25">
      <c r="A1133" s="281"/>
      <c r="B1133" s="105"/>
      <c r="C1133" s="105"/>
      <c r="D1133" s="105"/>
      <c r="E1133" s="106"/>
      <c r="F1133" s="105"/>
      <c r="G1133" s="315"/>
      <c r="H1133" s="107"/>
      <c r="I1133" s="105"/>
      <c r="J1133" s="105"/>
      <c r="K1133" s="105"/>
      <c r="L1133" s="105"/>
      <c r="M1133" s="105"/>
      <c r="N1133" s="105"/>
      <c r="O1133" s="105"/>
      <c r="P1133" s="105"/>
      <c r="Q1133" s="105"/>
      <c r="R1133" s="105"/>
      <c r="S1133" s="105"/>
      <c r="T1133" s="105"/>
      <c r="U1133" s="105"/>
      <c r="V1133" s="105"/>
      <c r="W1133" s="105"/>
      <c r="X1133" s="105"/>
      <c r="Y1133" s="105"/>
      <c r="Z1133" s="105"/>
      <c r="AA1133" s="105"/>
      <c r="AB1133" s="105"/>
      <c r="AC1133" s="105"/>
      <c r="AD1133" s="105"/>
      <c r="AE1133" s="105"/>
      <c r="AF1133" s="105"/>
      <c r="AG1133" s="105"/>
      <c r="AH1133" s="105"/>
      <c r="AI1133" s="105"/>
      <c r="AJ1133" s="105"/>
      <c r="AK1133" s="105"/>
      <c r="AL1133" s="105"/>
      <c r="AM1133" s="105"/>
      <c r="AN1133" s="105"/>
      <c r="AO1133" s="105"/>
      <c r="AP1133" s="105"/>
      <c r="AQ1133" s="105"/>
      <c r="AR1133" s="105"/>
      <c r="AS1133" s="105"/>
      <c r="AT1133" s="105"/>
      <c r="AU1133" s="105"/>
      <c r="AV1133" s="105"/>
      <c r="AW1133" s="105"/>
      <c r="AX1133" s="105"/>
      <c r="AY1133" s="105"/>
      <c r="AZ1133" s="105"/>
      <c r="BA1133" s="105"/>
      <c r="BB1133" s="105"/>
      <c r="BC1133" s="105"/>
      <c r="BD1133" s="105"/>
      <c r="BE1133" s="105"/>
      <c r="BF1133" s="105"/>
      <c r="BG1133" s="105"/>
      <c r="BH1133" s="105"/>
      <c r="BI1133" s="105"/>
      <c r="BJ1133" s="105"/>
      <c r="BK1133" s="105"/>
      <c r="BL1133" s="105"/>
      <c r="BM1133" s="105"/>
      <c r="BN1133" s="105"/>
      <c r="BO1133" s="105"/>
      <c r="BP1133" s="105"/>
      <c r="BQ1133" s="105"/>
      <c r="BR1133" s="105"/>
      <c r="BS1133" s="105"/>
      <c r="BT1133" s="105"/>
      <c r="BU1133" s="105"/>
      <c r="BV1133" s="105"/>
      <c r="BW1133" s="105"/>
      <c r="BX1133" s="105"/>
      <c r="BY1133" s="105"/>
      <c r="BZ1133" s="105"/>
      <c r="CA1133" s="105"/>
      <c r="CB1133" s="105"/>
      <c r="CC1133" s="105"/>
      <c r="CD1133" s="105"/>
      <c r="CE1133" s="105"/>
      <c r="CF1133" s="105"/>
      <c r="CG1133" s="105"/>
      <c r="CH1133" s="105"/>
      <c r="CI1133" s="105"/>
      <c r="CJ1133" s="105"/>
      <c r="CK1133" s="105"/>
      <c r="CL1133" s="105"/>
      <c r="CM1133" s="105"/>
    </row>
    <row r="1134" spans="1:91" x14ac:dyDescent="0.25">
      <c r="A1134" s="281"/>
      <c r="B1134" s="105"/>
      <c r="C1134" s="105"/>
      <c r="D1134" s="105"/>
      <c r="E1134" s="106"/>
      <c r="F1134" s="105"/>
      <c r="G1134" s="315"/>
      <c r="H1134" s="107"/>
      <c r="I1134" s="105"/>
      <c r="J1134" s="105"/>
      <c r="K1134" s="105"/>
      <c r="L1134" s="105"/>
      <c r="M1134" s="105"/>
      <c r="N1134" s="105"/>
      <c r="O1134" s="105"/>
      <c r="P1134" s="105"/>
      <c r="Q1134" s="105"/>
      <c r="R1134" s="105"/>
      <c r="S1134" s="105"/>
      <c r="T1134" s="105"/>
      <c r="U1134" s="105"/>
      <c r="V1134" s="105"/>
      <c r="W1134" s="105"/>
      <c r="X1134" s="105"/>
      <c r="Y1134" s="105"/>
      <c r="Z1134" s="105"/>
      <c r="AA1134" s="105"/>
      <c r="AB1134" s="105"/>
      <c r="AC1134" s="105"/>
      <c r="AD1134" s="105"/>
      <c r="AE1134" s="105"/>
      <c r="AF1134" s="105"/>
      <c r="AG1134" s="105"/>
      <c r="AH1134" s="105"/>
      <c r="AI1134" s="105"/>
      <c r="AJ1134" s="105"/>
      <c r="AK1134" s="105"/>
      <c r="AL1134" s="105"/>
      <c r="AM1134" s="105"/>
      <c r="AN1134" s="105"/>
      <c r="AO1134" s="105"/>
      <c r="AP1134" s="105"/>
      <c r="AQ1134" s="105"/>
      <c r="AR1134" s="105"/>
      <c r="AS1134" s="105"/>
      <c r="AT1134" s="105"/>
      <c r="AU1134" s="105"/>
      <c r="AV1134" s="105"/>
      <c r="AW1134" s="105"/>
      <c r="AX1134" s="105"/>
      <c r="AY1134" s="105"/>
      <c r="AZ1134" s="105"/>
      <c r="BA1134" s="105"/>
      <c r="BB1134" s="105"/>
      <c r="BC1134" s="105"/>
      <c r="BD1134" s="105"/>
      <c r="BE1134" s="105"/>
      <c r="BF1134" s="105"/>
      <c r="BG1134" s="105"/>
      <c r="BH1134" s="105"/>
      <c r="BI1134" s="105"/>
      <c r="BJ1134" s="105"/>
      <c r="BK1134" s="105"/>
      <c r="BL1134" s="105"/>
      <c r="BM1134" s="105"/>
      <c r="BN1134" s="105"/>
      <c r="BO1134" s="105"/>
      <c r="BP1134" s="105"/>
      <c r="BQ1134" s="105"/>
      <c r="BR1134" s="105"/>
      <c r="BS1134" s="105"/>
      <c r="BT1134" s="105"/>
      <c r="BU1134" s="105"/>
      <c r="BV1134" s="105"/>
      <c r="BW1134" s="105"/>
      <c r="BX1134" s="105"/>
      <c r="BY1134" s="105"/>
      <c r="BZ1134" s="105"/>
      <c r="CA1134" s="105"/>
      <c r="CB1134" s="105"/>
      <c r="CC1134" s="105"/>
      <c r="CD1134" s="105"/>
      <c r="CE1134" s="105"/>
      <c r="CF1134" s="105"/>
      <c r="CG1134" s="105"/>
      <c r="CH1134" s="105"/>
      <c r="CI1134" s="105"/>
      <c r="CJ1134" s="105"/>
      <c r="CK1134" s="105"/>
      <c r="CL1134" s="105"/>
      <c r="CM1134" s="105"/>
    </row>
    <row r="1135" spans="1:91" x14ac:dyDescent="0.25">
      <c r="A1135" s="281"/>
      <c r="B1135" s="105"/>
      <c r="C1135" s="105"/>
      <c r="D1135" s="105"/>
      <c r="E1135" s="106"/>
      <c r="F1135" s="105"/>
      <c r="G1135" s="315"/>
      <c r="H1135" s="107"/>
      <c r="I1135" s="105"/>
      <c r="J1135" s="105"/>
      <c r="K1135" s="105"/>
      <c r="L1135" s="105"/>
      <c r="M1135" s="105"/>
      <c r="N1135" s="105"/>
      <c r="O1135" s="105"/>
      <c r="P1135" s="105"/>
      <c r="Q1135" s="105"/>
      <c r="R1135" s="105"/>
      <c r="S1135" s="105"/>
      <c r="T1135" s="105"/>
      <c r="U1135" s="105"/>
      <c r="V1135" s="105"/>
      <c r="W1135" s="105"/>
      <c r="X1135" s="105"/>
      <c r="Y1135" s="105"/>
      <c r="Z1135" s="105"/>
      <c r="AA1135" s="105"/>
      <c r="AB1135" s="105"/>
      <c r="AC1135" s="105"/>
      <c r="AD1135" s="105"/>
      <c r="AE1135" s="105"/>
      <c r="AF1135" s="105"/>
      <c r="AG1135" s="105"/>
      <c r="AH1135" s="105"/>
      <c r="AI1135" s="105"/>
      <c r="AJ1135" s="105"/>
      <c r="AK1135" s="105"/>
      <c r="AL1135" s="105"/>
      <c r="AM1135" s="105"/>
      <c r="AN1135" s="105"/>
      <c r="AO1135" s="105"/>
      <c r="AP1135" s="105"/>
      <c r="AQ1135" s="105"/>
      <c r="AR1135" s="105"/>
      <c r="AS1135" s="105"/>
      <c r="AT1135" s="105"/>
      <c r="AU1135" s="105"/>
      <c r="AV1135" s="105"/>
      <c r="AW1135" s="105"/>
      <c r="AX1135" s="105"/>
      <c r="AY1135" s="105"/>
      <c r="AZ1135" s="105"/>
      <c r="BA1135" s="105"/>
      <c r="BB1135" s="105"/>
      <c r="BC1135" s="105"/>
      <c r="BD1135" s="105"/>
      <c r="BE1135" s="105"/>
      <c r="BF1135" s="105"/>
      <c r="BG1135" s="105"/>
      <c r="BH1135" s="105"/>
      <c r="BI1135" s="105"/>
      <c r="BJ1135" s="105"/>
      <c r="BK1135" s="105"/>
      <c r="BL1135" s="105"/>
      <c r="BM1135" s="105"/>
      <c r="BN1135" s="105"/>
      <c r="BO1135" s="105"/>
      <c r="BP1135" s="105"/>
      <c r="BQ1135" s="105"/>
      <c r="BR1135" s="105"/>
      <c r="BS1135" s="105"/>
      <c r="BT1135" s="105"/>
      <c r="BU1135" s="105"/>
      <c r="BV1135" s="105"/>
      <c r="BW1135" s="105"/>
      <c r="BX1135" s="105"/>
      <c r="BY1135" s="105"/>
      <c r="BZ1135" s="105"/>
      <c r="CA1135" s="105"/>
      <c r="CB1135" s="105"/>
      <c r="CC1135" s="105"/>
      <c r="CD1135" s="105"/>
      <c r="CE1135" s="105"/>
      <c r="CF1135" s="105"/>
      <c r="CG1135" s="105"/>
      <c r="CH1135" s="105"/>
      <c r="CI1135" s="105"/>
      <c r="CJ1135" s="105"/>
      <c r="CK1135" s="105"/>
      <c r="CL1135" s="105"/>
      <c r="CM1135" s="105"/>
    </row>
    <row r="1136" spans="1:91" x14ac:dyDescent="0.25">
      <c r="A1136" s="281"/>
      <c r="B1136" s="105"/>
      <c r="C1136" s="105"/>
      <c r="D1136" s="105"/>
      <c r="E1136" s="106"/>
      <c r="F1136" s="105"/>
      <c r="G1136" s="315"/>
      <c r="H1136" s="107"/>
      <c r="I1136" s="105"/>
      <c r="J1136" s="105"/>
      <c r="K1136" s="105"/>
      <c r="L1136" s="105"/>
      <c r="M1136" s="105"/>
      <c r="N1136" s="105"/>
      <c r="O1136" s="105"/>
      <c r="P1136" s="105"/>
      <c r="Q1136" s="105"/>
      <c r="R1136" s="105"/>
      <c r="S1136" s="105"/>
      <c r="T1136" s="105"/>
      <c r="U1136" s="105"/>
      <c r="V1136" s="105"/>
      <c r="W1136" s="105"/>
      <c r="X1136" s="105"/>
      <c r="Y1136" s="105"/>
      <c r="Z1136" s="105"/>
      <c r="AA1136" s="105"/>
      <c r="AB1136" s="105"/>
      <c r="AC1136" s="105"/>
      <c r="AD1136" s="105"/>
      <c r="AE1136" s="105"/>
      <c r="AF1136" s="105"/>
      <c r="AG1136" s="105"/>
      <c r="AH1136" s="105"/>
      <c r="AI1136" s="105"/>
      <c r="AJ1136" s="105"/>
      <c r="AK1136" s="105"/>
      <c r="AL1136" s="105"/>
      <c r="AM1136" s="105"/>
      <c r="AN1136" s="105"/>
      <c r="AO1136" s="105"/>
      <c r="AP1136" s="105"/>
      <c r="AQ1136" s="105"/>
      <c r="AR1136" s="105"/>
      <c r="AS1136" s="105"/>
      <c r="AT1136" s="105"/>
      <c r="AU1136" s="105"/>
      <c r="AV1136" s="105"/>
      <c r="AW1136" s="105"/>
      <c r="AX1136" s="105"/>
      <c r="AY1136" s="105"/>
      <c r="AZ1136" s="105"/>
      <c r="BA1136" s="105"/>
      <c r="BB1136" s="105"/>
      <c r="BC1136" s="105"/>
      <c r="BD1136" s="105"/>
      <c r="BE1136" s="105"/>
      <c r="BF1136" s="105"/>
      <c r="BG1136" s="105"/>
      <c r="BH1136" s="105"/>
      <c r="BI1136" s="105"/>
      <c r="BJ1136" s="105"/>
      <c r="BK1136" s="105"/>
      <c r="BL1136" s="105"/>
      <c r="BM1136" s="105"/>
      <c r="BN1136" s="105"/>
      <c r="BO1136" s="105"/>
      <c r="BP1136" s="105"/>
      <c r="BQ1136" s="105"/>
      <c r="BR1136" s="105"/>
      <c r="BS1136" s="105"/>
      <c r="BT1136" s="105"/>
      <c r="BU1136" s="105"/>
      <c r="BV1136" s="105"/>
      <c r="BW1136" s="105"/>
      <c r="BX1136" s="105"/>
      <c r="BY1136" s="105"/>
      <c r="BZ1136" s="105"/>
      <c r="CA1136" s="105"/>
      <c r="CB1136" s="105"/>
      <c r="CC1136" s="105"/>
      <c r="CD1136" s="105"/>
      <c r="CE1136" s="105"/>
      <c r="CF1136" s="105"/>
      <c r="CG1136" s="105"/>
      <c r="CH1136" s="105"/>
      <c r="CI1136" s="105"/>
      <c r="CJ1136" s="105"/>
      <c r="CK1136" s="105"/>
      <c r="CL1136" s="105"/>
      <c r="CM1136" s="105"/>
    </row>
    <row r="1137" spans="1:91" x14ac:dyDescent="0.25">
      <c r="A1137" s="281"/>
      <c r="B1137" s="105"/>
      <c r="C1137" s="105"/>
      <c r="D1137" s="105"/>
      <c r="E1137" s="106"/>
      <c r="F1137" s="105"/>
      <c r="G1137" s="315"/>
      <c r="H1137" s="107"/>
      <c r="I1137" s="105"/>
      <c r="J1137" s="105"/>
      <c r="K1137" s="105"/>
      <c r="L1137" s="105"/>
      <c r="M1137" s="105"/>
      <c r="N1137" s="105"/>
      <c r="O1137" s="105"/>
      <c r="P1137" s="105"/>
      <c r="Q1137" s="105"/>
      <c r="R1137" s="105"/>
      <c r="S1137" s="105"/>
      <c r="T1137" s="105"/>
      <c r="U1137" s="105"/>
      <c r="V1137" s="105"/>
      <c r="W1137" s="105"/>
      <c r="X1137" s="105"/>
      <c r="Y1137" s="105"/>
      <c r="Z1137" s="105"/>
      <c r="AA1137" s="105"/>
      <c r="AB1137" s="105"/>
      <c r="AC1137" s="105"/>
      <c r="AD1137" s="105"/>
      <c r="AE1137" s="105"/>
      <c r="AF1137" s="105"/>
      <c r="AG1137" s="105"/>
      <c r="AH1137" s="105"/>
      <c r="AI1137" s="105"/>
      <c r="AJ1137" s="105"/>
      <c r="AK1137" s="105"/>
      <c r="AL1137" s="105"/>
      <c r="AM1137" s="105"/>
      <c r="AN1137" s="105"/>
      <c r="AO1137" s="105"/>
      <c r="AP1137" s="105"/>
      <c r="AQ1137" s="105"/>
      <c r="AR1137" s="105"/>
      <c r="AS1137" s="105"/>
      <c r="AT1137" s="105"/>
      <c r="AU1137" s="105"/>
      <c r="AV1137" s="105"/>
      <c r="AW1137" s="105"/>
      <c r="AX1137" s="105"/>
      <c r="AY1137" s="105"/>
      <c r="AZ1137" s="105"/>
      <c r="BA1137" s="105"/>
      <c r="BB1137" s="105"/>
      <c r="BC1137" s="105"/>
      <c r="BD1137" s="105"/>
      <c r="BE1137" s="105"/>
      <c r="BF1137" s="105"/>
      <c r="BG1137" s="105"/>
      <c r="BH1137" s="105"/>
      <c r="BI1137" s="105"/>
      <c r="BJ1137" s="105"/>
      <c r="BK1137" s="105"/>
      <c r="BL1137" s="105"/>
      <c r="BM1137" s="105"/>
      <c r="BN1137" s="105"/>
      <c r="BO1137" s="105"/>
      <c r="BP1137" s="105"/>
      <c r="BQ1137" s="105"/>
      <c r="BR1137" s="105"/>
      <c r="BS1137" s="105"/>
      <c r="BT1137" s="105"/>
      <c r="BU1137" s="105"/>
      <c r="BV1137" s="105"/>
      <c r="BW1137" s="105"/>
      <c r="BX1137" s="105"/>
      <c r="BY1137" s="105"/>
      <c r="BZ1137" s="105"/>
      <c r="CA1137" s="105"/>
      <c r="CB1137" s="105"/>
      <c r="CC1137" s="105"/>
      <c r="CD1137" s="105"/>
      <c r="CE1137" s="105"/>
      <c r="CF1137" s="105"/>
      <c r="CG1137" s="105"/>
      <c r="CH1137" s="105"/>
      <c r="CI1137" s="105"/>
      <c r="CJ1137" s="105"/>
      <c r="CK1137" s="105"/>
      <c r="CL1137" s="105"/>
      <c r="CM1137" s="105"/>
    </row>
    <row r="1138" spans="1:91" x14ac:dyDescent="0.25">
      <c r="A1138" s="281"/>
      <c r="B1138" s="105"/>
      <c r="C1138" s="105"/>
      <c r="D1138" s="105"/>
      <c r="E1138" s="106"/>
      <c r="F1138" s="105"/>
      <c r="G1138" s="315"/>
      <c r="H1138" s="107"/>
      <c r="I1138" s="105"/>
      <c r="J1138" s="105"/>
      <c r="K1138" s="105"/>
      <c r="L1138" s="105"/>
      <c r="M1138" s="105"/>
      <c r="N1138" s="105"/>
      <c r="O1138" s="105"/>
      <c r="P1138" s="105"/>
      <c r="Q1138" s="105"/>
      <c r="R1138" s="105"/>
      <c r="S1138" s="105"/>
      <c r="T1138" s="105"/>
      <c r="U1138" s="105"/>
      <c r="V1138" s="105"/>
      <c r="W1138" s="105"/>
      <c r="X1138" s="105"/>
      <c r="Y1138" s="105"/>
      <c r="Z1138" s="105"/>
      <c r="AA1138" s="105"/>
      <c r="AB1138" s="105"/>
      <c r="AC1138" s="105"/>
      <c r="AD1138" s="105"/>
      <c r="AE1138" s="105"/>
      <c r="AF1138" s="105"/>
      <c r="AG1138" s="105"/>
      <c r="AH1138" s="105"/>
      <c r="AI1138" s="105"/>
      <c r="AJ1138" s="105"/>
      <c r="AK1138" s="105"/>
      <c r="AL1138" s="105"/>
      <c r="AM1138" s="105"/>
      <c r="AN1138" s="105"/>
      <c r="AO1138" s="105"/>
      <c r="AP1138" s="105"/>
      <c r="AQ1138" s="105"/>
      <c r="AR1138" s="105"/>
      <c r="AS1138" s="105"/>
      <c r="AT1138" s="105"/>
      <c r="AU1138" s="105"/>
      <c r="AV1138" s="105"/>
      <c r="AW1138" s="105"/>
      <c r="AX1138" s="105"/>
      <c r="AY1138" s="105"/>
      <c r="AZ1138" s="105"/>
      <c r="BA1138" s="105"/>
      <c r="BB1138" s="105"/>
      <c r="BC1138" s="105"/>
      <c r="BD1138" s="105"/>
      <c r="BE1138" s="105"/>
      <c r="BF1138" s="105"/>
      <c r="BG1138" s="105"/>
      <c r="BH1138" s="105"/>
      <c r="BI1138" s="105"/>
      <c r="BJ1138" s="105"/>
      <c r="BK1138" s="105"/>
      <c r="BL1138" s="105"/>
      <c r="BM1138" s="105"/>
      <c r="BN1138" s="105"/>
      <c r="BO1138" s="105"/>
      <c r="BP1138" s="105"/>
      <c r="BQ1138" s="105"/>
      <c r="BR1138" s="105"/>
      <c r="BS1138" s="105"/>
      <c r="BT1138" s="105"/>
      <c r="BU1138" s="105"/>
      <c r="BV1138" s="105"/>
      <c r="BW1138" s="105"/>
      <c r="BX1138" s="105"/>
      <c r="BY1138" s="105"/>
      <c r="BZ1138" s="105"/>
      <c r="CA1138" s="105"/>
      <c r="CB1138" s="105"/>
      <c r="CC1138" s="105"/>
      <c r="CD1138" s="105"/>
      <c r="CE1138" s="105"/>
      <c r="CF1138" s="105"/>
      <c r="CG1138" s="105"/>
      <c r="CH1138" s="105"/>
      <c r="CI1138" s="105"/>
      <c r="CJ1138" s="105"/>
      <c r="CK1138" s="105"/>
      <c r="CL1138" s="105"/>
      <c r="CM1138" s="105"/>
    </row>
    <row r="1139" spans="1:91" x14ac:dyDescent="0.25">
      <c r="A1139" s="281"/>
      <c r="B1139" s="105"/>
      <c r="C1139" s="105"/>
      <c r="D1139" s="105"/>
      <c r="E1139" s="106"/>
      <c r="F1139" s="105"/>
      <c r="G1139" s="315"/>
      <c r="H1139" s="107"/>
      <c r="I1139" s="105"/>
      <c r="J1139" s="105"/>
      <c r="K1139" s="105"/>
      <c r="L1139" s="105"/>
      <c r="M1139" s="105"/>
      <c r="N1139" s="105"/>
      <c r="O1139" s="105"/>
      <c r="P1139" s="105"/>
      <c r="Q1139" s="105"/>
      <c r="R1139" s="105"/>
      <c r="S1139" s="105"/>
      <c r="T1139" s="105"/>
      <c r="U1139" s="105"/>
      <c r="V1139" s="105"/>
      <c r="W1139" s="105"/>
      <c r="X1139" s="105"/>
      <c r="Y1139" s="105"/>
      <c r="Z1139" s="105"/>
      <c r="AA1139" s="105"/>
      <c r="AB1139" s="105"/>
      <c r="AC1139" s="105"/>
      <c r="AD1139" s="105"/>
      <c r="AE1139" s="105"/>
      <c r="AF1139" s="105"/>
      <c r="AG1139" s="105"/>
      <c r="AH1139" s="105"/>
      <c r="AI1139" s="105"/>
      <c r="AJ1139" s="105"/>
      <c r="AK1139" s="105"/>
      <c r="AL1139" s="105"/>
      <c r="AM1139" s="105"/>
      <c r="AN1139" s="105"/>
      <c r="AO1139" s="105"/>
      <c r="AP1139" s="105"/>
      <c r="AQ1139" s="105"/>
      <c r="AR1139" s="105"/>
      <c r="AS1139" s="105"/>
      <c r="AT1139" s="105"/>
      <c r="AU1139" s="105"/>
      <c r="AV1139" s="105"/>
      <c r="AW1139" s="105"/>
      <c r="AX1139" s="105"/>
      <c r="AY1139" s="105"/>
      <c r="AZ1139" s="105"/>
      <c r="BA1139" s="105"/>
      <c r="BB1139" s="105"/>
      <c r="BC1139" s="105"/>
      <c r="BD1139" s="105"/>
      <c r="BE1139" s="105"/>
      <c r="BF1139" s="105"/>
      <c r="BG1139" s="105"/>
      <c r="BH1139" s="105"/>
      <c r="BI1139" s="105"/>
      <c r="BJ1139" s="105"/>
      <c r="BK1139" s="105"/>
      <c r="BL1139" s="105"/>
      <c r="BM1139" s="105"/>
      <c r="BN1139" s="105"/>
      <c r="BO1139" s="105"/>
      <c r="BP1139" s="105"/>
      <c r="BQ1139" s="105"/>
      <c r="BR1139" s="105"/>
      <c r="BS1139" s="105"/>
      <c r="BT1139" s="105"/>
      <c r="BU1139" s="105"/>
      <c r="BV1139" s="105"/>
      <c r="BW1139" s="105"/>
      <c r="BX1139" s="105"/>
      <c r="BY1139" s="105"/>
      <c r="BZ1139" s="105"/>
      <c r="CA1139" s="105"/>
      <c r="CB1139" s="105"/>
      <c r="CC1139" s="105"/>
      <c r="CD1139" s="105"/>
      <c r="CE1139" s="105"/>
      <c r="CF1139" s="105"/>
      <c r="CG1139" s="105"/>
      <c r="CH1139" s="105"/>
      <c r="CI1139" s="105"/>
      <c r="CJ1139" s="105"/>
      <c r="CK1139" s="105"/>
      <c r="CL1139" s="105"/>
      <c r="CM1139" s="105"/>
    </row>
    <row r="1140" spans="1:91" x14ac:dyDescent="0.25">
      <c r="A1140" s="281"/>
      <c r="B1140" s="105"/>
      <c r="C1140" s="105"/>
      <c r="D1140" s="105"/>
      <c r="E1140" s="106"/>
      <c r="F1140" s="105"/>
      <c r="G1140" s="315"/>
      <c r="H1140" s="107"/>
      <c r="I1140" s="105"/>
      <c r="J1140" s="105"/>
      <c r="K1140" s="105"/>
      <c r="L1140" s="105"/>
      <c r="M1140" s="105"/>
      <c r="N1140" s="105"/>
      <c r="O1140" s="105"/>
      <c r="P1140" s="105"/>
      <c r="Q1140" s="105"/>
      <c r="R1140" s="105"/>
      <c r="S1140" s="105"/>
      <c r="T1140" s="105"/>
      <c r="U1140" s="105"/>
      <c r="V1140" s="105"/>
      <c r="W1140" s="105"/>
      <c r="X1140" s="105"/>
      <c r="Y1140" s="105"/>
      <c r="Z1140" s="105"/>
      <c r="AA1140" s="105"/>
      <c r="AB1140" s="105"/>
      <c r="AC1140" s="105"/>
      <c r="AD1140" s="105"/>
      <c r="AE1140" s="105"/>
      <c r="AF1140" s="105"/>
      <c r="AG1140" s="105"/>
      <c r="AH1140" s="105"/>
      <c r="AI1140" s="105"/>
      <c r="AJ1140" s="105"/>
      <c r="AK1140" s="105"/>
      <c r="AL1140" s="105"/>
      <c r="AM1140" s="105"/>
      <c r="AN1140" s="105"/>
      <c r="AO1140" s="105"/>
      <c r="AP1140" s="105"/>
      <c r="AQ1140" s="105"/>
      <c r="AR1140" s="105"/>
      <c r="AS1140" s="105"/>
      <c r="AT1140" s="105"/>
      <c r="AU1140" s="105"/>
      <c r="AV1140" s="105"/>
      <c r="AW1140" s="105"/>
      <c r="AX1140" s="105"/>
      <c r="AY1140" s="105"/>
      <c r="AZ1140" s="105"/>
      <c r="BA1140" s="105"/>
      <c r="BB1140" s="105"/>
      <c r="BC1140" s="105"/>
      <c r="BD1140" s="105"/>
      <c r="BE1140" s="105"/>
      <c r="BF1140" s="105"/>
      <c r="BG1140" s="105"/>
      <c r="BH1140" s="105"/>
      <c r="BI1140" s="105"/>
      <c r="BJ1140" s="105"/>
      <c r="BK1140" s="105"/>
      <c r="BL1140" s="105"/>
      <c r="BM1140" s="105"/>
      <c r="BN1140" s="105"/>
      <c r="BO1140" s="105"/>
      <c r="BP1140" s="105"/>
      <c r="BQ1140" s="105"/>
      <c r="BR1140" s="105"/>
      <c r="BS1140" s="105"/>
      <c r="BT1140" s="105"/>
      <c r="BU1140" s="105"/>
      <c r="BV1140" s="105"/>
      <c r="BW1140" s="105"/>
      <c r="BX1140" s="105"/>
      <c r="BY1140" s="105"/>
      <c r="BZ1140" s="105"/>
      <c r="CA1140" s="105"/>
      <c r="CB1140" s="105"/>
      <c r="CC1140" s="105"/>
      <c r="CD1140" s="105"/>
      <c r="CE1140" s="105"/>
      <c r="CF1140" s="105"/>
      <c r="CG1140" s="105"/>
      <c r="CH1140" s="105"/>
      <c r="CI1140" s="105"/>
      <c r="CJ1140" s="105"/>
      <c r="CK1140" s="105"/>
      <c r="CL1140" s="105"/>
      <c r="CM1140" s="105"/>
    </row>
    <row r="1141" spans="1:91" x14ac:dyDescent="0.25">
      <c r="A1141" s="281"/>
      <c r="B1141" s="105"/>
      <c r="C1141" s="105"/>
      <c r="D1141" s="105"/>
      <c r="E1141" s="106"/>
      <c r="F1141" s="105"/>
      <c r="G1141" s="315"/>
      <c r="H1141" s="107"/>
      <c r="I1141" s="105"/>
      <c r="J1141" s="105"/>
      <c r="K1141" s="105"/>
      <c r="L1141" s="105"/>
      <c r="M1141" s="105"/>
      <c r="N1141" s="105"/>
      <c r="O1141" s="105"/>
      <c r="P1141" s="105"/>
      <c r="Q1141" s="105"/>
      <c r="R1141" s="105"/>
      <c r="S1141" s="105"/>
      <c r="T1141" s="105"/>
      <c r="U1141" s="105"/>
      <c r="V1141" s="105"/>
      <c r="W1141" s="105"/>
      <c r="X1141" s="105"/>
      <c r="Y1141" s="105"/>
      <c r="Z1141" s="105"/>
      <c r="AA1141" s="105"/>
      <c r="AB1141" s="105"/>
      <c r="AC1141" s="105"/>
      <c r="AD1141" s="105"/>
      <c r="AE1141" s="105"/>
      <c r="AF1141" s="105"/>
      <c r="AG1141" s="105"/>
      <c r="AH1141" s="105"/>
      <c r="AI1141" s="105"/>
      <c r="AJ1141" s="105"/>
      <c r="AK1141" s="105"/>
      <c r="AL1141" s="105"/>
      <c r="AM1141" s="105"/>
      <c r="AN1141" s="105"/>
      <c r="AO1141" s="105"/>
      <c r="AP1141" s="105"/>
      <c r="AQ1141" s="105"/>
      <c r="AR1141" s="105"/>
      <c r="AS1141" s="105"/>
      <c r="AT1141" s="105"/>
      <c r="AU1141" s="105"/>
      <c r="AV1141" s="105"/>
      <c r="AW1141" s="105"/>
      <c r="AX1141" s="105"/>
      <c r="AY1141" s="105"/>
      <c r="AZ1141" s="105"/>
      <c r="BA1141" s="105"/>
      <c r="BB1141" s="105"/>
      <c r="BC1141" s="105"/>
      <c r="BD1141" s="105"/>
      <c r="BE1141" s="105"/>
      <c r="BF1141" s="105"/>
      <c r="BG1141" s="105"/>
      <c r="BH1141" s="105"/>
      <c r="BI1141" s="105"/>
      <c r="BJ1141" s="105"/>
      <c r="BK1141" s="105"/>
      <c r="BL1141" s="105"/>
      <c r="BM1141" s="105"/>
      <c r="BN1141" s="105"/>
      <c r="BO1141" s="105"/>
      <c r="BP1141" s="105"/>
      <c r="BQ1141" s="105"/>
      <c r="BR1141" s="105"/>
      <c r="BS1141" s="105"/>
      <c r="BT1141" s="105"/>
      <c r="BU1141" s="105"/>
      <c r="BV1141" s="105"/>
      <c r="BW1141" s="105"/>
      <c r="BX1141" s="105"/>
      <c r="BY1141" s="105"/>
      <c r="BZ1141" s="105"/>
      <c r="CA1141" s="105"/>
      <c r="CB1141" s="105"/>
      <c r="CC1141" s="105"/>
      <c r="CD1141" s="105"/>
      <c r="CE1141" s="105"/>
      <c r="CF1141" s="105"/>
      <c r="CG1141" s="105"/>
      <c r="CH1141" s="105"/>
      <c r="CI1141" s="105"/>
      <c r="CJ1141" s="105"/>
      <c r="CK1141" s="105"/>
      <c r="CL1141" s="105"/>
      <c r="CM1141" s="105"/>
    </row>
    <row r="1142" spans="1:91" x14ac:dyDescent="0.25">
      <c r="A1142" s="281"/>
      <c r="B1142" s="105"/>
      <c r="C1142" s="105"/>
      <c r="D1142" s="105"/>
      <c r="E1142" s="106"/>
      <c r="F1142" s="105"/>
      <c r="G1142" s="315"/>
      <c r="H1142" s="107"/>
      <c r="I1142" s="105"/>
      <c r="J1142" s="105"/>
      <c r="K1142" s="105"/>
      <c r="L1142" s="105"/>
      <c r="M1142" s="105"/>
      <c r="N1142" s="105"/>
      <c r="O1142" s="105"/>
      <c r="P1142" s="105"/>
      <c r="Q1142" s="105"/>
      <c r="R1142" s="105"/>
      <c r="S1142" s="105"/>
      <c r="T1142" s="105"/>
      <c r="U1142" s="105"/>
      <c r="V1142" s="105"/>
      <c r="W1142" s="105"/>
      <c r="X1142" s="105"/>
      <c r="Y1142" s="105"/>
      <c r="Z1142" s="105"/>
      <c r="AA1142" s="105"/>
      <c r="AB1142" s="105"/>
      <c r="AC1142" s="105"/>
      <c r="AD1142" s="105"/>
      <c r="AE1142" s="105"/>
      <c r="AF1142" s="105"/>
      <c r="AG1142" s="105"/>
      <c r="AH1142" s="105"/>
      <c r="AI1142" s="105"/>
      <c r="AJ1142" s="105"/>
      <c r="AK1142" s="105"/>
      <c r="AL1142" s="105"/>
      <c r="AM1142" s="105"/>
      <c r="AN1142" s="105"/>
      <c r="AO1142" s="105"/>
      <c r="AP1142" s="105"/>
      <c r="AQ1142" s="105"/>
      <c r="AR1142" s="105"/>
      <c r="AS1142" s="105"/>
      <c r="AT1142" s="105"/>
      <c r="AU1142" s="105"/>
      <c r="AV1142" s="105"/>
      <c r="AW1142" s="105"/>
      <c r="AX1142" s="105"/>
      <c r="AY1142" s="105"/>
      <c r="AZ1142" s="105"/>
      <c r="BA1142" s="105"/>
      <c r="BB1142" s="105"/>
      <c r="BC1142" s="105"/>
      <c r="BD1142" s="105"/>
      <c r="BE1142" s="105"/>
      <c r="BF1142" s="105"/>
      <c r="BG1142" s="105"/>
      <c r="BH1142" s="105"/>
      <c r="BI1142" s="105"/>
      <c r="BJ1142" s="105"/>
      <c r="BK1142" s="105"/>
      <c r="BL1142" s="105"/>
      <c r="BM1142" s="105"/>
      <c r="BN1142" s="105"/>
      <c r="BO1142" s="105"/>
      <c r="BP1142" s="105"/>
      <c r="BQ1142" s="105"/>
      <c r="BR1142" s="105"/>
      <c r="BS1142" s="105"/>
      <c r="BT1142" s="105"/>
      <c r="BU1142" s="105"/>
      <c r="BV1142" s="105"/>
      <c r="BW1142" s="105"/>
      <c r="BX1142" s="105"/>
      <c r="BY1142" s="105"/>
      <c r="BZ1142" s="105"/>
      <c r="CA1142" s="105"/>
      <c r="CB1142" s="105"/>
      <c r="CC1142" s="105"/>
      <c r="CD1142" s="105"/>
      <c r="CE1142" s="105"/>
      <c r="CF1142" s="105"/>
      <c r="CG1142" s="105"/>
      <c r="CH1142" s="105"/>
      <c r="CI1142" s="105"/>
      <c r="CJ1142" s="105"/>
      <c r="CK1142" s="105"/>
      <c r="CL1142" s="105"/>
      <c r="CM1142" s="105"/>
    </row>
    <row r="1143" spans="1:91" x14ac:dyDescent="0.25">
      <c r="A1143" s="281"/>
      <c r="B1143" s="105"/>
      <c r="C1143" s="105"/>
      <c r="D1143" s="105"/>
      <c r="E1143" s="106"/>
      <c r="F1143" s="105"/>
      <c r="G1143" s="315"/>
      <c r="H1143" s="107"/>
      <c r="I1143" s="105"/>
      <c r="J1143" s="105"/>
      <c r="K1143" s="105"/>
      <c r="L1143" s="105"/>
      <c r="M1143" s="105"/>
      <c r="N1143" s="105"/>
      <c r="O1143" s="105"/>
      <c r="P1143" s="105"/>
      <c r="Q1143" s="105"/>
      <c r="R1143" s="105"/>
      <c r="S1143" s="105"/>
      <c r="T1143" s="105"/>
      <c r="U1143" s="105"/>
      <c r="V1143" s="105"/>
      <c r="W1143" s="105"/>
      <c r="X1143" s="105"/>
      <c r="Y1143" s="105"/>
      <c r="Z1143" s="105"/>
      <c r="AA1143" s="105"/>
      <c r="AB1143" s="105"/>
      <c r="AC1143" s="105"/>
      <c r="AD1143" s="105"/>
      <c r="AE1143" s="105"/>
      <c r="AF1143" s="105"/>
      <c r="AG1143" s="105"/>
      <c r="AH1143" s="105"/>
      <c r="AI1143" s="105"/>
      <c r="AJ1143" s="105"/>
      <c r="AK1143" s="105"/>
      <c r="AL1143" s="105"/>
      <c r="AM1143" s="105"/>
      <c r="AN1143" s="105"/>
      <c r="AO1143" s="105"/>
      <c r="AP1143" s="105"/>
      <c r="AQ1143" s="105"/>
      <c r="AR1143" s="105"/>
      <c r="AS1143" s="105"/>
      <c r="AT1143" s="105"/>
      <c r="AU1143" s="105"/>
      <c r="AV1143" s="105"/>
      <c r="AW1143" s="105"/>
      <c r="AX1143" s="105"/>
      <c r="AY1143" s="105"/>
      <c r="AZ1143" s="105"/>
      <c r="BA1143" s="105"/>
      <c r="BB1143" s="105"/>
      <c r="BC1143" s="105"/>
      <c r="BD1143" s="105"/>
      <c r="BE1143" s="105"/>
      <c r="BF1143" s="105"/>
      <c r="BG1143" s="105"/>
      <c r="BH1143" s="105"/>
      <c r="BI1143" s="105"/>
      <c r="BJ1143" s="105"/>
      <c r="BK1143" s="105"/>
      <c r="BL1143" s="105"/>
      <c r="BM1143" s="105"/>
      <c r="BN1143" s="105"/>
      <c r="BO1143" s="105"/>
      <c r="BP1143" s="105"/>
      <c r="BQ1143" s="105"/>
      <c r="BR1143" s="105"/>
      <c r="BS1143" s="105"/>
      <c r="BT1143" s="105"/>
      <c r="BU1143" s="105"/>
      <c r="BV1143" s="105"/>
      <c r="BW1143" s="105"/>
      <c r="BX1143" s="105"/>
      <c r="BY1143" s="105"/>
      <c r="BZ1143" s="105"/>
      <c r="CA1143" s="105"/>
      <c r="CB1143" s="105"/>
      <c r="CC1143" s="105"/>
      <c r="CD1143" s="105"/>
      <c r="CE1143" s="105"/>
      <c r="CF1143" s="105"/>
      <c r="CG1143" s="105"/>
      <c r="CH1143" s="105"/>
      <c r="CI1143" s="105"/>
      <c r="CJ1143" s="105"/>
      <c r="CK1143" s="105"/>
      <c r="CL1143" s="105"/>
      <c r="CM1143" s="105"/>
    </row>
    <row r="1144" spans="1:91" x14ac:dyDescent="0.25">
      <c r="A1144" s="281"/>
      <c r="B1144" s="105"/>
      <c r="C1144" s="105"/>
      <c r="D1144" s="105"/>
      <c r="E1144" s="106"/>
      <c r="F1144" s="105"/>
      <c r="G1144" s="315"/>
      <c r="H1144" s="107"/>
      <c r="I1144" s="105"/>
      <c r="J1144" s="105"/>
      <c r="K1144" s="105"/>
      <c r="L1144" s="105"/>
      <c r="M1144" s="105"/>
      <c r="N1144" s="105"/>
      <c r="O1144" s="105"/>
      <c r="P1144" s="105"/>
      <c r="Q1144" s="105"/>
      <c r="R1144" s="105"/>
      <c r="S1144" s="105"/>
      <c r="T1144" s="105"/>
      <c r="U1144" s="105"/>
      <c r="V1144" s="105"/>
      <c r="W1144" s="105"/>
      <c r="X1144" s="105"/>
      <c r="Y1144" s="105"/>
      <c r="Z1144" s="105"/>
      <c r="AA1144" s="105"/>
      <c r="AB1144" s="105"/>
      <c r="AC1144" s="105"/>
      <c r="AD1144" s="105"/>
      <c r="AE1144" s="105"/>
      <c r="AF1144" s="105"/>
      <c r="AG1144" s="105"/>
      <c r="AH1144" s="105"/>
      <c r="AI1144" s="105"/>
      <c r="AJ1144" s="105"/>
      <c r="AK1144" s="105"/>
      <c r="AL1144" s="105"/>
      <c r="AM1144" s="105"/>
      <c r="AN1144" s="105"/>
      <c r="AO1144" s="105"/>
      <c r="AP1144" s="105"/>
      <c r="AQ1144" s="105"/>
      <c r="AR1144" s="105"/>
      <c r="AS1144" s="105"/>
      <c r="AT1144" s="105"/>
      <c r="AU1144" s="105"/>
      <c r="AV1144" s="105"/>
      <c r="AW1144" s="105"/>
      <c r="AX1144" s="105"/>
      <c r="AY1144" s="105"/>
      <c r="AZ1144" s="105"/>
      <c r="BA1144" s="105"/>
      <c r="BB1144" s="105"/>
      <c r="BC1144" s="105"/>
      <c r="BD1144" s="105"/>
      <c r="BE1144" s="105"/>
      <c r="BF1144" s="105"/>
      <c r="BG1144" s="105"/>
      <c r="BH1144" s="105"/>
      <c r="BI1144" s="105"/>
      <c r="BJ1144" s="105"/>
      <c r="BK1144" s="105"/>
      <c r="BL1144" s="105"/>
      <c r="BM1144" s="105"/>
      <c r="BN1144" s="105"/>
      <c r="BO1144" s="105"/>
      <c r="BP1144" s="105"/>
      <c r="BQ1144" s="105"/>
      <c r="BR1144" s="105"/>
      <c r="BS1144" s="105"/>
      <c r="BT1144" s="105"/>
      <c r="BU1144" s="105"/>
      <c r="BV1144" s="105"/>
      <c r="BW1144" s="105"/>
      <c r="BX1144" s="105"/>
      <c r="BY1144" s="105"/>
      <c r="BZ1144" s="105"/>
      <c r="CA1144" s="105"/>
      <c r="CB1144" s="105"/>
      <c r="CC1144" s="105"/>
      <c r="CD1144" s="105"/>
      <c r="CE1144" s="105"/>
      <c r="CF1144" s="105"/>
      <c r="CG1144" s="105"/>
      <c r="CH1144" s="105"/>
      <c r="CI1144" s="105"/>
      <c r="CJ1144" s="105"/>
      <c r="CK1144" s="105"/>
      <c r="CL1144" s="105"/>
      <c r="CM1144" s="105"/>
    </row>
    <row r="1145" spans="1:91" x14ac:dyDescent="0.25">
      <c r="A1145" s="281"/>
      <c r="B1145" s="105"/>
      <c r="C1145" s="105"/>
      <c r="D1145" s="105"/>
      <c r="E1145" s="106"/>
      <c r="F1145" s="105"/>
      <c r="G1145" s="315"/>
      <c r="H1145" s="107"/>
      <c r="I1145" s="105"/>
      <c r="J1145" s="105"/>
      <c r="K1145" s="105"/>
      <c r="L1145" s="105"/>
      <c r="M1145" s="105"/>
      <c r="N1145" s="105"/>
      <c r="O1145" s="105"/>
      <c r="P1145" s="105"/>
      <c r="Q1145" s="105"/>
      <c r="R1145" s="105"/>
      <c r="S1145" s="105"/>
      <c r="T1145" s="105"/>
      <c r="U1145" s="105"/>
      <c r="V1145" s="105"/>
      <c r="W1145" s="105"/>
      <c r="X1145" s="105"/>
      <c r="Y1145" s="105"/>
      <c r="Z1145" s="105"/>
      <c r="AA1145" s="105"/>
      <c r="AB1145" s="105"/>
      <c r="AC1145" s="105"/>
      <c r="AD1145" s="105"/>
      <c r="AE1145" s="105"/>
      <c r="AF1145" s="105"/>
      <c r="AG1145" s="105"/>
      <c r="AH1145" s="105"/>
      <c r="AI1145" s="105"/>
      <c r="AJ1145" s="105"/>
      <c r="AK1145" s="105"/>
      <c r="AL1145" s="105"/>
      <c r="AM1145" s="105"/>
      <c r="AN1145" s="105"/>
      <c r="AO1145" s="105"/>
      <c r="AP1145" s="105"/>
      <c r="AQ1145" s="105"/>
      <c r="AR1145" s="105"/>
      <c r="AS1145" s="105"/>
      <c r="AT1145" s="105"/>
      <c r="AU1145" s="105"/>
      <c r="AV1145" s="105"/>
      <c r="AW1145" s="105"/>
      <c r="AX1145" s="105"/>
      <c r="AY1145" s="105"/>
      <c r="AZ1145" s="105"/>
      <c r="BA1145" s="105"/>
      <c r="BB1145" s="105"/>
      <c r="BC1145" s="105"/>
      <c r="BD1145" s="105"/>
      <c r="BE1145" s="105"/>
      <c r="BF1145" s="105"/>
      <c r="BG1145" s="105"/>
      <c r="BH1145" s="105"/>
      <c r="BI1145" s="105"/>
      <c r="BJ1145" s="105"/>
      <c r="BK1145" s="105"/>
      <c r="BL1145" s="105"/>
      <c r="BM1145" s="105"/>
      <c r="BN1145" s="105"/>
      <c r="BO1145" s="105"/>
      <c r="BP1145" s="105"/>
      <c r="BQ1145" s="105"/>
      <c r="BR1145" s="105"/>
      <c r="BS1145" s="105"/>
      <c r="BT1145" s="105"/>
      <c r="BU1145" s="105"/>
      <c r="BV1145" s="105"/>
      <c r="BW1145" s="105"/>
      <c r="BX1145" s="105"/>
      <c r="BY1145" s="105"/>
      <c r="BZ1145" s="105"/>
      <c r="CA1145" s="105"/>
      <c r="CB1145" s="105"/>
      <c r="CC1145" s="105"/>
      <c r="CD1145" s="105"/>
      <c r="CE1145" s="105"/>
      <c r="CF1145" s="105"/>
      <c r="CG1145" s="105"/>
      <c r="CH1145" s="105"/>
      <c r="CI1145" s="105"/>
      <c r="CJ1145" s="105"/>
      <c r="CK1145" s="105"/>
      <c r="CL1145" s="105"/>
      <c r="CM1145" s="105"/>
    </row>
    <row r="1146" spans="1:91" x14ac:dyDescent="0.25">
      <c r="A1146" s="281"/>
      <c r="B1146" s="105"/>
      <c r="C1146" s="105"/>
      <c r="D1146" s="105"/>
      <c r="E1146" s="106"/>
      <c r="F1146" s="105"/>
      <c r="G1146" s="315"/>
      <c r="H1146" s="107"/>
      <c r="I1146" s="105"/>
      <c r="J1146" s="105"/>
      <c r="K1146" s="105"/>
      <c r="L1146" s="105"/>
      <c r="M1146" s="105"/>
      <c r="N1146" s="105"/>
      <c r="O1146" s="105"/>
      <c r="P1146" s="105"/>
      <c r="Q1146" s="105"/>
      <c r="R1146" s="105"/>
      <c r="S1146" s="105"/>
      <c r="T1146" s="105"/>
      <c r="U1146" s="105"/>
      <c r="V1146" s="105"/>
      <c r="W1146" s="105"/>
      <c r="X1146" s="105"/>
      <c r="Y1146" s="105"/>
      <c r="Z1146" s="105"/>
      <c r="AA1146" s="105"/>
      <c r="AB1146" s="105"/>
      <c r="AC1146" s="105"/>
      <c r="AD1146" s="105"/>
      <c r="AE1146" s="105"/>
      <c r="AF1146" s="105"/>
      <c r="AG1146" s="105"/>
      <c r="AH1146" s="105"/>
      <c r="AI1146" s="105"/>
      <c r="AJ1146" s="105"/>
      <c r="AK1146" s="105"/>
      <c r="AL1146" s="105"/>
      <c r="AM1146" s="105"/>
      <c r="AN1146" s="105"/>
      <c r="AO1146" s="105"/>
      <c r="AP1146" s="105"/>
      <c r="AQ1146" s="105"/>
      <c r="AR1146" s="105"/>
      <c r="AS1146" s="105"/>
      <c r="AT1146" s="105"/>
      <c r="AU1146" s="105"/>
      <c r="AV1146" s="105"/>
      <c r="AW1146" s="105"/>
      <c r="AX1146" s="105"/>
      <c r="AY1146" s="105"/>
      <c r="AZ1146" s="105"/>
      <c r="BA1146" s="105"/>
      <c r="BB1146" s="105"/>
      <c r="BC1146" s="105"/>
      <c r="BD1146" s="105"/>
      <c r="BE1146" s="105"/>
      <c r="BF1146" s="105"/>
      <c r="BG1146" s="105"/>
      <c r="BH1146" s="105"/>
      <c r="BI1146" s="105"/>
      <c r="BJ1146" s="105"/>
      <c r="BK1146" s="105"/>
      <c r="BL1146" s="105"/>
      <c r="BM1146" s="105"/>
      <c r="BN1146" s="105"/>
      <c r="BO1146" s="105"/>
      <c r="BP1146" s="105"/>
      <c r="BQ1146" s="105"/>
      <c r="BR1146" s="105"/>
      <c r="BS1146" s="105"/>
      <c r="BT1146" s="105"/>
      <c r="BU1146" s="105"/>
      <c r="BV1146" s="105"/>
      <c r="BW1146" s="105"/>
      <c r="BX1146" s="105"/>
      <c r="BY1146" s="105"/>
      <c r="BZ1146" s="105"/>
      <c r="CA1146" s="105"/>
      <c r="CB1146" s="105"/>
      <c r="CC1146" s="105"/>
      <c r="CD1146" s="105"/>
      <c r="CE1146" s="105"/>
      <c r="CF1146" s="105"/>
      <c r="CG1146" s="105"/>
      <c r="CH1146" s="105"/>
      <c r="CI1146" s="105"/>
      <c r="CJ1146" s="105"/>
      <c r="CK1146" s="105"/>
      <c r="CL1146" s="105"/>
      <c r="CM1146" s="105"/>
    </row>
    <row r="1147" spans="1:91" x14ac:dyDescent="0.25">
      <c r="A1147" s="281"/>
      <c r="B1147" s="105"/>
      <c r="C1147" s="105"/>
      <c r="D1147" s="105"/>
      <c r="E1147" s="106"/>
      <c r="F1147" s="105"/>
      <c r="G1147" s="315"/>
      <c r="H1147" s="107"/>
      <c r="I1147" s="105"/>
      <c r="J1147" s="105"/>
      <c r="K1147" s="105"/>
      <c r="L1147" s="105"/>
      <c r="M1147" s="105"/>
      <c r="N1147" s="105"/>
      <c r="O1147" s="105"/>
      <c r="P1147" s="105"/>
      <c r="Q1147" s="105"/>
      <c r="R1147" s="105"/>
      <c r="S1147" s="105"/>
      <c r="T1147" s="105"/>
      <c r="U1147" s="105"/>
      <c r="V1147" s="105"/>
      <c r="W1147" s="105"/>
      <c r="X1147" s="105"/>
      <c r="Y1147" s="105"/>
      <c r="Z1147" s="105"/>
      <c r="AA1147" s="105"/>
      <c r="AB1147" s="105"/>
      <c r="AC1147" s="105"/>
      <c r="AD1147" s="105"/>
      <c r="AE1147" s="105"/>
      <c r="AF1147" s="105"/>
      <c r="AG1147" s="105"/>
      <c r="AH1147" s="105"/>
      <c r="AI1147" s="105"/>
      <c r="AJ1147" s="105"/>
      <c r="AK1147" s="105"/>
      <c r="AL1147" s="105"/>
      <c r="AM1147" s="105"/>
      <c r="AN1147" s="105"/>
      <c r="AO1147" s="105"/>
      <c r="AP1147" s="105"/>
      <c r="AQ1147" s="105"/>
      <c r="AR1147" s="105"/>
      <c r="AS1147" s="105"/>
      <c r="AT1147" s="105"/>
      <c r="AU1147" s="105"/>
      <c r="AV1147" s="105"/>
      <c r="AW1147" s="105"/>
      <c r="AX1147" s="105"/>
      <c r="AY1147" s="105"/>
      <c r="AZ1147" s="105"/>
      <c r="BA1147" s="105"/>
      <c r="BB1147" s="105"/>
      <c r="BC1147" s="105"/>
      <c r="BD1147" s="105"/>
      <c r="BE1147" s="105"/>
      <c r="BF1147" s="105"/>
      <c r="BG1147" s="105"/>
      <c r="BH1147" s="105"/>
      <c r="BI1147" s="105"/>
      <c r="BJ1147" s="105"/>
      <c r="BK1147" s="105"/>
      <c r="BL1147" s="105"/>
      <c r="BM1147" s="105"/>
      <c r="BN1147" s="105"/>
      <c r="BO1147" s="105"/>
      <c r="BP1147" s="105"/>
      <c r="BQ1147" s="105"/>
      <c r="BR1147" s="105"/>
      <c r="BS1147" s="105"/>
      <c r="BT1147" s="105"/>
      <c r="BU1147" s="105"/>
      <c r="BV1147" s="105"/>
      <c r="BW1147" s="105"/>
      <c r="BX1147" s="105"/>
      <c r="BY1147" s="105"/>
      <c r="BZ1147" s="105"/>
      <c r="CA1147" s="105"/>
      <c r="CB1147" s="105"/>
      <c r="CC1147" s="105"/>
      <c r="CD1147" s="105"/>
      <c r="CE1147" s="105"/>
      <c r="CF1147" s="105"/>
      <c r="CG1147" s="105"/>
      <c r="CH1147" s="105"/>
      <c r="CI1147" s="105"/>
      <c r="CJ1147" s="105"/>
      <c r="CK1147" s="105"/>
      <c r="CL1147" s="105"/>
      <c r="CM1147" s="105"/>
    </row>
    <row r="1148" spans="1:91" x14ac:dyDescent="0.25">
      <c r="A1148" s="281"/>
      <c r="B1148" s="105"/>
      <c r="C1148" s="105"/>
      <c r="D1148" s="105"/>
      <c r="E1148" s="106"/>
      <c r="F1148" s="105"/>
      <c r="G1148" s="315"/>
      <c r="H1148" s="107"/>
      <c r="I1148" s="105"/>
      <c r="J1148" s="105"/>
      <c r="K1148" s="105"/>
      <c r="L1148" s="105"/>
      <c r="M1148" s="105"/>
      <c r="N1148" s="105"/>
      <c r="O1148" s="105"/>
      <c r="P1148" s="105"/>
      <c r="Q1148" s="105"/>
      <c r="R1148" s="105"/>
      <c r="S1148" s="105"/>
      <c r="T1148" s="105"/>
      <c r="U1148" s="105"/>
      <c r="V1148" s="105"/>
      <c r="W1148" s="105"/>
      <c r="X1148" s="105"/>
      <c r="Y1148" s="105"/>
      <c r="Z1148" s="105"/>
      <c r="AA1148" s="105"/>
      <c r="AB1148" s="105"/>
      <c r="AC1148" s="105"/>
      <c r="AD1148" s="105"/>
      <c r="AE1148" s="105"/>
      <c r="AF1148" s="105"/>
      <c r="AG1148" s="105"/>
      <c r="AH1148" s="105"/>
      <c r="AI1148" s="105"/>
      <c r="AJ1148" s="105"/>
      <c r="AK1148" s="105"/>
      <c r="AL1148" s="105"/>
      <c r="AM1148" s="105"/>
      <c r="AN1148" s="105"/>
      <c r="AO1148" s="105"/>
      <c r="AP1148" s="105"/>
      <c r="AQ1148" s="105"/>
      <c r="AR1148" s="105"/>
      <c r="AS1148" s="105"/>
      <c r="AT1148" s="105"/>
      <c r="AU1148" s="105"/>
      <c r="AV1148" s="105"/>
      <c r="AW1148" s="105"/>
      <c r="AX1148" s="105"/>
      <c r="AY1148" s="105"/>
      <c r="AZ1148" s="105"/>
      <c r="BA1148" s="105"/>
      <c r="BB1148" s="105"/>
      <c r="BC1148" s="105"/>
      <c r="BD1148" s="105"/>
      <c r="BE1148" s="105"/>
      <c r="BF1148" s="105"/>
      <c r="BG1148" s="105"/>
      <c r="BH1148" s="105"/>
      <c r="BI1148" s="105"/>
      <c r="BJ1148" s="105"/>
      <c r="BK1148" s="105"/>
      <c r="BL1148" s="105"/>
      <c r="BM1148" s="105"/>
      <c r="BN1148" s="105"/>
      <c r="BO1148" s="105"/>
      <c r="BP1148" s="105"/>
      <c r="BQ1148" s="105"/>
      <c r="BR1148" s="105"/>
      <c r="BS1148" s="105"/>
      <c r="BT1148" s="105"/>
      <c r="BU1148" s="105"/>
      <c r="BV1148" s="105"/>
      <c r="BW1148" s="105"/>
      <c r="BX1148" s="105"/>
      <c r="BY1148" s="105"/>
      <c r="BZ1148" s="105"/>
      <c r="CA1148" s="105"/>
      <c r="CB1148" s="105"/>
      <c r="CC1148" s="105"/>
      <c r="CD1148" s="105"/>
      <c r="CE1148" s="105"/>
      <c r="CF1148" s="105"/>
      <c r="CG1148" s="105"/>
      <c r="CH1148" s="105"/>
      <c r="CI1148" s="105"/>
      <c r="CJ1148" s="105"/>
      <c r="CK1148" s="105"/>
      <c r="CL1148" s="105"/>
      <c r="CM1148" s="105"/>
    </row>
    <row r="1149" spans="1:91" x14ac:dyDescent="0.25">
      <c r="A1149" s="281"/>
      <c r="B1149" s="105"/>
      <c r="C1149" s="105"/>
      <c r="D1149" s="105"/>
      <c r="E1149" s="106"/>
      <c r="F1149" s="105"/>
      <c r="G1149" s="315"/>
      <c r="H1149" s="107"/>
      <c r="I1149" s="105"/>
      <c r="J1149" s="105"/>
      <c r="K1149" s="105"/>
      <c r="L1149" s="105"/>
      <c r="M1149" s="105"/>
      <c r="N1149" s="105"/>
      <c r="O1149" s="105"/>
      <c r="P1149" s="105"/>
      <c r="Q1149" s="105"/>
      <c r="R1149" s="105"/>
      <c r="S1149" s="105"/>
      <c r="T1149" s="105"/>
      <c r="U1149" s="105"/>
      <c r="V1149" s="105"/>
      <c r="W1149" s="105"/>
      <c r="X1149" s="105"/>
      <c r="Y1149" s="105"/>
      <c r="Z1149" s="105"/>
      <c r="AA1149" s="105"/>
      <c r="AB1149" s="105"/>
      <c r="AC1149" s="105"/>
      <c r="AD1149" s="105"/>
      <c r="AE1149" s="105"/>
      <c r="AF1149" s="105"/>
      <c r="AG1149" s="105"/>
      <c r="AH1149" s="105"/>
      <c r="AI1149" s="105"/>
      <c r="AJ1149" s="105"/>
      <c r="AK1149" s="105"/>
      <c r="AL1149" s="105"/>
      <c r="AM1149" s="105"/>
      <c r="AN1149" s="105"/>
      <c r="AO1149" s="105"/>
      <c r="AP1149" s="105"/>
      <c r="AQ1149" s="105"/>
      <c r="AR1149" s="105"/>
      <c r="AS1149" s="105"/>
      <c r="AT1149" s="105"/>
      <c r="AU1149" s="105"/>
      <c r="AV1149" s="105"/>
      <c r="AW1149" s="105"/>
      <c r="AX1149" s="105"/>
      <c r="AY1149" s="105"/>
      <c r="AZ1149" s="105"/>
      <c r="BA1149" s="105"/>
      <c r="BB1149" s="105"/>
      <c r="BC1149" s="105"/>
      <c r="BD1149" s="105"/>
      <c r="BE1149" s="105"/>
      <c r="BF1149" s="105"/>
      <c r="BG1149" s="105"/>
      <c r="BH1149" s="105"/>
      <c r="BI1149" s="105"/>
      <c r="BJ1149" s="105"/>
      <c r="BK1149" s="105"/>
      <c r="BL1149" s="105"/>
      <c r="BM1149" s="105"/>
      <c r="BN1149" s="105"/>
      <c r="BO1149" s="105"/>
      <c r="BP1149" s="105"/>
      <c r="BQ1149" s="105"/>
      <c r="BR1149" s="105"/>
      <c r="BS1149" s="105"/>
      <c r="BT1149" s="105"/>
      <c r="BU1149" s="105"/>
      <c r="BV1149" s="105"/>
      <c r="BW1149" s="105"/>
      <c r="BX1149" s="105"/>
      <c r="BY1149" s="105"/>
      <c r="BZ1149" s="105"/>
      <c r="CA1149" s="105"/>
      <c r="CB1149" s="105"/>
      <c r="CC1149" s="105"/>
      <c r="CD1149" s="105"/>
      <c r="CE1149" s="105"/>
      <c r="CF1149" s="105"/>
      <c r="CG1149" s="105"/>
      <c r="CH1149" s="105"/>
      <c r="CI1149" s="105"/>
      <c r="CJ1149" s="105"/>
      <c r="CK1149" s="105"/>
      <c r="CL1149" s="105"/>
      <c r="CM1149" s="105"/>
    </row>
    <row r="1150" spans="1:91" x14ac:dyDescent="0.25">
      <c r="A1150" s="281"/>
      <c r="B1150" s="105"/>
      <c r="C1150" s="105"/>
      <c r="D1150" s="105"/>
      <c r="E1150" s="106"/>
      <c r="F1150" s="105"/>
      <c r="G1150" s="315"/>
      <c r="H1150" s="107"/>
      <c r="I1150" s="105"/>
      <c r="J1150" s="105"/>
      <c r="K1150" s="105"/>
      <c r="L1150" s="105"/>
      <c r="M1150" s="105"/>
      <c r="N1150" s="105"/>
      <c r="O1150" s="105"/>
      <c r="P1150" s="105"/>
      <c r="Q1150" s="105"/>
      <c r="R1150" s="105"/>
      <c r="S1150" s="105"/>
      <c r="T1150" s="105"/>
      <c r="U1150" s="105"/>
      <c r="V1150" s="105"/>
      <c r="W1150" s="105"/>
      <c r="X1150" s="105"/>
      <c r="Y1150" s="105"/>
      <c r="Z1150" s="105"/>
      <c r="AA1150" s="105"/>
      <c r="AB1150" s="105"/>
      <c r="AC1150" s="105"/>
      <c r="AD1150" s="105"/>
      <c r="AE1150" s="105"/>
      <c r="AF1150" s="105"/>
      <c r="AG1150" s="105"/>
      <c r="AH1150" s="105"/>
      <c r="AI1150" s="105"/>
      <c r="AJ1150" s="105"/>
      <c r="AK1150" s="105"/>
      <c r="AL1150" s="105"/>
      <c r="AM1150" s="105"/>
      <c r="AN1150" s="105"/>
      <c r="AO1150" s="105"/>
      <c r="AP1150" s="105"/>
      <c r="AQ1150" s="105"/>
      <c r="AR1150" s="105"/>
      <c r="AS1150" s="105"/>
      <c r="AT1150" s="105"/>
      <c r="AU1150" s="105"/>
      <c r="AV1150" s="105"/>
      <c r="AW1150" s="105"/>
      <c r="AX1150" s="105"/>
      <c r="AY1150" s="105"/>
      <c r="AZ1150" s="105"/>
      <c r="BA1150" s="105"/>
      <c r="BB1150" s="105"/>
      <c r="BC1150" s="105"/>
      <c r="BD1150" s="105"/>
      <c r="BE1150" s="105"/>
      <c r="BF1150" s="105"/>
      <c r="BG1150" s="105"/>
      <c r="BH1150" s="105"/>
      <c r="BI1150" s="105"/>
      <c r="BJ1150" s="105"/>
      <c r="BK1150" s="105"/>
      <c r="BL1150" s="105"/>
      <c r="BM1150" s="105"/>
      <c r="BN1150" s="105"/>
      <c r="BO1150" s="105"/>
      <c r="BP1150" s="105"/>
      <c r="BQ1150" s="105"/>
      <c r="BR1150" s="105"/>
      <c r="BS1150" s="105"/>
      <c r="BT1150" s="105"/>
      <c r="BU1150" s="105"/>
      <c r="BV1150" s="105"/>
      <c r="BW1150" s="105"/>
      <c r="BX1150" s="105"/>
      <c r="BY1150" s="105"/>
      <c r="BZ1150" s="105"/>
      <c r="CA1150" s="105"/>
      <c r="CB1150" s="105"/>
      <c r="CC1150" s="105"/>
      <c r="CD1150" s="105"/>
      <c r="CE1150" s="105"/>
      <c r="CF1150" s="105"/>
      <c r="CG1150" s="105"/>
      <c r="CH1150" s="105"/>
      <c r="CI1150" s="105"/>
      <c r="CJ1150" s="105"/>
      <c r="CK1150" s="105"/>
      <c r="CL1150" s="105"/>
      <c r="CM1150" s="105"/>
    </row>
    <row r="1151" spans="1:91" x14ac:dyDescent="0.25">
      <c r="A1151" s="281"/>
      <c r="B1151" s="105"/>
      <c r="C1151" s="105"/>
      <c r="D1151" s="105"/>
      <c r="E1151" s="106"/>
      <c r="F1151" s="105"/>
      <c r="G1151" s="315"/>
      <c r="H1151" s="107"/>
      <c r="I1151" s="105"/>
      <c r="J1151" s="105"/>
      <c r="K1151" s="105"/>
      <c r="L1151" s="105"/>
      <c r="M1151" s="105"/>
      <c r="N1151" s="105"/>
      <c r="O1151" s="105"/>
      <c r="P1151" s="105"/>
      <c r="Q1151" s="105"/>
      <c r="R1151" s="105"/>
      <c r="S1151" s="105"/>
      <c r="T1151" s="105"/>
      <c r="U1151" s="105"/>
      <c r="V1151" s="105"/>
      <c r="W1151" s="105"/>
      <c r="X1151" s="105"/>
      <c r="Y1151" s="105"/>
      <c r="Z1151" s="105"/>
      <c r="AA1151" s="105"/>
      <c r="AB1151" s="105"/>
      <c r="AC1151" s="105"/>
      <c r="AD1151" s="105"/>
      <c r="AE1151" s="105"/>
      <c r="AF1151" s="105"/>
      <c r="AG1151" s="105"/>
      <c r="AH1151" s="105"/>
      <c r="AI1151" s="105"/>
      <c r="AJ1151" s="105"/>
      <c r="AK1151" s="105"/>
      <c r="AL1151" s="105"/>
      <c r="AM1151" s="105"/>
      <c r="AN1151" s="105"/>
      <c r="AO1151" s="105"/>
      <c r="AP1151" s="105"/>
      <c r="AQ1151" s="105"/>
      <c r="AR1151" s="105"/>
      <c r="AS1151" s="105"/>
      <c r="AT1151" s="105"/>
      <c r="AU1151" s="105"/>
      <c r="AV1151" s="105"/>
      <c r="AW1151" s="105"/>
      <c r="AX1151" s="105"/>
      <c r="AY1151" s="105"/>
      <c r="AZ1151" s="105"/>
      <c r="BA1151" s="105"/>
      <c r="BB1151" s="105"/>
      <c r="BC1151" s="105"/>
      <c r="BD1151" s="105"/>
      <c r="BE1151" s="105"/>
      <c r="BF1151" s="105"/>
      <c r="BG1151" s="105"/>
      <c r="BH1151" s="105"/>
      <c r="BI1151" s="105"/>
      <c r="BJ1151" s="105"/>
      <c r="BK1151" s="105"/>
      <c r="BL1151" s="105"/>
      <c r="BM1151" s="105"/>
      <c r="BN1151" s="105"/>
      <c r="BO1151" s="105"/>
      <c r="BP1151" s="105"/>
      <c r="BQ1151" s="105"/>
      <c r="BR1151" s="105"/>
      <c r="BS1151" s="105"/>
      <c r="BT1151" s="105"/>
      <c r="BU1151" s="105"/>
      <c r="BV1151" s="105"/>
      <c r="BW1151" s="105"/>
      <c r="BX1151" s="105"/>
      <c r="BY1151" s="105"/>
      <c r="BZ1151" s="105"/>
      <c r="CA1151" s="105"/>
      <c r="CB1151" s="105"/>
      <c r="CC1151" s="105"/>
      <c r="CD1151" s="105"/>
      <c r="CE1151" s="105"/>
      <c r="CF1151" s="105"/>
      <c r="CG1151" s="105"/>
      <c r="CH1151" s="105"/>
      <c r="CI1151" s="105"/>
      <c r="CJ1151" s="105"/>
      <c r="CK1151" s="105"/>
      <c r="CL1151" s="105"/>
      <c r="CM1151" s="105"/>
    </row>
    <row r="1152" spans="1:91" x14ac:dyDescent="0.25">
      <c r="A1152" s="281"/>
      <c r="B1152" s="105"/>
      <c r="C1152" s="105"/>
      <c r="D1152" s="105"/>
      <c r="E1152" s="106"/>
      <c r="F1152" s="105"/>
      <c r="G1152" s="315"/>
      <c r="H1152" s="107"/>
      <c r="I1152" s="105"/>
      <c r="J1152" s="105"/>
      <c r="K1152" s="105"/>
      <c r="L1152" s="105"/>
      <c r="M1152" s="105"/>
      <c r="N1152" s="105"/>
      <c r="O1152" s="105"/>
      <c r="P1152" s="105"/>
      <c r="Q1152" s="105"/>
      <c r="R1152" s="105"/>
      <c r="S1152" s="105"/>
      <c r="T1152" s="105"/>
      <c r="U1152" s="105"/>
      <c r="V1152" s="105"/>
      <c r="W1152" s="105"/>
      <c r="X1152" s="105"/>
      <c r="Y1152" s="105"/>
      <c r="Z1152" s="105"/>
      <c r="AA1152" s="105"/>
      <c r="AB1152" s="105"/>
      <c r="AC1152" s="105"/>
      <c r="AD1152" s="105"/>
      <c r="AE1152" s="105"/>
      <c r="AF1152" s="105"/>
      <c r="AG1152" s="105"/>
      <c r="AH1152" s="105"/>
      <c r="AI1152" s="105"/>
      <c r="AJ1152" s="105"/>
      <c r="AK1152" s="105"/>
      <c r="AL1152" s="105"/>
      <c r="AM1152" s="105"/>
      <c r="AN1152" s="105"/>
      <c r="AO1152" s="105"/>
      <c r="AP1152" s="105"/>
      <c r="AQ1152" s="105"/>
      <c r="AR1152" s="105"/>
      <c r="AS1152" s="105"/>
      <c r="AT1152" s="105"/>
      <c r="AU1152" s="105"/>
      <c r="AV1152" s="105"/>
      <c r="AW1152" s="105"/>
      <c r="AX1152" s="105"/>
      <c r="AY1152" s="105"/>
      <c r="AZ1152" s="105"/>
      <c r="BA1152" s="105"/>
      <c r="BB1152" s="105"/>
      <c r="BC1152" s="105"/>
      <c r="BD1152" s="105"/>
      <c r="BE1152" s="105"/>
      <c r="BF1152" s="105"/>
      <c r="BG1152" s="105"/>
      <c r="BH1152" s="105"/>
      <c r="BI1152" s="105"/>
      <c r="BJ1152" s="105"/>
      <c r="BK1152" s="105"/>
      <c r="BL1152" s="105"/>
      <c r="BM1152" s="105"/>
      <c r="BN1152" s="105"/>
      <c r="BO1152" s="105"/>
      <c r="BP1152" s="105"/>
      <c r="BQ1152" s="105"/>
      <c r="BR1152" s="105"/>
      <c r="BS1152" s="105"/>
      <c r="BT1152" s="105"/>
      <c r="BU1152" s="105"/>
      <c r="BV1152" s="105"/>
      <c r="BW1152" s="105"/>
      <c r="BX1152" s="105"/>
      <c r="BY1152" s="105"/>
      <c r="BZ1152" s="105"/>
      <c r="CA1152" s="105"/>
      <c r="CB1152" s="105"/>
      <c r="CC1152" s="105"/>
      <c r="CD1152" s="105"/>
      <c r="CE1152" s="105"/>
      <c r="CF1152" s="105"/>
      <c r="CG1152" s="105"/>
      <c r="CH1152" s="105"/>
      <c r="CI1152" s="105"/>
      <c r="CJ1152" s="105"/>
      <c r="CK1152" s="105"/>
      <c r="CL1152" s="105"/>
      <c r="CM1152" s="105"/>
    </row>
    <row r="1153" spans="1:91" x14ac:dyDescent="0.25">
      <c r="A1153" s="281"/>
      <c r="B1153" s="105"/>
      <c r="C1153" s="105"/>
      <c r="D1153" s="105"/>
      <c r="E1153" s="106"/>
      <c r="F1153" s="105"/>
      <c r="G1153" s="315"/>
      <c r="H1153" s="107"/>
      <c r="I1153" s="105"/>
      <c r="J1153" s="105"/>
      <c r="K1153" s="105"/>
      <c r="L1153" s="105"/>
      <c r="M1153" s="105"/>
      <c r="N1153" s="105"/>
      <c r="O1153" s="105"/>
      <c r="P1153" s="105"/>
      <c r="Q1153" s="105"/>
      <c r="R1153" s="105"/>
      <c r="S1153" s="105"/>
      <c r="T1153" s="105"/>
      <c r="U1153" s="105"/>
      <c r="V1153" s="105"/>
      <c r="W1153" s="105"/>
      <c r="X1153" s="105"/>
      <c r="Y1153" s="105"/>
      <c r="Z1153" s="105"/>
      <c r="AA1153" s="105"/>
      <c r="AB1153" s="105"/>
      <c r="AC1153" s="105"/>
      <c r="AD1153" s="105"/>
      <c r="AE1153" s="105"/>
      <c r="AF1153" s="105"/>
      <c r="AG1153" s="105"/>
      <c r="AH1153" s="105"/>
      <c r="AI1153" s="105"/>
      <c r="AJ1153" s="105"/>
      <c r="AK1153" s="105"/>
      <c r="AL1153" s="105"/>
      <c r="AM1153" s="105"/>
      <c r="AN1153" s="105"/>
      <c r="AO1153" s="105"/>
      <c r="AP1153" s="105"/>
      <c r="AQ1153" s="105"/>
      <c r="AR1153" s="105"/>
      <c r="AS1153" s="105"/>
      <c r="AT1153" s="105"/>
      <c r="AU1153" s="105"/>
      <c r="AV1153" s="105"/>
      <c r="AW1153" s="105"/>
      <c r="AX1153" s="105"/>
      <c r="AY1153" s="105"/>
      <c r="AZ1153" s="105"/>
      <c r="BA1153" s="105"/>
      <c r="BB1153" s="105"/>
      <c r="BC1153" s="105"/>
      <c r="BD1153" s="105"/>
      <c r="BE1153" s="105"/>
      <c r="BF1153" s="105"/>
      <c r="BG1153" s="105"/>
      <c r="BH1153" s="105"/>
      <c r="BI1153" s="105"/>
      <c r="BJ1153" s="105"/>
      <c r="BK1153" s="105"/>
      <c r="BL1153" s="105"/>
      <c r="BM1153" s="105"/>
      <c r="BN1153" s="105"/>
      <c r="BO1153" s="105"/>
      <c r="BP1153" s="105"/>
      <c r="BQ1153" s="105"/>
      <c r="BR1153" s="105"/>
      <c r="BS1153" s="105"/>
      <c r="BT1153" s="105"/>
      <c r="BU1153" s="105"/>
      <c r="BV1153" s="105"/>
      <c r="BW1153" s="105"/>
      <c r="BX1153" s="105"/>
      <c r="BY1153" s="105"/>
      <c r="BZ1153" s="105"/>
      <c r="CA1153" s="105"/>
      <c r="CB1153" s="105"/>
      <c r="CC1153" s="105"/>
      <c r="CD1153" s="105"/>
      <c r="CE1153" s="105"/>
      <c r="CF1153" s="105"/>
      <c r="CG1153" s="105"/>
      <c r="CH1153" s="105"/>
      <c r="CI1153" s="105"/>
      <c r="CJ1153" s="105"/>
      <c r="CK1153" s="105"/>
      <c r="CL1153" s="105"/>
      <c r="CM1153" s="105"/>
    </row>
    <row r="1154" spans="1:91" x14ac:dyDescent="0.25">
      <c r="A1154" s="281"/>
      <c r="B1154" s="105"/>
      <c r="C1154" s="105"/>
      <c r="D1154" s="105"/>
      <c r="E1154" s="106"/>
      <c r="F1154" s="105"/>
      <c r="G1154" s="315"/>
      <c r="H1154" s="107"/>
      <c r="I1154" s="105"/>
      <c r="J1154" s="105"/>
      <c r="K1154" s="105"/>
      <c r="L1154" s="105"/>
      <c r="M1154" s="105"/>
      <c r="N1154" s="105"/>
      <c r="O1154" s="105"/>
      <c r="P1154" s="105"/>
      <c r="Q1154" s="105"/>
      <c r="R1154" s="105"/>
      <c r="S1154" s="105"/>
      <c r="T1154" s="105"/>
      <c r="U1154" s="105"/>
      <c r="V1154" s="105"/>
      <c r="W1154" s="105"/>
      <c r="X1154" s="105"/>
      <c r="Y1154" s="105"/>
      <c r="Z1154" s="105"/>
      <c r="AA1154" s="105"/>
      <c r="AB1154" s="105"/>
      <c r="AC1154" s="105"/>
      <c r="AD1154" s="105"/>
      <c r="AE1154" s="105"/>
      <c r="AF1154" s="105"/>
      <c r="AG1154" s="105"/>
      <c r="AH1154" s="105"/>
      <c r="AI1154" s="105"/>
      <c r="AJ1154" s="105"/>
      <c r="AK1154" s="105"/>
      <c r="AL1154" s="105"/>
      <c r="AM1154" s="105"/>
      <c r="AN1154" s="105"/>
      <c r="AO1154" s="105"/>
      <c r="AP1154" s="105"/>
      <c r="AQ1154" s="105"/>
      <c r="AR1154" s="105"/>
      <c r="AS1154" s="105"/>
      <c r="AT1154" s="105"/>
      <c r="AU1154" s="105"/>
      <c r="AV1154" s="105"/>
      <c r="AW1154" s="105"/>
      <c r="AX1154" s="105"/>
      <c r="AY1154" s="105"/>
      <c r="AZ1154" s="105"/>
      <c r="BA1154" s="105"/>
      <c r="BB1154" s="105"/>
      <c r="BC1154" s="105"/>
      <c r="BD1154" s="105"/>
      <c r="BE1154" s="105"/>
      <c r="BF1154" s="105"/>
      <c r="BG1154" s="105"/>
      <c r="BH1154" s="105"/>
      <c r="BI1154" s="105"/>
      <c r="BJ1154" s="105"/>
      <c r="BK1154" s="105"/>
      <c r="BL1154" s="105"/>
      <c r="BM1154" s="105"/>
      <c r="BN1154" s="105"/>
      <c r="BO1154" s="105"/>
      <c r="BP1154" s="105"/>
      <c r="BQ1154" s="105"/>
      <c r="BR1154" s="105"/>
      <c r="BS1154" s="105"/>
      <c r="BT1154" s="105"/>
      <c r="BU1154" s="105"/>
      <c r="BV1154" s="105"/>
      <c r="BW1154" s="105"/>
      <c r="BX1154" s="105"/>
      <c r="BY1154" s="105"/>
      <c r="BZ1154" s="105"/>
      <c r="CA1154" s="105"/>
      <c r="CB1154" s="105"/>
      <c r="CC1154" s="105"/>
      <c r="CD1154" s="105"/>
      <c r="CE1154" s="105"/>
      <c r="CF1154" s="105"/>
      <c r="CG1154" s="105"/>
      <c r="CH1154" s="105"/>
      <c r="CI1154" s="105"/>
      <c r="CJ1154" s="105"/>
      <c r="CK1154" s="105"/>
      <c r="CL1154" s="105"/>
      <c r="CM1154" s="105"/>
    </row>
    <row r="1155" spans="1:91" x14ac:dyDescent="0.25">
      <c r="A1155" s="281"/>
      <c r="B1155" s="105"/>
      <c r="C1155" s="105"/>
      <c r="D1155" s="105"/>
      <c r="E1155" s="106"/>
      <c r="F1155" s="105"/>
      <c r="G1155" s="315"/>
      <c r="H1155" s="107"/>
      <c r="I1155" s="105"/>
      <c r="J1155" s="105"/>
      <c r="K1155" s="105"/>
      <c r="L1155" s="105"/>
      <c r="M1155" s="105"/>
      <c r="N1155" s="105"/>
      <c r="O1155" s="105"/>
      <c r="P1155" s="105"/>
      <c r="Q1155" s="105"/>
      <c r="R1155" s="105"/>
      <c r="S1155" s="105"/>
      <c r="T1155" s="105"/>
      <c r="U1155" s="105"/>
      <c r="V1155" s="105"/>
      <c r="W1155" s="105"/>
      <c r="X1155" s="105"/>
      <c r="Y1155" s="105"/>
      <c r="Z1155" s="105"/>
      <c r="AA1155" s="105"/>
      <c r="AB1155" s="105"/>
      <c r="AC1155" s="105"/>
      <c r="AD1155" s="105"/>
      <c r="AE1155" s="105"/>
      <c r="AF1155" s="105"/>
      <c r="AG1155" s="105"/>
      <c r="AH1155" s="105"/>
      <c r="AI1155" s="105"/>
      <c r="AJ1155" s="105"/>
      <c r="AK1155" s="105"/>
      <c r="AL1155" s="105"/>
      <c r="AM1155" s="105"/>
      <c r="AN1155" s="105"/>
      <c r="AO1155" s="105"/>
      <c r="AP1155" s="105"/>
      <c r="AQ1155" s="105"/>
      <c r="AR1155" s="105"/>
      <c r="AS1155" s="105"/>
      <c r="AT1155" s="105"/>
      <c r="AU1155" s="105"/>
      <c r="AV1155" s="105"/>
      <c r="AW1155" s="105"/>
      <c r="AX1155" s="105"/>
      <c r="AY1155" s="105"/>
      <c r="AZ1155" s="105"/>
      <c r="BA1155" s="105"/>
      <c r="BB1155" s="105"/>
      <c r="BC1155" s="105"/>
      <c r="BD1155" s="105"/>
      <c r="BE1155" s="105"/>
      <c r="BF1155" s="105"/>
      <c r="BG1155" s="105"/>
      <c r="BH1155" s="105"/>
      <c r="BI1155" s="105"/>
      <c r="BJ1155" s="105"/>
      <c r="BK1155" s="105"/>
      <c r="BL1155" s="105"/>
      <c r="BM1155" s="105"/>
      <c r="BN1155" s="105"/>
      <c r="BO1155" s="105"/>
      <c r="BP1155" s="105"/>
      <c r="BQ1155" s="105"/>
      <c r="BR1155" s="105"/>
      <c r="BS1155" s="105"/>
      <c r="BT1155" s="105"/>
      <c r="BU1155" s="105"/>
      <c r="BV1155" s="105"/>
      <c r="BW1155" s="105"/>
      <c r="BX1155" s="105"/>
      <c r="BY1155" s="105"/>
      <c r="BZ1155" s="105"/>
      <c r="CA1155" s="105"/>
      <c r="CB1155" s="105"/>
      <c r="CC1155" s="105"/>
      <c r="CD1155" s="105"/>
      <c r="CE1155" s="105"/>
      <c r="CF1155" s="105"/>
      <c r="CG1155" s="105"/>
      <c r="CH1155" s="105"/>
      <c r="CI1155" s="105"/>
      <c r="CJ1155" s="105"/>
      <c r="CK1155" s="105"/>
      <c r="CL1155" s="105"/>
      <c r="CM1155" s="105"/>
    </row>
    <row r="1156" spans="1:91" x14ac:dyDescent="0.25">
      <c r="A1156" s="281"/>
      <c r="B1156" s="105"/>
      <c r="C1156" s="105"/>
      <c r="D1156" s="105"/>
      <c r="E1156" s="106"/>
      <c r="F1156" s="105"/>
      <c r="G1156" s="315"/>
      <c r="H1156" s="107"/>
      <c r="I1156" s="105"/>
      <c r="J1156" s="105"/>
      <c r="K1156" s="105"/>
      <c r="L1156" s="105"/>
      <c r="M1156" s="105"/>
      <c r="N1156" s="105"/>
      <c r="O1156" s="105"/>
      <c r="P1156" s="105"/>
      <c r="Q1156" s="105"/>
      <c r="R1156" s="105"/>
      <c r="S1156" s="105"/>
      <c r="T1156" s="105"/>
      <c r="U1156" s="105"/>
      <c r="V1156" s="105"/>
      <c r="W1156" s="105"/>
      <c r="X1156" s="105"/>
      <c r="Y1156" s="105"/>
      <c r="Z1156" s="105"/>
      <c r="AA1156" s="105"/>
      <c r="AB1156" s="105"/>
      <c r="AC1156" s="105"/>
      <c r="AD1156" s="105"/>
      <c r="AE1156" s="105"/>
      <c r="AF1156" s="105"/>
      <c r="AG1156" s="105"/>
      <c r="AH1156" s="105"/>
      <c r="AI1156" s="105"/>
      <c r="AJ1156" s="105"/>
      <c r="AK1156" s="105"/>
      <c r="AL1156" s="105"/>
      <c r="AM1156" s="105"/>
      <c r="AN1156" s="105"/>
      <c r="AO1156" s="105"/>
      <c r="AP1156" s="105"/>
      <c r="AQ1156" s="105"/>
      <c r="AR1156" s="105"/>
      <c r="AS1156" s="105"/>
      <c r="AT1156" s="105"/>
      <c r="AU1156" s="105"/>
      <c r="AV1156" s="105"/>
      <c r="AW1156" s="105"/>
      <c r="AX1156" s="105"/>
      <c r="AY1156" s="105"/>
      <c r="AZ1156" s="105"/>
      <c r="BA1156" s="105"/>
      <c r="BB1156" s="105"/>
      <c r="BC1156" s="105"/>
      <c r="BD1156" s="105"/>
      <c r="BE1156" s="105"/>
      <c r="BF1156" s="105"/>
      <c r="BG1156" s="105"/>
      <c r="BH1156" s="105"/>
      <c r="BI1156" s="105"/>
      <c r="BJ1156" s="105"/>
      <c r="BK1156" s="105"/>
      <c r="BL1156" s="105"/>
      <c r="BM1156" s="105"/>
      <c r="BN1156" s="105"/>
      <c r="BO1156" s="105"/>
      <c r="BP1156" s="105"/>
      <c r="BQ1156" s="105"/>
      <c r="BR1156" s="105"/>
      <c r="BS1156" s="105"/>
      <c r="BT1156" s="105"/>
      <c r="BU1156" s="105"/>
      <c r="BV1156" s="105"/>
      <c r="BW1156" s="105"/>
      <c r="BX1156" s="105"/>
      <c r="BY1156" s="105"/>
      <c r="BZ1156" s="105"/>
      <c r="CA1156" s="105"/>
      <c r="CB1156" s="105"/>
      <c r="CC1156" s="105"/>
      <c r="CD1156" s="105"/>
      <c r="CE1156" s="105"/>
      <c r="CF1156" s="105"/>
      <c r="CG1156" s="105"/>
      <c r="CH1156" s="105"/>
      <c r="CI1156" s="105"/>
      <c r="CJ1156" s="105"/>
      <c r="CK1156" s="105"/>
      <c r="CL1156" s="105"/>
      <c r="CM1156" s="105"/>
    </row>
    <row r="1157" spans="1:91" x14ac:dyDescent="0.25">
      <c r="A1157" s="281"/>
      <c r="B1157" s="105"/>
      <c r="C1157" s="105"/>
      <c r="D1157" s="105"/>
      <c r="E1157" s="106"/>
      <c r="F1157" s="105"/>
      <c r="G1157" s="315"/>
      <c r="H1157" s="107"/>
      <c r="I1157" s="105"/>
      <c r="J1157" s="105"/>
      <c r="K1157" s="105"/>
      <c r="L1157" s="105"/>
      <c r="M1157" s="105"/>
      <c r="N1157" s="105"/>
      <c r="O1157" s="105"/>
      <c r="P1157" s="105"/>
      <c r="Q1157" s="105"/>
      <c r="R1157" s="105"/>
      <c r="S1157" s="105"/>
      <c r="T1157" s="105"/>
      <c r="U1157" s="105"/>
      <c r="V1157" s="105"/>
      <c r="W1157" s="105"/>
      <c r="X1157" s="105"/>
      <c r="Y1157" s="105"/>
      <c r="Z1157" s="105"/>
      <c r="AA1157" s="105"/>
      <c r="AB1157" s="105"/>
      <c r="AC1157" s="105"/>
      <c r="AD1157" s="105"/>
      <c r="AE1157" s="105"/>
      <c r="AF1157" s="105"/>
      <c r="AG1157" s="105"/>
      <c r="AH1157" s="105"/>
      <c r="AI1157" s="105"/>
      <c r="AJ1157" s="105"/>
      <c r="AK1157" s="105"/>
      <c r="AL1157" s="105"/>
      <c r="AM1157" s="105"/>
      <c r="AN1157" s="105"/>
      <c r="AO1157" s="105"/>
      <c r="AP1157" s="105"/>
      <c r="AQ1157" s="105"/>
      <c r="AR1157" s="105"/>
      <c r="AS1157" s="105"/>
      <c r="AT1157" s="105"/>
      <c r="AU1157" s="105"/>
      <c r="AV1157" s="105"/>
      <c r="AW1157" s="105"/>
      <c r="AX1157" s="105"/>
      <c r="AY1157" s="105"/>
      <c r="AZ1157" s="105"/>
      <c r="BA1157" s="105"/>
      <c r="BB1157" s="105"/>
      <c r="BC1157" s="105"/>
      <c r="BD1157" s="105"/>
      <c r="BE1157" s="105"/>
      <c r="BF1157" s="105"/>
      <c r="BG1157" s="105"/>
      <c r="BH1157" s="105"/>
      <c r="BI1157" s="105"/>
      <c r="BJ1157" s="105"/>
      <c r="BK1157" s="105"/>
      <c r="BL1157" s="105"/>
      <c r="BM1157" s="105"/>
      <c r="BN1157" s="105"/>
      <c r="BO1157" s="105"/>
      <c r="BP1157" s="105"/>
      <c r="BQ1157" s="105"/>
      <c r="BR1157" s="105"/>
      <c r="BS1157" s="105"/>
      <c r="BT1157" s="105"/>
      <c r="BU1157" s="105"/>
      <c r="BV1157" s="105"/>
      <c r="BW1157" s="105"/>
      <c r="BX1157" s="105"/>
      <c r="BY1157" s="105"/>
      <c r="BZ1157" s="105"/>
      <c r="CA1157" s="105"/>
      <c r="CB1157" s="105"/>
      <c r="CC1157" s="105"/>
      <c r="CD1157" s="105"/>
      <c r="CE1157" s="105"/>
      <c r="CF1157" s="105"/>
      <c r="CG1157" s="105"/>
      <c r="CH1157" s="105"/>
      <c r="CI1157" s="105"/>
      <c r="CJ1157" s="105"/>
      <c r="CK1157" s="105"/>
      <c r="CL1157" s="105"/>
      <c r="CM1157" s="105"/>
    </row>
    <row r="1158" spans="1:91" x14ac:dyDescent="0.25">
      <c r="A1158" s="281"/>
      <c r="B1158" s="105"/>
      <c r="C1158" s="105"/>
      <c r="D1158" s="105"/>
      <c r="E1158" s="106"/>
      <c r="F1158" s="105"/>
      <c r="G1158" s="315"/>
      <c r="H1158" s="107"/>
      <c r="I1158" s="105"/>
      <c r="J1158" s="105"/>
      <c r="K1158" s="105"/>
      <c r="L1158" s="105"/>
      <c r="M1158" s="105"/>
      <c r="N1158" s="105"/>
      <c r="O1158" s="105"/>
      <c r="P1158" s="105"/>
      <c r="Q1158" s="105"/>
      <c r="R1158" s="105"/>
      <c r="S1158" s="105"/>
      <c r="T1158" s="105"/>
      <c r="U1158" s="105"/>
      <c r="V1158" s="105"/>
      <c r="W1158" s="105"/>
      <c r="X1158" s="105"/>
      <c r="Y1158" s="105"/>
      <c r="Z1158" s="105"/>
      <c r="AA1158" s="105"/>
      <c r="AB1158" s="105"/>
      <c r="AC1158" s="105"/>
      <c r="AD1158" s="105"/>
      <c r="AE1158" s="105"/>
      <c r="AF1158" s="105"/>
      <c r="AG1158" s="105"/>
      <c r="AH1158" s="105"/>
      <c r="AI1158" s="105"/>
      <c r="AJ1158" s="105"/>
      <c r="AK1158" s="105"/>
      <c r="AL1158" s="105"/>
      <c r="AM1158" s="105"/>
      <c r="AN1158" s="105"/>
      <c r="AO1158" s="105"/>
      <c r="AP1158" s="105"/>
      <c r="AQ1158" s="105"/>
      <c r="AR1158" s="105"/>
      <c r="AS1158" s="105"/>
      <c r="AT1158" s="105"/>
      <c r="AU1158" s="105"/>
      <c r="AV1158" s="105"/>
      <c r="AW1158" s="105"/>
      <c r="AX1158" s="105"/>
      <c r="AY1158" s="105"/>
      <c r="AZ1158" s="105"/>
      <c r="BA1158" s="105"/>
      <c r="BB1158" s="105"/>
      <c r="BC1158" s="105"/>
      <c r="BD1158" s="105"/>
      <c r="BE1158" s="105"/>
      <c r="BF1158" s="105"/>
      <c r="BG1158" s="105"/>
      <c r="BH1158" s="105"/>
      <c r="BI1158" s="105"/>
      <c r="BJ1158" s="105"/>
      <c r="BK1158" s="105"/>
      <c r="BL1158" s="105"/>
      <c r="BM1158" s="105"/>
      <c r="BN1158" s="105"/>
      <c r="BO1158" s="105"/>
      <c r="BP1158" s="105"/>
      <c r="BQ1158" s="105"/>
      <c r="BR1158" s="105"/>
      <c r="BS1158" s="105"/>
      <c r="BT1158" s="105"/>
      <c r="BU1158" s="105"/>
      <c r="BV1158" s="105"/>
      <c r="BW1158" s="105"/>
      <c r="BX1158" s="105"/>
      <c r="BY1158" s="105"/>
      <c r="BZ1158" s="105"/>
      <c r="CA1158" s="105"/>
      <c r="CB1158" s="105"/>
      <c r="CC1158" s="105"/>
      <c r="CD1158" s="105"/>
      <c r="CE1158" s="105"/>
      <c r="CF1158" s="105"/>
      <c r="CG1158" s="105"/>
      <c r="CH1158" s="105"/>
      <c r="CI1158" s="105"/>
      <c r="CJ1158" s="105"/>
      <c r="CK1158" s="105"/>
      <c r="CL1158" s="105"/>
      <c r="CM1158" s="105"/>
    </row>
    <row r="1159" spans="1:91" x14ac:dyDescent="0.25">
      <c r="A1159" s="281"/>
      <c r="B1159" s="105"/>
      <c r="C1159" s="105"/>
      <c r="D1159" s="105"/>
      <c r="E1159" s="106"/>
      <c r="F1159" s="105"/>
      <c r="G1159" s="315"/>
      <c r="H1159" s="107"/>
      <c r="I1159" s="105"/>
      <c r="J1159" s="105"/>
      <c r="K1159" s="105"/>
      <c r="L1159" s="105"/>
      <c r="M1159" s="105"/>
      <c r="N1159" s="105"/>
      <c r="O1159" s="105"/>
      <c r="P1159" s="105"/>
      <c r="Q1159" s="105"/>
      <c r="R1159" s="105"/>
      <c r="S1159" s="105"/>
      <c r="T1159" s="105"/>
      <c r="U1159" s="105"/>
      <c r="V1159" s="105"/>
      <c r="W1159" s="105"/>
      <c r="X1159" s="105"/>
      <c r="Y1159" s="105"/>
      <c r="Z1159" s="105"/>
      <c r="AA1159" s="105"/>
      <c r="AB1159" s="105"/>
      <c r="AC1159" s="105"/>
      <c r="AD1159" s="105"/>
      <c r="AE1159" s="105"/>
      <c r="AF1159" s="105"/>
      <c r="AG1159" s="105"/>
      <c r="AH1159" s="105"/>
      <c r="AI1159" s="105"/>
      <c r="AJ1159" s="105"/>
      <c r="AK1159" s="105"/>
      <c r="AL1159" s="105"/>
      <c r="AM1159" s="105"/>
      <c r="AN1159" s="105"/>
      <c r="AO1159" s="105"/>
      <c r="AP1159" s="105"/>
      <c r="AQ1159" s="105"/>
      <c r="AR1159" s="105"/>
      <c r="AS1159" s="105"/>
      <c r="AT1159" s="105"/>
      <c r="AU1159" s="105"/>
      <c r="AV1159" s="105"/>
      <c r="AW1159" s="105"/>
      <c r="AX1159" s="105"/>
      <c r="AY1159" s="105"/>
      <c r="AZ1159" s="105"/>
      <c r="BA1159" s="105"/>
      <c r="BB1159" s="105"/>
      <c r="BC1159" s="105"/>
      <c r="BD1159" s="105"/>
      <c r="BE1159" s="105"/>
      <c r="BF1159" s="105"/>
      <c r="BG1159" s="105"/>
      <c r="BH1159" s="105"/>
      <c r="BI1159" s="105"/>
      <c r="BJ1159" s="105"/>
      <c r="BK1159" s="105"/>
      <c r="BL1159" s="105"/>
      <c r="BM1159" s="105"/>
      <c r="BN1159" s="105"/>
      <c r="BO1159" s="105"/>
      <c r="BP1159" s="105"/>
      <c r="BQ1159" s="105"/>
      <c r="BR1159" s="105"/>
      <c r="BS1159" s="105"/>
      <c r="BT1159" s="105"/>
      <c r="BU1159" s="105"/>
      <c r="BV1159" s="105"/>
      <c r="BW1159" s="105"/>
      <c r="BX1159" s="105"/>
      <c r="BY1159" s="105"/>
      <c r="BZ1159" s="105"/>
      <c r="CA1159" s="105"/>
      <c r="CB1159" s="105"/>
      <c r="CC1159" s="105"/>
      <c r="CD1159" s="105"/>
      <c r="CE1159" s="105"/>
      <c r="CF1159" s="105"/>
      <c r="CG1159" s="105"/>
      <c r="CH1159" s="105"/>
      <c r="CI1159" s="105"/>
      <c r="CJ1159" s="105"/>
      <c r="CK1159" s="105"/>
      <c r="CL1159" s="105"/>
      <c r="CM1159" s="105"/>
    </row>
    <row r="1160" spans="1:91" x14ac:dyDescent="0.25">
      <c r="A1160" s="281"/>
      <c r="B1160" s="105"/>
      <c r="C1160" s="105"/>
      <c r="D1160" s="105"/>
      <c r="E1160" s="106"/>
      <c r="F1160" s="105"/>
      <c r="G1160" s="315"/>
      <c r="H1160" s="107"/>
      <c r="I1160" s="105"/>
      <c r="J1160" s="105"/>
      <c r="K1160" s="105"/>
      <c r="L1160" s="105"/>
      <c r="M1160" s="105"/>
      <c r="N1160" s="105"/>
      <c r="O1160" s="105"/>
      <c r="P1160" s="105"/>
      <c r="Q1160" s="105"/>
      <c r="R1160" s="105"/>
      <c r="S1160" s="105"/>
      <c r="T1160" s="105"/>
      <c r="U1160" s="105"/>
      <c r="V1160" s="105"/>
      <c r="W1160" s="105"/>
      <c r="X1160" s="105"/>
      <c r="Y1160" s="105"/>
      <c r="Z1160" s="105"/>
      <c r="AA1160" s="105"/>
      <c r="AB1160" s="105"/>
      <c r="AC1160" s="105"/>
      <c r="AD1160" s="105"/>
      <c r="AE1160" s="105"/>
      <c r="AF1160" s="105"/>
      <c r="AG1160" s="105"/>
      <c r="AH1160" s="105"/>
      <c r="AI1160" s="105"/>
      <c r="AJ1160" s="105"/>
      <c r="AK1160" s="105"/>
      <c r="AL1160" s="105"/>
      <c r="AM1160" s="105"/>
      <c r="AN1160" s="105"/>
      <c r="AO1160" s="105"/>
      <c r="AP1160" s="105"/>
      <c r="AQ1160" s="105"/>
      <c r="AR1160" s="105"/>
      <c r="AS1160" s="105"/>
      <c r="AT1160" s="105"/>
      <c r="AU1160" s="105"/>
      <c r="AV1160" s="105"/>
      <c r="AW1160" s="105"/>
      <c r="AX1160" s="105"/>
      <c r="AY1160" s="105"/>
      <c r="AZ1160" s="105"/>
      <c r="BA1160" s="105"/>
      <c r="BB1160" s="105"/>
      <c r="BC1160" s="105"/>
      <c r="BD1160" s="105"/>
      <c r="BE1160" s="105"/>
      <c r="BF1160" s="105"/>
      <c r="BG1160" s="105"/>
      <c r="BH1160" s="105"/>
      <c r="BI1160" s="105"/>
      <c r="BJ1160" s="105"/>
      <c r="BK1160" s="105"/>
      <c r="BL1160" s="105"/>
      <c r="BM1160" s="105"/>
      <c r="BN1160" s="105"/>
      <c r="BO1160" s="105"/>
      <c r="BP1160" s="105"/>
      <c r="BQ1160" s="105"/>
      <c r="BR1160" s="105"/>
      <c r="BS1160" s="105"/>
      <c r="BT1160" s="105"/>
      <c r="BU1160" s="105"/>
      <c r="BV1160" s="105"/>
      <c r="BW1160" s="105"/>
      <c r="BX1160" s="105"/>
      <c r="BY1160" s="105"/>
      <c r="BZ1160" s="105"/>
      <c r="CA1160" s="105"/>
      <c r="CB1160" s="105"/>
      <c r="CC1160" s="105"/>
      <c r="CD1160" s="105"/>
      <c r="CE1160" s="105"/>
      <c r="CF1160" s="105"/>
      <c r="CG1160" s="105"/>
      <c r="CH1160" s="105"/>
      <c r="CI1160" s="105"/>
      <c r="CJ1160" s="105"/>
      <c r="CK1160" s="105"/>
      <c r="CL1160" s="105"/>
      <c r="CM1160" s="105"/>
    </row>
    <row r="1161" spans="1:91" x14ac:dyDescent="0.25">
      <c r="A1161" s="281"/>
      <c r="B1161" s="105"/>
      <c r="C1161" s="105"/>
      <c r="D1161" s="105"/>
      <c r="E1161" s="106"/>
      <c r="F1161" s="105"/>
      <c r="G1161" s="315"/>
      <c r="H1161" s="107"/>
      <c r="I1161" s="105"/>
      <c r="J1161" s="105"/>
      <c r="K1161" s="105"/>
      <c r="L1161" s="105"/>
      <c r="M1161" s="105"/>
      <c r="N1161" s="105"/>
      <c r="O1161" s="105"/>
      <c r="P1161" s="105"/>
      <c r="Q1161" s="105"/>
      <c r="R1161" s="105"/>
      <c r="S1161" s="105"/>
      <c r="T1161" s="105"/>
      <c r="U1161" s="105"/>
      <c r="V1161" s="105"/>
      <c r="W1161" s="105"/>
      <c r="X1161" s="105"/>
      <c r="Y1161" s="105"/>
      <c r="Z1161" s="105"/>
      <c r="AA1161" s="105"/>
      <c r="AB1161" s="105"/>
      <c r="AC1161" s="105"/>
      <c r="AD1161" s="105"/>
      <c r="AE1161" s="105"/>
      <c r="AF1161" s="105"/>
      <c r="AG1161" s="105"/>
      <c r="AH1161" s="105"/>
      <c r="AI1161" s="105"/>
      <c r="AJ1161" s="105"/>
      <c r="AK1161" s="105"/>
      <c r="AL1161" s="105"/>
      <c r="AM1161" s="105"/>
      <c r="AN1161" s="105"/>
      <c r="AO1161" s="105"/>
      <c r="AP1161" s="105"/>
      <c r="AQ1161" s="105"/>
      <c r="AR1161" s="105"/>
      <c r="AS1161" s="105"/>
      <c r="AT1161" s="105"/>
      <c r="AU1161" s="105"/>
      <c r="AV1161" s="105"/>
      <c r="AW1161" s="105"/>
      <c r="AX1161" s="105"/>
      <c r="AY1161" s="105"/>
      <c r="AZ1161" s="105"/>
      <c r="BA1161" s="105"/>
      <c r="BB1161" s="105"/>
      <c r="BC1161" s="105"/>
      <c r="BD1161" s="105"/>
      <c r="BE1161" s="105"/>
      <c r="BF1161" s="105"/>
      <c r="BG1161" s="105"/>
      <c r="BH1161" s="105"/>
      <c r="BI1161" s="105"/>
      <c r="BJ1161" s="105"/>
      <c r="BK1161" s="105"/>
      <c r="BL1161" s="105"/>
      <c r="BM1161" s="105"/>
      <c r="BN1161" s="105"/>
      <c r="BO1161" s="105"/>
      <c r="BP1161" s="105"/>
      <c r="BQ1161" s="105"/>
      <c r="BR1161" s="105"/>
      <c r="BS1161" s="105"/>
      <c r="BT1161" s="105"/>
      <c r="BU1161" s="105"/>
      <c r="BV1161" s="105"/>
      <c r="BW1161" s="105"/>
      <c r="BX1161" s="105"/>
      <c r="BY1161" s="105"/>
      <c r="BZ1161" s="105"/>
      <c r="CA1161" s="105"/>
      <c r="CB1161" s="105"/>
      <c r="CC1161" s="105"/>
      <c r="CD1161" s="105"/>
      <c r="CE1161" s="105"/>
      <c r="CF1161" s="105"/>
      <c r="CG1161" s="105"/>
      <c r="CH1161" s="105"/>
      <c r="CI1161" s="105"/>
      <c r="CJ1161" s="105"/>
      <c r="CK1161" s="105"/>
      <c r="CL1161" s="105"/>
      <c r="CM1161" s="105"/>
    </row>
    <row r="1162" spans="1:91" x14ac:dyDescent="0.25">
      <c r="A1162" s="281"/>
      <c r="B1162" s="105"/>
      <c r="C1162" s="105"/>
      <c r="D1162" s="105"/>
      <c r="E1162" s="106"/>
      <c r="F1162" s="105"/>
      <c r="G1162" s="315"/>
      <c r="H1162" s="107"/>
      <c r="I1162" s="105"/>
      <c r="J1162" s="105"/>
      <c r="K1162" s="105"/>
      <c r="L1162" s="105"/>
      <c r="M1162" s="105"/>
      <c r="N1162" s="105"/>
      <c r="O1162" s="105"/>
      <c r="P1162" s="105"/>
      <c r="Q1162" s="105"/>
      <c r="R1162" s="105"/>
      <c r="S1162" s="105"/>
      <c r="T1162" s="105"/>
      <c r="U1162" s="105"/>
      <c r="V1162" s="105"/>
      <c r="W1162" s="105"/>
      <c r="X1162" s="105"/>
      <c r="Y1162" s="105"/>
      <c r="Z1162" s="105"/>
      <c r="AA1162" s="105"/>
      <c r="AB1162" s="105"/>
      <c r="AC1162" s="105"/>
      <c r="AD1162" s="105"/>
      <c r="AE1162" s="105"/>
      <c r="AF1162" s="105"/>
      <c r="AG1162" s="105"/>
      <c r="AH1162" s="105"/>
      <c r="AI1162" s="105"/>
      <c r="AJ1162" s="105"/>
      <c r="AK1162" s="105"/>
      <c r="AL1162" s="105"/>
      <c r="AM1162" s="105"/>
      <c r="AN1162" s="105"/>
      <c r="AO1162" s="105"/>
      <c r="AP1162" s="105"/>
      <c r="AQ1162" s="105"/>
      <c r="AR1162" s="105"/>
      <c r="AS1162" s="105"/>
      <c r="AT1162" s="105"/>
      <c r="AU1162" s="105"/>
      <c r="AV1162" s="105"/>
      <c r="AW1162" s="105"/>
      <c r="AX1162" s="105"/>
      <c r="AY1162" s="105"/>
      <c r="AZ1162" s="105"/>
      <c r="BA1162" s="105"/>
      <c r="BB1162" s="105"/>
      <c r="BC1162" s="105"/>
      <c r="BD1162" s="105"/>
      <c r="BE1162" s="105"/>
      <c r="BF1162" s="105"/>
      <c r="BG1162" s="105"/>
      <c r="BH1162" s="105"/>
      <c r="BI1162" s="105"/>
      <c r="BJ1162" s="105"/>
      <c r="BK1162" s="105"/>
      <c r="BL1162" s="105"/>
      <c r="BM1162" s="105"/>
      <c r="BN1162" s="105"/>
      <c r="BO1162" s="105"/>
      <c r="BP1162" s="105"/>
      <c r="BQ1162" s="105"/>
      <c r="BR1162" s="105"/>
      <c r="BS1162" s="105"/>
      <c r="BT1162" s="105"/>
      <c r="BU1162" s="105"/>
      <c r="BV1162" s="105"/>
      <c r="BW1162" s="105"/>
      <c r="BX1162" s="105"/>
      <c r="BY1162" s="105"/>
      <c r="BZ1162" s="105"/>
      <c r="CA1162" s="105"/>
      <c r="CB1162" s="105"/>
      <c r="CC1162" s="105"/>
      <c r="CD1162" s="105"/>
      <c r="CE1162" s="105"/>
      <c r="CF1162" s="105"/>
      <c r="CG1162" s="105"/>
      <c r="CH1162" s="105"/>
      <c r="CI1162" s="105"/>
      <c r="CJ1162" s="105"/>
      <c r="CK1162" s="105"/>
      <c r="CL1162" s="105"/>
      <c r="CM1162" s="105"/>
    </row>
    <row r="1163" spans="1:91" x14ac:dyDescent="0.25">
      <c r="A1163" s="281"/>
      <c r="B1163" s="105"/>
      <c r="C1163" s="105"/>
      <c r="D1163" s="105"/>
      <c r="E1163" s="106"/>
      <c r="F1163" s="105"/>
      <c r="G1163" s="315"/>
      <c r="H1163" s="107"/>
      <c r="I1163" s="105"/>
      <c r="J1163" s="105"/>
      <c r="K1163" s="105"/>
      <c r="L1163" s="105"/>
      <c r="M1163" s="105"/>
      <c r="N1163" s="105"/>
      <c r="O1163" s="105"/>
      <c r="P1163" s="105"/>
      <c r="Q1163" s="105"/>
      <c r="R1163" s="105"/>
      <c r="S1163" s="105"/>
      <c r="T1163" s="105"/>
      <c r="U1163" s="105"/>
      <c r="V1163" s="105"/>
      <c r="W1163" s="105"/>
      <c r="X1163" s="105"/>
      <c r="Y1163" s="105"/>
      <c r="Z1163" s="105"/>
      <c r="AA1163" s="105"/>
      <c r="AB1163" s="105"/>
      <c r="AC1163" s="105"/>
      <c r="AD1163" s="105"/>
      <c r="AE1163" s="105"/>
      <c r="AF1163" s="105"/>
      <c r="AG1163" s="105"/>
      <c r="AH1163" s="105"/>
      <c r="AI1163" s="105"/>
      <c r="AJ1163" s="105"/>
      <c r="AK1163" s="105"/>
      <c r="AL1163" s="105"/>
      <c r="AM1163" s="105"/>
      <c r="AN1163" s="105"/>
      <c r="AO1163" s="105"/>
      <c r="AP1163" s="105"/>
      <c r="AQ1163" s="105"/>
      <c r="AR1163" s="105"/>
      <c r="AS1163" s="105"/>
      <c r="AT1163" s="105"/>
      <c r="AU1163" s="105"/>
      <c r="AV1163" s="105"/>
      <c r="AW1163" s="105"/>
      <c r="AX1163" s="105"/>
      <c r="AY1163" s="105"/>
      <c r="AZ1163" s="105"/>
      <c r="BA1163" s="105"/>
      <c r="BB1163" s="105"/>
      <c r="BC1163" s="105"/>
      <c r="BD1163" s="105"/>
      <c r="BE1163" s="105"/>
      <c r="BF1163" s="105"/>
      <c r="BG1163" s="105"/>
      <c r="BH1163" s="105"/>
      <c r="BI1163" s="105"/>
      <c r="BJ1163" s="105"/>
      <c r="BK1163" s="105"/>
      <c r="BL1163" s="105"/>
      <c r="BM1163" s="105"/>
      <c r="BN1163" s="105"/>
      <c r="BO1163" s="105"/>
      <c r="BP1163" s="105"/>
      <c r="BQ1163" s="105"/>
      <c r="BR1163" s="105"/>
      <c r="BS1163" s="105"/>
      <c r="BT1163" s="105"/>
      <c r="BU1163" s="105"/>
      <c r="BV1163" s="105"/>
      <c r="BW1163" s="105"/>
      <c r="BX1163" s="105"/>
      <c r="BY1163" s="105"/>
      <c r="BZ1163" s="105"/>
      <c r="CA1163" s="105"/>
      <c r="CB1163" s="105"/>
      <c r="CC1163" s="105"/>
      <c r="CD1163" s="105"/>
      <c r="CE1163" s="105"/>
      <c r="CF1163" s="105"/>
      <c r="CG1163" s="105"/>
      <c r="CH1163" s="105"/>
      <c r="CI1163" s="105"/>
      <c r="CJ1163" s="105"/>
      <c r="CK1163" s="105"/>
      <c r="CL1163" s="105"/>
      <c r="CM1163" s="105"/>
    </row>
    <row r="1164" spans="1:91" x14ac:dyDescent="0.25">
      <c r="A1164" s="281"/>
      <c r="B1164" s="105"/>
      <c r="C1164" s="105"/>
      <c r="D1164" s="105"/>
      <c r="E1164" s="106"/>
      <c r="F1164" s="105"/>
      <c r="G1164" s="315"/>
      <c r="H1164" s="107"/>
      <c r="I1164" s="105"/>
      <c r="J1164" s="105"/>
      <c r="K1164" s="105"/>
      <c r="L1164" s="105"/>
      <c r="M1164" s="105"/>
      <c r="N1164" s="105"/>
      <c r="O1164" s="105"/>
      <c r="P1164" s="105"/>
      <c r="Q1164" s="105"/>
      <c r="R1164" s="105"/>
      <c r="S1164" s="105"/>
      <c r="T1164" s="105"/>
      <c r="U1164" s="105"/>
      <c r="V1164" s="105"/>
      <c r="W1164" s="105"/>
      <c r="X1164" s="105"/>
      <c r="Y1164" s="105"/>
      <c r="Z1164" s="105"/>
      <c r="AA1164" s="105"/>
      <c r="AB1164" s="105"/>
      <c r="AC1164" s="105"/>
      <c r="AD1164" s="105"/>
      <c r="AE1164" s="105"/>
      <c r="AF1164" s="105"/>
      <c r="AG1164" s="105"/>
      <c r="AH1164" s="105"/>
      <c r="AI1164" s="105"/>
      <c r="AJ1164" s="105"/>
      <c r="AK1164" s="105"/>
      <c r="AL1164" s="105"/>
      <c r="AM1164" s="105"/>
      <c r="AN1164" s="105"/>
      <c r="AO1164" s="105"/>
      <c r="AP1164" s="105"/>
      <c r="AQ1164" s="105"/>
      <c r="AR1164" s="105"/>
      <c r="AS1164" s="105"/>
      <c r="AT1164" s="105"/>
      <c r="AU1164" s="105"/>
      <c r="AV1164" s="105"/>
      <c r="AW1164" s="105"/>
      <c r="AX1164" s="105"/>
      <c r="AY1164" s="105"/>
      <c r="AZ1164" s="105"/>
      <c r="BA1164" s="105"/>
      <c r="BB1164" s="105"/>
      <c r="BC1164" s="105"/>
      <c r="BD1164" s="105"/>
      <c r="BE1164" s="105"/>
      <c r="BF1164" s="105"/>
      <c r="BG1164" s="105"/>
      <c r="BH1164" s="105"/>
      <c r="BI1164" s="105"/>
      <c r="BJ1164" s="105"/>
      <c r="BK1164" s="105"/>
      <c r="BL1164" s="105"/>
      <c r="BM1164" s="105"/>
      <c r="BN1164" s="105"/>
      <c r="BO1164" s="105"/>
      <c r="BP1164" s="105"/>
      <c r="BQ1164" s="105"/>
      <c r="BR1164" s="105"/>
      <c r="BS1164" s="105"/>
      <c r="BT1164" s="105"/>
      <c r="BU1164" s="105"/>
      <c r="BV1164" s="105"/>
      <c r="BW1164" s="105"/>
      <c r="BX1164" s="105"/>
      <c r="BY1164" s="105"/>
      <c r="BZ1164" s="105"/>
      <c r="CA1164" s="105"/>
      <c r="CB1164" s="105"/>
      <c r="CC1164" s="105"/>
      <c r="CD1164" s="105"/>
      <c r="CE1164" s="105"/>
      <c r="CF1164" s="105"/>
      <c r="CG1164" s="105"/>
      <c r="CH1164" s="105"/>
      <c r="CI1164" s="105"/>
      <c r="CJ1164" s="105"/>
      <c r="CK1164" s="105"/>
      <c r="CL1164" s="105"/>
      <c r="CM1164" s="105"/>
    </row>
    <row r="1165" spans="1:91" x14ac:dyDescent="0.25">
      <c r="A1165" s="281"/>
      <c r="B1165" s="105"/>
      <c r="C1165" s="105"/>
      <c r="D1165" s="105"/>
      <c r="E1165" s="106"/>
      <c r="F1165" s="105"/>
      <c r="G1165" s="315"/>
      <c r="H1165" s="107"/>
      <c r="I1165" s="105"/>
      <c r="J1165" s="105"/>
      <c r="K1165" s="105"/>
      <c r="L1165" s="105"/>
      <c r="M1165" s="105"/>
      <c r="N1165" s="105"/>
      <c r="O1165" s="105"/>
      <c r="P1165" s="105"/>
      <c r="Q1165" s="105"/>
      <c r="R1165" s="105"/>
      <c r="S1165" s="105"/>
      <c r="T1165" s="105"/>
      <c r="U1165" s="105"/>
      <c r="V1165" s="105"/>
      <c r="W1165" s="105"/>
      <c r="X1165" s="105"/>
      <c r="Y1165" s="105"/>
      <c r="Z1165" s="105"/>
      <c r="AA1165" s="105"/>
      <c r="AB1165" s="105"/>
      <c r="AC1165" s="105"/>
      <c r="AD1165" s="105"/>
      <c r="AE1165" s="105"/>
      <c r="AF1165" s="105"/>
      <c r="AG1165" s="105"/>
      <c r="AH1165" s="105"/>
      <c r="AI1165" s="105"/>
      <c r="AJ1165" s="105"/>
      <c r="AK1165" s="105"/>
      <c r="AL1165" s="105"/>
      <c r="AM1165" s="105"/>
      <c r="AN1165" s="105"/>
      <c r="AO1165" s="105"/>
      <c r="AP1165" s="105"/>
      <c r="AQ1165" s="105"/>
      <c r="AR1165" s="105"/>
      <c r="AS1165" s="105"/>
      <c r="AT1165" s="105"/>
      <c r="AU1165" s="105"/>
      <c r="AV1165" s="105"/>
      <c r="AW1165" s="105"/>
      <c r="AX1165" s="105"/>
      <c r="AY1165" s="105"/>
      <c r="AZ1165" s="105"/>
      <c r="BA1165" s="105"/>
      <c r="BB1165" s="105"/>
      <c r="BC1165" s="105"/>
      <c r="BD1165" s="105"/>
      <c r="BE1165" s="105"/>
      <c r="BF1165" s="105"/>
      <c r="BG1165" s="105"/>
      <c r="BH1165" s="105"/>
      <c r="BI1165" s="105"/>
      <c r="BJ1165" s="105"/>
      <c r="BK1165" s="105"/>
      <c r="BL1165" s="105"/>
      <c r="BM1165" s="105"/>
      <c r="BN1165" s="105"/>
      <c r="BO1165" s="105"/>
      <c r="BP1165" s="105"/>
      <c r="BQ1165" s="105"/>
      <c r="BR1165" s="105"/>
      <c r="BS1165" s="105"/>
      <c r="BT1165" s="105"/>
      <c r="BU1165" s="105"/>
      <c r="BV1165" s="105"/>
      <c r="BW1165" s="105"/>
      <c r="BX1165" s="105"/>
      <c r="BY1165" s="105"/>
      <c r="BZ1165" s="105"/>
      <c r="CA1165" s="105"/>
      <c r="CB1165" s="105"/>
      <c r="CC1165" s="105"/>
      <c r="CD1165" s="105"/>
      <c r="CE1165" s="105"/>
      <c r="CF1165" s="105"/>
      <c r="CG1165" s="105"/>
      <c r="CH1165" s="105"/>
      <c r="CI1165" s="105"/>
      <c r="CJ1165" s="105"/>
      <c r="CK1165" s="105"/>
      <c r="CL1165" s="105"/>
      <c r="CM1165" s="105"/>
    </row>
    <row r="1166" spans="1:91" x14ac:dyDescent="0.25">
      <c r="A1166" s="281"/>
      <c r="B1166" s="105"/>
      <c r="C1166" s="105"/>
      <c r="D1166" s="105"/>
      <c r="E1166" s="106"/>
      <c r="F1166" s="105"/>
      <c r="G1166" s="315"/>
      <c r="H1166" s="107"/>
      <c r="I1166" s="105"/>
      <c r="J1166" s="105"/>
      <c r="K1166" s="105"/>
      <c r="L1166" s="105"/>
      <c r="M1166" s="105"/>
      <c r="N1166" s="105"/>
      <c r="O1166" s="105"/>
      <c r="P1166" s="105"/>
      <c r="Q1166" s="105"/>
      <c r="R1166" s="105"/>
      <c r="S1166" s="105"/>
      <c r="T1166" s="105"/>
      <c r="U1166" s="105"/>
      <c r="V1166" s="105"/>
      <c r="W1166" s="105"/>
      <c r="X1166" s="105"/>
      <c r="Y1166" s="105"/>
      <c r="Z1166" s="105"/>
      <c r="AA1166" s="105"/>
      <c r="AB1166" s="105"/>
      <c r="AC1166" s="105"/>
      <c r="AD1166" s="105"/>
      <c r="AE1166" s="105"/>
      <c r="AF1166" s="105"/>
      <c r="AG1166" s="105"/>
      <c r="AH1166" s="105"/>
      <c r="AI1166" s="105"/>
      <c r="AJ1166" s="105"/>
      <c r="AK1166" s="105"/>
      <c r="AL1166" s="105"/>
      <c r="AM1166" s="105"/>
      <c r="AN1166" s="105"/>
      <c r="AO1166" s="105"/>
      <c r="AP1166" s="105"/>
      <c r="AQ1166" s="105"/>
      <c r="AR1166" s="105"/>
      <c r="AS1166" s="105"/>
      <c r="AT1166" s="105"/>
      <c r="AU1166" s="105"/>
      <c r="AV1166" s="105"/>
      <c r="AW1166" s="105"/>
      <c r="AX1166" s="105"/>
      <c r="AY1166" s="105"/>
      <c r="AZ1166" s="105"/>
      <c r="BA1166" s="105"/>
      <c r="BB1166" s="105"/>
      <c r="BC1166" s="105"/>
      <c r="BD1166" s="105"/>
      <c r="BE1166" s="105"/>
      <c r="BF1166" s="105"/>
      <c r="BG1166" s="105"/>
      <c r="BH1166" s="105"/>
      <c r="BI1166" s="105"/>
      <c r="BJ1166" s="105"/>
      <c r="BK1166" s="105"/>
      <c r="BL1166" s="105"/>
      <c r="BM1166" s="105"/>
      <c r="BN1166" s="105"/>
      <c r="BO1166" s="105"/>
      <c r="BP1166" s="105"/>
      <c r="BQ1166" s="105"/>
      <c r="BR1166" s="105"/>
      <c r="BS1166" s="105"/>
      <c r="BT1166" s="105"/>
      <c r="BU1166" s="105"/>
      <c r="BV1166" s="105"/>
      <c r="BW1166" s="105"/>
      <c r="BX1166" s="105"/>
      <c r="BY1166" s="105"/>
      <c r="BZ1166" s="105"/>
      <c r="CA1166" s="105"/>
      <c r="CB1166" s="105"/>
      <c r="CC1166" s="105"/>
      <c r="CD1166" s="105"/>
      <c r="CE1166" s="105"/>
      <c r="CF1166" s="105"/>
      <c r="CG1166" s="105"/>
      <c r="CH1166" s="105"/>
      <c r="CI1166" s="105"/>
      <c r="CJ1166" s="105"/>
      <c r="CK1166" s="105"/>
      <c r="CL1166" s="105"/>
      <c r="CM1166" s="105"/>
    </row>
    <row r="1167" spans="1:91" x14ac:dyDescent="0.25">
      <c r="A1167" s="281"/>
      <c r="B1167" s="105"/>
      <c r="C1167" s="105"/>
      <c r="D1167" s="105"/>
      <c r="E1167" s="106"/>
      <c r="F1167" s="105"/>
      <c r="G1167" s="315"/>
      <c r="H1167" s="107"/>
      <c r="I1167" s="105"/>
      <c r="J1167" s="105"/>
      <c r="K1167" s="105"/>
      <c r="L1167" s="105"/>
      <c r="M1167" s="105"/>
      <c r="N1167" s="105"/>
      <c r="O1167" s="105"/>
      <c r="P1167" s="105"/>
      <c r="Q1167" s="105"/>
      <c r="R1167" s="105"/>
      <c r="S1167" s="105"/>
      <c r="T1167" s="105"/>
      <c r="U1167" s="105"/>
      <c r="V1167" s="105"/>
      <c r="W1167" s="105"/>
      <c r="X1167" s="105"/>
      <c r="Y1167" s="105"/>
      <c r="Z1167" s="105"/>
      <c r="AA1167" s="105"/>
      <c r="AB1167" s="105"/>
      <c r="AC1167" s="105"/>
      <c r="AD1167" s="105"/>
      <c r="AE1167" s="105"/>
      <c r="AF1167" s="105"/>
      <c r="AG1167" s="105"/>
      <c r="AH1167" s="105"/>
      <c r="AI1167" s="105"/>
      <c r="AJ1167" s="105"/>
      <c r="AK1167" s="105"/>
      <c r="AL1167" s="105"/>
      <c r="AM1167" s="105"/>
      <c r="AN1167" s="105"/>
      <c r="AO1167" s="105"/>
      <c r="AP1167" s="105"/>
      <c r="AQ1167" s="105"/>
      <c r="AR1167" s="105"/>
      <c r="AS1167" s="105"/>
      <c r="AT1167" s="105"/>
      <c r="AU1167" s="105"/>
      <c r="AV1167" s="105"/>
      <c r="AW1167" s="105"/>
      <c r="AX1167" s="105"/>
      <c r="AY1167" s="105"/>
      <c r="AZ1167" s="105"/>
      <c r="BA1167" s="105"/>
      <c r="BB1167" s="105"/>
      <c r="BC1167" s="105"/>
      <c r="BD1167" s="105"/>
      <c r="BE1167" s="105"/>
      <c r="BF1167" s="105"/>
      <c r="BG1167" s="105"/>
      <c r="BH1167" s="105"/>
      <c r="BI1167" s="105"/>
      <c r="BJ1167" s="105"/>
      <c r="BK1167" s="105"/>
      <c r="BL1167" s="105"/>
      <c r="BM1167" s="105"/>
      <c r="BN1167" s="105"/>
      <c r="BO1167" s="105"/>
      <c r="BP1167" s="105"/>
      <c r="BQ1167" s="105"/>
      <c r="BR1167" s="105"/>
      <c r="BS1167" s="105"/>
      <c r="BT1167" s="105"/>
      <c r="BU1167" s="105"/>
      <c r="BV1167" s="105"/>
      <c r="BW1167" s="105"/>
      <c r="BX1167" s="105"/>
      <c r="BY1167" s="105"/>
      <c r="BZ1167" s="105"/>
      <c r="CA1167" s="105"/>
      <c r="CB1167" s="105"/>
      <c r="CC1167" s="105"/>
      <c r="CD1167" s="105"/>
      <c r="CE1167" s="105"/>
      <c r="CF1167" s="105"/>
      <c r="CG1167" s="105"/>
      <c r="CH1167" s="105"/>
      <c r="CI1167" s="105"/>
      <c r="CJ1167" s="105"/>
      <c r="CK1167" s="105"/>
      <c r="CL1167" s="105"/>
      <c r="CM1167" s="105"/>
    </row>
    <row r="1168" spans="1:91" x14ac:dyDescent="0.25">
      <c r="A1168" s="281"/>
      <c r="B1168" s="105"/>
      <c r="C1168" s="105"/>
      <c r="D1168" s="105"/>
      <c r="E1168" s="106"/>
      <c r="F1168" s="105"/>
      <c r="G1168" s="315"/>
      <c r="H1168" s="107"/>
      <c r="I1168" s="105"/>
      <c r="J1168" s="105"/>
      <c r="K1168" s="105"/>
      <c r="L1168" s="105"/>
      <c r="M1168" s="105"/>
      <c r="N1168" s="105"/>
      <c r="O1168" s="105"/>
      <c r="P1168" s="105"/>
      <c r="Q1168" s="105"/>
      <c r="R1168" s="105"/>
      <c r="S1168" s="105"/>
      <c r="T1168" s="105"/>
      <c r="U1168" s="105"/>
      <c r="V1168" s="105"/>
      <c r="W1168" s="105"/>
      <c r="X1168" s="105"/>
      <c r="Y1168" s="105"/>
      <c r="Z1168" s="105"/>
      <c r="AA1168" s="105"/>
      <c r="AB1168" s="105"/>
      <c r="AC1168" s="105"/>
      <c r="AD1168" s="105"/>
      <c r="AE1168" s="105"/>
      <c r="AF1168" s="105"/>
      <c r="AG1168" s="105"/>
      <c r="AH1168" s="105"/>
      <c r="AI1168" s="105"/>
      <c r="AJ1168" s="105"/>
      <c r="AK1168" s="105"/>
      <c r="AL1168" s="105"/>
      <c r="AM1168" s="105"/>
      <c r="AN1168" s="105"/>
      <c r="AO1168" s="105"/>
      <c r="AP1168" s="105"/>
      <c r="AQ1168" s="105"/>
      <c r="AR1168" s="105"/>
      <c r="AS1168" s="105"/>
      <c r="AT1168" s="105"/>
      <c r="AU1168" s="105"/>
      <c r="AV1168" s="105"/>
      <c r="AW1168" s="105"/>
      <c r="AX1168" s="105"/>
      <c r="AY1168" s="105"/>
      <c r="AZ1168" s="105"/>
      <c r="BA1168" s="105"/>
      <c r="BB1168" s="105"/>
      <c r="BC1168" s="105"/>
      <c r="BD1168" s="105"/>
      <c r="BE1168" s="105"/>
      <c r="BF1168" s="105"/>
      <c r="BG1168" s="105"/>
      <c r="BH1168" s="105"/>
      <c r="BI1168" s="105"/>
      <c r="BJ1168" s="105"/>
      <c r="BK1168" s="105"/>
      <c r="BL1168" s="105"/>
      <c r="BM1168" s="105"/>
      <c r="BN1168" s="105"/>
      <c r="BO1168" s="105"/>
      <c r="BP1168" s="105"/>
      <c r="BQ1168" s="105"/>
      <c r="BR1168" s="105"/>
      <c r="BS1168" s="105"/>
      <c r="BT1168" s="105"/>
      <c r="BU1168" s="105"/>
      <c r="BV1168" s="105"/>
      <c r="BW1168" s="105"/>
      <c r="BX1168" s="105"/>
      <c r="BY1168" s="105"/>
      <c r="BZ1168" s="105"/>
      <c r="CA1168" s="105"/>
      <c r="CB1168" s="105"/>
      <c r="CC1168" s="105"/>
      <c r="CD1168" s="105"/>
      <c r="CE1168" s="105"/>
      <c r="CF1168" s="105"/>
      <c r="CG1168" s="105"/>
      <c r="CH1168" s="105"/>
      <c r="CI1168" s="105"/>
      <c r="CJ1168" s="105"/>
      <c r="CK1168" s="105"/>
      <c r="CL1168" s="105"/>
      <c r="CM1168" s="105"/>
    </row>
    <row r="1169" spans="1:91" x14ac:dyDescent="0.25">
      <c r="A1169" s="281"/>
      <c r="B1169" s="105"/>
      <c r="C1169" s="105"/>
      <c r="D1169" s="105"/>
      <c r="E1169" s="106"/>
      <c r="F1169" s="105"/>
      <c r="G1169" s="315"/>
      <c r="H1169" s="107"/>
      <c r="I1169" s="105"/>
      <c r="J1169" s="105"/>
      <c r="K1169" s="105"/>
      <c r="L1169" s="105"/>
      <c r="M1169" s="105"/>
      <c r="N1169" s="105"/>
      <c r="O1169" s="105"/>
      <c r="P1169" s="105"/>
      <c r="Q1169" s="105"/>
      <c r="R1169" s="105"/>
      <c r="S1169" s="105"/>
      <c r="T1169" s="105"/>
      <c r="U1169" s="105"/>
      <c r="V1169" s="105"/>
      <c r="W1169" s="105"/>
      <c r="X1169" s="105"/>
      <c r="Y1169" s="105"/>
      <c r="Z1169" s="105"/>
      <c r="AA1169" s="105"/>
      <c r="AB1169" s="105"/>
      <c r="AC1169" s="105"/>
      <c r="AD1169" s="105"/>
      <c r="AE1169" s="105"/>
      <c r="AF1169" s="105"/>
      <c r="AG1169" s="105"/>
      <c r="AH1169" s="105"/>
      <c r="AI1169" s="105"/>
      <c r="AJ1169" s="105"/>
      <c r="AK1169" s="105"/>
      <c r="AL1169" s="105"/>
      <c r="AM1169" s="105"/>
      <c r="AN1169" s="105"/>
      <c r="AO1169" s="105"/>
      <c r="AP1169" s="105"/>
      <c r="AQ1169" s="105"/>
      <c r="AR1169" s="105"/>
      <c r="AS1169" s="105"/>
      <c r="AT1169" s="105"/>
      <c r="AU1169" s="105"/>
      <c r="AV1169" s="105"/>
      <c r="AW1169" s="105"/>
      <c r="AX1169" s="105"/>
      <c r="AY1169" s="105"/>
      <c r="AZ1169" s="105"/>
      <c r="BA1169" s="105"/>
      <c r="BB1169" s="105"/>
      <c r="BC1169" s="105"/>
      <c r="BD1169" s="105"/>
      <c r="BE1169" s="105"/>
      <c r="BF1169" s="105"/>
      <c r="BG1169" s="105"/>
      <c r="BH1169" s="105"/>
      <c r="BI1169" s="105"/>
      <c r="BJ1169" s="105"/>
      <c r="BK1169" s="105"/>
      <c r="BL1169" s="105"/>
      <c r="BM1169" s="105"/>
      <c r="BN1169" s="105"/>
      <c r="BO1169" s="105"/>
      <c r="BP1169" s="105"/>
      <c r="BQ1169" s="105"/>
      <c r="BR1169" s="105"/>
      <c r="BS1169" s="105"/>
      <c r="BT1169" s="105"/>
      <c r="BU1169" s="105"/>
      <c r="BV1169" s="105"/>
      <c r="BW1169" s="105"/>
      <c r="BX1169" s="105"/>
      <c r="BY1169" s="105"/>
      <c r="BZ1169" s="105"/>
      <c r="CA1169" s="105"/>
      <c r="CB1169" s="105"/>
      <c r="CC1169" s="105"/>
      <c r="CD1169" s="105"/>
      <c r="CE1169" s="105"/>
      <c r="CF1169" s="105"/>
      <c r="CG1169" s="105"/>
      <c r="CH1169" s="105"/>
      <c r="CI1169" s="105"/>
      <c r="CJ1169" s="105"/>
      <c r="CK1169" s="105"/>
      <c r="CL1169" s="105"/>
      <c r="CM1169" s="105"/>
    </row>
    <row r="1170" spans="1:91" x14ac:dyDescent="0.25">
      <c r="A1170" s="281"/>
      <c r="B1170" s="105"/>
      <c r="C1170" s="105"/>
      <c r="D1170" s="105"/>
      <c r="E1170" s="106"/>
      <c r="F1170" s="105"/>
      <c r="G1170" s="315"/>
      <c r="H1170" s="107"/>
      <c r="I1170" s="105"/>
      <c r="J1170" s="105"/>
      <c r="K1170" s="105"/>
      <c r="L1170" s="105"/>
      <c r="M1170" s="105"/>
      <c r="N1170" s="105"/>
      <c r="O1170" s="105"/>
      <c r="P1170" s="105"/>
      <c r="Q1170" s="105"/>
      <c r="R1170" s="105"/>
      <c r="S1170" s="105"/>
      <c r="T1170" s="105"/>
      <c r="U1170" s="105"/>
      <c r="V1170" s="105"/>
      <c r="W1170" s="105"/>
      <c r="X1170" s="105"/>
      <c r="Y1170" s="105"/>
      <c r="Z1170" s="105"/>
      <c r="AA1170" s="105"/>
      <c r="AB1170" s="105"/>
      <c r="AC1170" s="105"/>
      <c r="AD1170" s="105"/>
      <c r="AE1170" s="105"/>
      <c r="AF1170" s="105"/>
      <c r="AG1170" s="105"/>
      <c r="AH1170" s="105"/>
      <c r="AI1170" s="105"/>
      <c r="AJ1170" s="105"/>
      <c r="AK1170" s="105"/>
      <c r="AL1170" s="105"/>
      <c r="AM1170" s="105"/>
      <c r="AN1170" s="105"/>
      <c r="AO1170" s="105"/>
      <c r="AP1170" s="105"/>
      <c r="AQ1170" s="105"/>
      <c r="AR1170" s="105"/>
      <c r="AS1170" s="105"/>
      <c r="AT1170" s="105"/>
      <c r="AU1170" s="105"/>
      <c r="AV1170" s="105"/>
      <c r="AW1170" s="105"/>
      <c r="AX1170" s="105"/>
      <c r="AY1170" s="105"/>
      <c r="AZ1170" s="105"/>
      <c r="BA1170" s="105"/>
      <c r="BB1170" s="105"/>
      <c r="BC1170" s="105"/>
      <c r="BD1170" s="105"/>
      <c r="BE1170" s="105"/>
      <c r="BF1170" s="105"/>
      <c r="BG1170" s="105"/>
      <c r="BH1170" s="105"/>
      <c r="BI1170" s="105"/>
      <c r="BJ1170" s="105"/>
      <c r="BK1170" s="105"/>
      <c r="BL1170" s="105"/>
      <c r="BM1170" s="105"/>
      <c r="BN1170" s="105"/>
      <c r="BO1170" s="105"/>
      <c r="BP1170" s="105"/>
      <c r="BQ1170" s="105"/>
      <c r="BR1170" s="105"/>
      <c r="BS1170" s="105"/>
      <c r="BT1170" s="105"/>
      <c r="BU1170" s="105"/>
      <c r="BV1170" s="105"/>
      <c r="BW1170" s="105"/>
      <c r="BX1170" s="105"/>
      <c r="BY1170" s="105"/>
      <c r="BZ1170" s="105"/>
      <c r="CA1170" s="105"/>
      <c r="CB1170" s="105"/>
      <c r="CC1170" s="105"/>
      <c r="CD1170" s="105"/>
      <c r="CE1170" s="105"/>
      <c r="CF1170" s="105"/>
      <c r="CG1170" s="105"/>
      <c r="CH1170" s="105"/>
      <c r="CI1170" s="105"/>
      <c r="CJ1170" s="105"/>
      <c r="CK1170" s="105"/>
      <c r="CL1170" s="105"/>
      <c r="CM1170" s="105"/>
    </row>
    <row r="1171" spans="1:91" x14ac:dyDescent="0.25">
      <c r="A1171" s="281"/>
      <c r="B1171" s="105"/>
      <c r="C1171" s="105"/>
      <c r="D1171" s="105"/>
      <c r="E1171" s="106"/>
      <c r="F1171" s="105"/>
      <c r="G1171" s="315"/>
      <c r="H1171" s="107"/>
      <c r="I1171" s="105"/>
      <c r="J1171" s="105"/>
      <c r="K1171" s="105"/>
      <c r="L1171" s="105"/>
      <c r="M1171" s="105"/>
      <c r="N1171" s="105"/>
      <c r="O1171" s="105"/>
      <c r="P1171" s="105"/>
      <c r="Q1171" s="105"/>
      <c r="R1171" s="105"/>
      <c r="S1171" s="105"/>
      <c r="T1171" s="105"/>
      <c r="U1171" s="105"/>
      <c r="V1171" s="105"/>
      <c r="W1171" s="105"/>
      <c r="X1171" s="105"/>
      <c r="Y1171" s="105"/>
      <c r="Z1171" s="105"/>
      <c r="AA1171" s="105"/>
      <c r="AB1171" s="105"/>
      <c r="AC1171" s="105"/>
      <c r="AD1171" s="105"/>
      <c r="AE1171" s="105"/>
      <c r="AF1171" s="105"/>
      <c r="AG1171" s="105"/>
      <c r="AH1171" s="105"/>
      <c r="AI1171" s="105"/>
      <c r="AJ1171" s="105"/>
      <c r="AK1171" s="105"/>
      <c r="AL1171" s="105"/>
      <c r="AM1171" s="105"/>
      <c r="AN1171" s="105"/>
      <c r="AO1171" s="105"/>
      <c r="AP1171" s="105"/>
      <c r="AQ1171" s="105"/>
      <c r="AR1171" s="105"/>
      <c r="AS1171" s="105"/>
      <c r="AT1171" s="105"/>
      <c r="AU1171" s="105"/>
      <c r="AV1171" s="105"/>
      <c r="AW1171" s="105"/>
      <c r="AX1171" s="105"/>
      <c r="AY1171" s="105"/>
      <c r="AZ1171" s="105"/>
      <c r="BA1171" s="105"/>
      <c r="BB1171" s="105"/>
      <c r="BC1171" s="105"/>
      <c r="BD1171" s="105"/>
      <c r="BE1171" s="105"/>
      <c r="BF1171" s="105"/>
      <c r="BG1171" s="105"/>
      <c r="BH1171" s="105"/>
      <c r="BI1171" s="105"/>
      <c r="BJ1171" s="105"/>
      <c r="BK1171" s="105"/>
      <c r="BL1171" s="105"/>
      <c r="BM1171" s="105"/>
      <c r="BN1171" s="105"/>
      <c r="BO1171" s="105"/>
      <c r="BP1171" s="105"/>
      <c r="BQ1171" s="105"/>
      <c r="BR1171" s="105"/>
      <c r="BS1171" s="105"/>
      <c r="BT1171" s="105"/>
      <c r="BU1171" s="105"/>
      <c r="BV1171" s="105"/>
      <c r="BW1171" s="105"/>
      <c r="BX1171" s="105"/>
      <c r="BY1171" s="105"/>
      <c r="BZ1171" s="105"/>
      <c r="CA1171" s="105"/>
      <c r="CB1171" s="105"/>
      <c r="CC1171" s="105"/>
      <c r="CD1171" s="105"/>
      <c r="CE1171" s="105"/>
      <c r="CF1171" s="105"/>
      <c r="CG1171" s="105"/>
      <c r="CH1171" s="105"/>
      <c r="CI1171" s="105"/>
      <c r="CJ1171" s="105"/>
      <c r="CK1171" s="105"/>
      <c r="CL1171" s="105"/>
      <c r="CM1171" s="105"/>
    </row>
    <row r="1172" spans="1:91" x14ac:dyDescent="0.25">
      <c r="A1172" s="281"/>
      <c r="B1172" s="105"/>
      <c r="C1172" s="105"/>
      <c r="D1172" s="105"/>
      <c r="E1172" s="106"/>
      <c r="F1172" s="105"/>
      <c r="G1172" s="315"/>
      <c r="H1172" s="107"/>
      <c r="I1172" s="105"/>
      <c r="J1172" s="105"/>
      <c r="K1172" s="105"/>
      <c r="L1172" s="105"/>
      <c r="M1172" s="105"/>
      <c r="N1172" s="105"/>
      <c r="O1172" s="105"/>
      <c r="P1172" s="105"/>
      <c r="Q1172" s="105"/>
      <c r="R1172" s="105"/>
      <c r="S1172" s="105"/>
      <c r="T1172" s="105"/>
      <c r="U1172" s="105"/>
      <c r="V1172" s="105"/>
      <c r="W1172" s="105"/>
      <c r="X1172" s="105"/>
      <c r="Y1172" s="105"/>
      <c r="Z1172" s="105"/>
      <c r="AA1172" s="105"/>
      <c r="AB1172" s="105"/>
      <c r="AC1172" s="105"/>
      <c r="AD1172" s="105"/>
      <c r="AE1172" s="105"/>
      <c r="AF1172" s="105"/>
      <c r="AG1172" s="105"/>
      <c r="AH1172" s="105"/>
      <c r="AI1172" s="105"/>
      <c r="AJ1172" s="105"/>
      <c r="AK1172" s="105"/>
      <c r="AL1172" s="105"/>
      <c r="AM1172" s="105"/>
      <c r="AN1172" s="105"/>
      <c r="AO1172" s="105"/>
      <c r="AP1172" s="105"/>
      <c r="AQ1172" s="105"/>
      <c r="AR1172" s="105"/>
      <c r="AS1172" s="105"/>
      <c r="AT1172" s="105"/>
      <c r="AU1172" s="105"/>
      <c r="AV1172" s="105"/>
      <c r="AW1172" s="105"/>
      <c r="AX1172" s="105"/>
      <c r="AY1172" s="105"/>
      <c r="AZ1172" s="105"/>
      <c r="BA1172" s="105"/>
      <c r="BB1172" s="105"/>
      <c r="BC1172" s="105"/>
      <c r="BD1172" s="105"/>
      <c r="BE1172" s="105"/>
      <c r="BF1172" s="105"/>
      <c r="BG1172" s="105"/>
      <c r="BH1172" s="105"/>
      <c r="BI1172" s="105"/>
      <c r="BJ1172" s="105"/>
      <c r="BK1172" s="105"/>
      <c r="BL1172" s="105"/>
      <c r="BM1172" s="105"/>
      <c r="BN1172" s="105"/>
      <c r="BO1172" s="105"/>
      <c r="BP1172" s="105"/>
      <c r="BQ1172" s="105"/>
      <c r="BR1172" s="105"/>
      <c r="BS1172" s="105"/>
      <c r="BT1172" s="105"/>
      <c r="BU1172" s="105"/>
      <c r="BV1172" s="105"/>
      <c r="BW1172" s="105"/>
      <c r="BX1172" s="105"/>
      <c r="BY1172" s="105"/>
      <c r="BZ1172" s="105"/>
      <c r="CA1172" s="105"/>
      <c r="CB1172" s="105"/>
      <c r="CC1172" s="105"/>
      <c r="CD1172" s="105"/>
      <c r="CE1172" s="105"/>
      <c r="CF1172" s="105"/>
      <c r="CG1172" s="105"/>
      <c r="CH1172" s="105"/>
      <c r="CI1172" s="105"/>
      <c r="CJ1172" s="105"/>
      <c r="CK1172" s="105"/>
      <c r="CL1172" s="105"/>
      <c r="CM1172" s="105"/>
    </row>
  </sheetData>
  <autoFilter ref="A1:W572" xr:uid="{00000000-0009-0000-0000-000000000000}">
    <filterColumn colId="4">
      <filters>
        <filter val="39625921"/>
      </filters>
    </filterColumn>
  </autoFilter>
  <conditionalFormatting sqref="L2:L572">
    <cfRule type="containsText" dxfId="617" priority="1" operator="containsText" text="AL DIA">
      <formula>NOT(ISERROR(SEARCH(("AL DIA"),(L2))))</formula>
    </cfRule>
  </conditionalFormatting>
  <conditionalFormatting sqref="L2:L572">
    <cfRule type="containsText" dxfId="616" priority="2" operator="containsText" text="PENDIENTE">
      <formula>NOT(ISERROR(SEARCH(("PENDIENTE"),(L2))))</formula>
    </cfRule>
  </conditionalFormatting>
  <conditionalFormatting sqref="Q2:Q287">
    <cfRule type="containsText" dxfId="615" priority="3" operator="containsText" text="RETIRADO">
      <formula>NOT(ISERROR(SEARCH(("RETIRADO"),(Q2))))</formula>
    </cfRule>
  </conditionalFormatting>
  <conditionalFormatting sqref="Q2:Q287">
    <cfRule type="containsText" dxfId="614" priority="4" operator="containsText" text="ACTIVO">
      <formula>NOT(ISERROR(SEARCH(("ACTIVO"),(Q2))))</formula>
    </cfRule>
  </conditionalFormatting>
  <dataValidations count="2">
    <dataValidation type="list" allowBlank="1" showErrorMessage="1" sqref="Q3:Q14 Q64 Q68:Q74 Q76:Q82 Q84:Q100 Q123:Q126 Q155:Q173 Q203 Q214 Q216 Q218:Q220 Q223:Q228 Q230:Q235 Q252:Q258 Q261:Q263 Q265:Q276 Q291 Q293 Q297 Q305 Q308:Q310 Q312 Q314 Q344 Q348 Q356 Q359 Q376 Q402 Q408 Q419 Q443 Q451:Q455 Q458 Q461 Q471 Q478 Q482:Q485 Q487 Q492 Q495 Q517 Q113:Q120 Q128:Q152 Q175:Q184 Q197:Q201 Q445 Q66 Q238:Q250 Q475:Q476 Q205:Q210 Q19:Q26 Q28:Q52 Q54:Q62 Q102:Q111 Q186:Q195 Q278:Q288 Q463" xr:uid="{00000000-0002-0000-0000-000001000000}">
      <formula1>$T$1:$T$2</formula1>
    </dataValidation>
    <dataValidation type="list" allowBlank="1" showErrorMessage="1" sqref="L2:L572" xr:uid="{00000000-0002-0000-0000-000000000000}">
      <formula1>"PENDIENTE,AL DIA"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00000000-0004-0000-0000-000008000000}"/>
    <hyperlink ref="U11" r:id="rId10" xr:uid="{00000000-0004-0000-0000-000009000000}"/>
    <hyperlink ref="U13" r:id="rId11" xr:uid="{00000000-0004-0000-0000-00000A000000}"/>
    <hyperlink ref="U14" r:id="rId12" xr:uid="{00000000-0004-0000-0000-00000B000000}"/>
    <hyperlink ref="U15" r:id="rId13" xr:uid="{00000000-0004-0000-0000-00000C000000}"/>
    <hyperlink ref="U16" r:id="rId14" xr:uid="{00000000-0004-0000-0000-00000D000000}"/>
    <hyperlink ref="U17" r:id="rId15" xr:uid="{00000000-0004-0000-0000-00000E000000}"/>
    <hyperlink ref="U18" r:id="rId16" xr:uid="{00000000-0004-0000-0000-00000F000000}"/>
    <hyperlink ref="U19" r:id="rId17" xr:uid="{00000000-0004-0000-0000-000010000000}"/>
    <hyperlink ref="U20" r:id="rId18" xr:uid="{00000000-0004-0000-0000-000011000000}"/>
    <hyperlink ref="U21" r:id="rId19" xr:uid="{00000000-0004-0000-0000-000012000000}"/>
    <hyperlink ref="U22" r:id="rId20" xr:uid="{00000000-0004-0000-0000-000013000000}"/>
    <hyperlink ref="U23" r:id="rId21" xr:uid="{00000000-0004-0000-0000-000014000000}"/>
    <hyperlink ref="U24" r:id="rId22" xr:uid="{00000000-0004-0000-0000-000015000000}"/>
    <hyperlink ref="U25" r:id="rId23" xr:uid="{00000000-0004-0000-0000-000017000000}"/>
    <hyperlink ref="U26" r:id="rId24" xr:uid="{00000000-0004-0000-0000-000018000000}"/>
    <hyperlink ref="U27" r:id="rId25" xr:uid="{00000000-0004-0000-0000-000019000000}"/>
    <hyperlink ref="U28" r:id="rId26" xr:uid="{00000000-0004-0000-0000-00001A000000}"/>
    <hyperlink ref="U29" r:id="rId27" xr:uid="{00000000-0004-0000-0000-00001B000000}"/>
    <hyperlink ref="U30" r:id="rId28" xr:uid="{00000000-0004-0000-0000-00001C000000}"/>
    <hyperlink ref="U31" r:id="rId29" xr:uid="{00000000-0004-0000-0000-00001D000000}"/>
    <hyperlink ref="U32" r:id="rId30" xr:uid="{00000000-0004-0000-0000-00001E000000}"/>
    <hyperlink ref="U33" r:id="rId31" xr:uid="{00000000-0004-0000-0000-000020000000}"/>
    <hyperlink ref="U35" r:id="rId32" xr:uid="{00000000-0004-0000-0000-000021000000}"/>
    <hyperlink ref="U36" r:id="rId33" xr:uid="{00000000-0004-0000-0000-000022000000}"/>
    <hyperlink ref="U37" r:id="rId34" xr:uid="{00000000-0004-0000-0000-000023000000}"/>
    <hyperlink ref="U38" r:id="rId35" xr:uid="{00000000-0004-0000-0000-000024000000}"/>
    <hyperlink ref="U39" r:id="rId36" xr:uid="{00000000-0004-0000-0000-000025000000}"/>
    <hyperlink ref="U40" r:id="rId37" xr:uid="{00000000-0004-0000-0000-000026000000}"/>
    <hyperlink ref="U41" r:id="rId38" xr:uid="{00000000-0004-0000-0000-000027000000}"/>
    <hyperlink ref="U42" r:id="rId39" xr:uid="{00000000-0004-0000-0000-000028000000}"/>
    <hyperlink ref="U43" r:id="rId40" xr:uid="{00000000-0004-0000-0000-000029000000}"/>
    <hyperlink ref="U44" r:id="rId41" xr:uid="{00000000-0004-0000-0000-00002A000000}"/>
    <hyperlink ref="U47" r:id="rId42" xr:uid="{00000000-0004-0000-0000-00002B000000}"/>
    <hyperlink ref="U49" r:id="rId43" xr:uid="{00000000-0004-0000-0000-00002D000000}"/>
    <hyperlink ref="U50" r:id="rId44" xr:uid="{00000000-0004-0000-0000-00002E000000}"/>
    <hyperlink ref="U51" r:id="rId45" xr:uid="{00000000-0004-0000-0000-00002F000000}"/>
    <hyperlink ref="U52" r:id="rId46" xr:uid="{00000000-0004-0000-0000-000030000000}"/>
    <hyperlink ref="U53" r:id="rId47" xr:uid="{00000000-0004-0000-0000-000031000000}"/>
    <hyperlink ref="U54" r:id="rId48" xr:uid="{00000000-0004-0000-0000-000032000000}"/>
    <hyperlink ref="U55" r:id="rId49" xr:uid="{00000000-0004-0000-0000-000033000000}"/>
    <hyperlink ref="U56" r:id="rId50" xr:uid="{00000000-0004-0000-0000-000034000000}"/>
    <hyperlink ref="U57" r:id="rId51" xr:uid="{00000000-0004-0000-0000-000035000000}"/>
    <hyperlink ref="U58" r:id="rId52" xr:uid="{00000000-0004-0000-0000-000036000000}"/>
    <hyperlink ref="U67" r:id="rId53" xr:uid="{00000000-0004-0000-0000-000038000000}"/>
    <hyperlink ref="U77" r:id="rId54" xr:uid="{00000000-0004-0000-0000-000039000000}"/>
    <hyperlink ref="U78" r:id="rId55" xr:uid="{00000000-0004-0000-0000-00003A000000}"/>
    <hyperlink ref="U79" r:id="rId56" xr:uid="{00000000-0004-0000-0000-00003B000000}"/>
    <hyperlink ref="U80" r:id="rId57" xr:uid="{00000000-0004-0000-0000-00003C000000}"/>
    <hyperlink ref="U81" r:id="rId58" xr:uid="{00000000-0004-0000-0000-00003D000000}"/>
    <hyperlink ref="U82" r:id="rId59" xr:uid="{00000000-0004-0000-0000-00003E000000}"/>
    <hyperlink ref="U83" r:id="rId60" xr:uid="{00000000-0004-0000-0000-00003F000000}"/>
    <hyperlink ref="U84" r:id="rId61" xr:uid="{00000000-0004-0000-0000-000040000000}"/>
    <hyperlink ref="U85" r:id="rId62" xr:uid="{00000000-0004-0000-0000-000041000000}"/>
    <hyperlink ref="U86" r:id="rId63" xr:uid="{00000000-0004-0000-0000-000042000000}"/>
    <hyperlink ref="U87" r:id="rId64" xr:uid="{00000000-0004-0000-0000-000043000000}"/>
    <hyperlink ref="U88" r:id="rId65" xr:uid="{00000000-0004-0000-0000-000044000000}"/>
    <hyperlink ref="U90" r:id="rId66" xr:uid="{00000000-0004-0000-0000-000045000000}"/>
    <hyperlink ref="U92" r:id="rId67" xr:uid="{00000000-0004-0000-0000-000046000000}"/>
    <hyperlink ref="U93" r:id="rId68" xr:uid="{00000000-0004-0000-0000-000047000000}"/>
    <hyperlink ref="U94" r:id="rId69" xr:uid="{00000000-0004-0000-0000-000048000000}"/>
    <hyperlink ref="U95" r:id="rId70" xr:uid="{00000000-0004-0000-0000-000049000000}"/>
    <hyperlink ref="U96" r:id="rId71" xr:uid="{00000000-0004-0000-0000-00004A000000}"/>
    <hyperlink ref="U97" r:id="rId72" xr:uid="{00000000-0004-0000-0000-00004B000000}"/>
    <hyperlink ref="U98" r:id="rId73" xr:uid="{00000000-0004-0000-0000-00004C000000}"/>
    <hyperlink ref="U128" r:id="rId74" xr:uid="{00000000-0004-0000-0000-00004E000000}"/>
    <hyperlink ref="U129" r:id="rId75" xr:uid="{00000000-0004-0000-0000-00004F000000}"/>
    <hyperlink ref="U130" r:id="rId76" xr:uid="{00000000-0004-0000-0000-000050000000}"/>
    <hyperlink ref="U131" r:id="rId77" xr:uid="{00000000-0004-0000-0000-000051000000}"/>
    <hyperlink ref="U132" r:id="rId78" xr:uid="{00000000-0004-0000-0000-000052000000}"/>
    <hyperlink ref="U133" r:id="rId79" xr:uid="{00000000-0004-0000-0000-000053000000}"/>
    <hyperlink ref="U134" r:id="rId80" xr:uid="{00000000-0004-0000-0000-000054000000}"/>
    <hyperlink ref="U135" r:id="rId81" xr:uid="{00000000-0004-0000-0000-000055000000}"/>
    <hyperlink ref="U136" r:id="rId82" xr:uid="{00000000-0004-0000-0000-000056000000}"/>
    <hyperlink ref="U137" r:id="rId83" xr:uid="{00000000-0004-0000-0000-000057000000}"/>
    <hyperlink ref="U138" r:id="rId84" xr:uid="{00000000-0004-0000-0000-000058000000}"/>
    <hyperlink ref="U139" r:id="rId85" xr:uid="{00000000-0004-0000-0000-000059000000}"/>
    <hyperlink ref="U140" r:id="rId86" xr:uid="{00000000-0004-0000-0000-00005A000000}"/>
    <hyperlink ref="U141" r:id="rId87" xr:uid="{00000000-0004-0000-0000-00005B000000}"/>
    <hyperlink ref="U142" r:id="rId88" xr:uid="{00000000-0004-0000-0000-00005C000000}"/>
    <hyperlink ref="U143" r:id="rId89" xr:uid="{00000000-0004-0000-0000-00005D000000}"/>
    <hyperlink ref="U144" r:id="rId90" xr:uid="{00000000-0004-0000-0000-00005E000000}"/>
    <hyperlink ref="U145" r:id="rId91" xr:uid="{00000000-0004-0000-0000-00005F000000}"/>
    <hyperlink ref="U146" r:id="rId92" xr:uid="{00000000-0004-0000-0000-000060000000}"/>
    <hyperlink ref="U147" r:id="rId93" xr:uid="{00000000-0004-0000-0000-000061000000}"/>
    <hyperlink ref="U148" r:id="rId94" xr:uid="{00000000-0004-0000-0000-000062000000}"/>
    <hyperlink ref="U149" r:id="rId95" xr:uid="{00000000-0004-0000-0000-000063000000}"/>
    <hyperlink ref="U150" r:id="rId96" xr:uid="{00000000-0004-0000-0000-000064000000}"/>
    <hyperlink ref="U151" r:id="rId97" xr:uid="{00000000-0004-0000-0000-000065000000}"/>
    <hyperlink ref="U153" r:id="rId98" xr:uid="{00000000-0004-0000-0000-000067000000}"/>
    <hyperlink ref="U154" r:id="rId99" xr:uid="{00000000-0004-0000-0000-000068000000}"/>
    <hyperlink ref="U155" r:id="rId100" xr:uid="{00000000-0004-0000-0000-000069000000}"/>
    <hyperlink ref="U156" r:id="rId101" xr:uid="{00000000-0004-0000-0000-00006A000000}"/>
    <hyperlink ref="U157" r:id="rId102" xr:uid="{00000000-0004-0000-0000-00006B000000}"/>
    <hyperlink ref="U158" r:id="rId103" xr:uid="{00000000-0004-0000-0000-00006C000000}"/>
    <hyperlink ref="U159" r:id="rId104" xr:uid="{00000000-0004-0000-0000-00006D000000}"/>
    <hyperlink ref="U161" r:id="rId105" xr:uid="{00000000-0004-0000-0000-00006E000000}"/>
    <hyperlink ref="U162" r:id="rId106" xr:uid="{00000000-0004-0000-0000-00006F000000}"/>
    <hyperlink ref="U163" r:id="rId107" xr:uid="{00000000-0004-0000-0000-000070000000}"/>
    <hyperlink ref="U164" r:id="rId108" xr:uid="{00000000-0004-0000-0000-000071000000}"/>
    <hyperlink ref="U165" r:id="rId109" xr:uid="{00000000-0004-0000-0000-000072000000}"/>
    <hyperlink ref="U166" r:id="rId110" xr:uid="{00000000-0004-0000-0000-000073000000}"/>
    <hyperlink ref="U168" r:id="rId111" xr:uid="{00000000-0004-0000-0000-000074000000}"/>
    <hyperlink ref="U169" r:id="rId112" xr:uid="{00000000-0004-0000-0000-000075000000}"/>
    <hyperlink ref="U170" r:id="rId113" xr:uid="{00000000-0004-0000-0000-000076000000}"/>
    <hyperlink ref="U171" r:id="rId114" xr:uid="{00000000-0004-0000-0000-000077000000}"/>
    <hyperlink ref="U172" r:id="rId115" xr:uid="{00000000-0004-0000-0000-000078000000}"/>
    <hyperlink ref="U173" r:id="rId116" xr:uid="{00000000-0004-0000-0000-000079000000}"/>
    <hyperlink ref="U174" r:id="rId117" xr:uid="{00000000-0004-0000-0000-00007A000000}"/>
    <hyperlink ref="U175" r:id="rId118" xr:uid="{00000000-0004-0000-0000-00007B000000}"/>
    <hyperlink ref="U176" r:id="rId119" xr:uid="{00000000-0004-0000-0000-00007D000000}"/>
    <hyperlink ref="U177" r:id="rId120" xr:uid="{00000000-0004-0000-0000-00007E000000}"/>
    <hyperlink ref="U178" r:id="rId121" xr:uid="{00000000-0004-0000-0000-00007F000000}"/>
    <hyperlink ref="U179" r:id="rId122" xr:uid="{00000000-0004-0000-0000-000080000000}"/>
    <hyperlink ref="U180" r:id="rId123" xr:uid="{00000000-0004-0000-0000-000081000000}"/>
    <hyperlink ref="U181" r:id="rId124" xr:uid="{00000000-0004-0000-0000-000082000000}"/>
    <hyperlink ref="U182" r:id="rId125" xr:uid="{00000000-0004-0000-0000-000084000000}"/>
    <hyperlink ref="U183" r:id="rId126" xr:uid="{00000000-0004-0000-0000-000086000000}"/>
    <hyperlink ref="U184" r:id="rId127" xr:uid="{00000000-0004-0000-0000-000087000000}"/>
    <hyperlink ref="U185" r:id="rId128" xr:uid="{00000000-0004-0000-0000-000088000000}"/>
    <hyperlink ref="U186" r:id="rId129" xr:uid="{00000000-0004-0000-0000-00008A000000}"/>
    <hyperlink ref="U187" r:id="rId130" xr:uid="{00000000-0004-0000-0000-00008B000000}"/>
    <hyperlink ref="U188" r:id="rId131" xr:uid="{00000000-0004-0000-0000-00008C000000}"/>
    <hyperlink ref="U189" r:id="rId132" xr:uid="{00000000-0004-0000-0000-00008D000000}"/>
    <hyperlink ref="U190" r:id="rId133" xr:uid="{00000000-0004-0000-0000-00008E000000}"/>
    <hyperlink ref="U191" r:id="rId134" xr:uid="{00000000-0004-0000-0000-00008F000000}"/>
    <hyperlink ref="U192" r:id="rId135" xr:uid="{00000000-0004-0000-0000-000090000000}"/>
    <hyperlink ref="U193" r:id="rId136" xr:uid="{00000000-0004-0000-0000-000091000000}"/>
    <hyperlink ref="U194" r:id="rId137" xr:uid="{00000000-0004-0000-0000-000092000000}"/>
    <hyperlink ref="U195" r:id="rId138" xr:uid="{00000000-0004-0000-0000-000093000000}"/>
    <hyperlink ref="U196" r:id="rId139" xr:uid="{00000000-0004-0000-0000-000094000000}"/>
    <hyperlink ref="U197" r:id="rId140" xr:uid="{00000000-0004-0000-0000-000096000000}"/>
    <hyperlink ref="U198" r:id="rId141" xr:uid="{00000000-0004-0000-0000-000097000000}"/>
    <hyperlink ref="U199" r:id="rId142" xr:uid="{00000000-0004-0000-0000-000098000000}"/>
    <hyperlink ref="U200" r:id="rId143" xr:uid="{00000000-0004-0000-0000-00009A000000}"/>
    <hyperlink ref="U201" r:id="rId144" xr:uid="{00000000-0004-0000-0000-00009B000000}"/>
    <hyperlink ref="U202" r:id="rId145" xr:uid="{00000000-0004-0000-0000-00009C000000}"/>
    <hyperlink ref="U203" r:id="rId146" xr:uid="{00000000-0004-0000-0000-00009D000000}"/>
    <hyperlink ref="U204" r:id="rId147" xr:uid="{00000000-0004-0000-0000-00009E000000}"/>
    <hyperlink ref="U205" r:id="rId148" xr:uid="{00000000-0004-0000-0000-00009F000000}"/>
    <hyperlink ref="U206" r:id="rId149" xr:uid="{00000000-0004-0000-0000-0000A0000000}"/>
    <hyperlink ref="U207" r:id="rId150" xr:uid="{00000000-0004-0000-0000-0000A2000000}"/>
    <hyperlink ref="U208" r:id="rId151" xr:uid="{00000000-0004-0000-0000-0000A3000000}"/>
    <hyperlink ref="U209" r:id="rId152" xr:uid="{00000000-0004-0000-0000-0000A4000000}"/>
    <hyperlink ref="U210" r:id="rId153" xr:uid="{00000000-0004-0000-0000-0000A5000000}"/>
    <hyperlink ref="U211" r:id="rId154" xr:uid="{00000000-0004-0000-0000-0000A6000000}"/>
    <hyperlink ref="U212" r:id="rId155" xr:uid="{00000000-0004-0000-0000-0000A8000000}"/>
    <hyperlink ref="U213" r:id="rId156" xr:uid="{00000000-0004-0000-0000-0000A9000000}"/>
    <hyperlink ref="U214" r:id="rId157" xr:uid="{00000000-0004-0000-0000-0000AA000000}"/>
    <hyperlink ref="U216" r:id="rId158" xr:uid="{00000000-0004-0000-0000-0000AB000000}"/>
    <hyperlink ref="U217" r:id="rId159" xr:uid="{00000000-0004-0000-0000-0000AC000000}"/>
    <hyperlink ref="U218" r:id="rId160" xr:uid="{00000000-0004-0000-0000-0000AD000000}"/>
    <hyperlink ref="U219" r:id="rId161" xr:uid="{00000000-0004-0000-0000-0000AE000000}"/>
    <hyperlink ref="U220" r:id="rId162" xr:uid="{00000000-0004-0000-0000-0000AF000000}"/>
    <hyperlink ref="U223" r:id="rId163" xr:uid="{00000000-0004-0000-0000-0000B0000000}"/>
    <hyperlink ref="U224" r:id="rId164" xr:uid="{00000000-0004-0000-0000-0000B1000000}"/>
    <hyperlink ref="U225" r:id="rId165" xr:uid="{00000000-0004-0000-0000-0000B2000000}"/>
    <hyperlink ref="U226" r:id="rId166" xr:uid="{00000000-0004-0000-0000-0000B3000000}"/>
    <hyperlink ref="U227" r:id="rId167" xr:uid="{00000000-0004-0000-0000-0000B4000000}"/>
    <hyperlink ref="U228" r:id="rId168" xr:uid="{00000000-0004-0000-0000-0000B5000000}"/>
    <hyperlink ref="U229" r:id="rId169" xr:uid="{00000000-0004-0000-0000-0000B6000000}"/>
    <hyperlink ref="U230" r:id="rId170" xr:uid="{00000000-0004-0000-0000-0000B7000000}"/>
    <hyperlink ref="U231" r:id="rId171" xr:uid="{00000000-0004-0000-0000-0000B8000000}"/>
    <hyperlink ref="U232" r:id="rId172" xr:uid="{00000000-0004-0000-0000-0000B9000000}"/>
    <hyperlink ref="U233" r:id="rId173" xr:uid="{00000000-0004-0000-0000-0000BA000000}"/>
    <hyperlink ref="U234" r:id="rId174" xr:uid="{00000000-0004-0000-0000-0000BB000000}"/>
    <hyperlink ref="U235" r:id="rId175" xr:uid="{00000000-0004-0000-0000-0000BC000000}"/>
    <hyperlink ref="U236" r:id="rId176" xr:uid="{00000000-0004-0000-0000-0000BD000000}"/>
    <hyperlink ref="U237" r:id="rId177" xr:uid="{00000000-0004-0000-0000-0000BE000000}"/>
    <hyperlink ref="U238" r:id="rId178" xr:uid="{00000000-0004-0000-0000-0000BF000000}"/>
    <hyperlink ref="U239" r:id="rId179" xr:uid="{00000000-0004-0000-0000-0000C0000000}"/>
    <hyperlink ref="U240" r:id="rId180" xr:uid="{00000000-0004-0000-0000-0000C1000000}"/>
    <hyperlink ref="U241" r:id="rId181" xr:uid="{00000000-0004-0000-0000-0000C2000000}"/>
    <hyperlink ref="U242" r:id="rId182" xr:uid="{00000000-0004-0000-0000-0000C3000000}"/>
    <hyperlink ref="U243" r:id="rId183" xr:uid="{00000000-0004-0000-0000-0000C4000000}"/>
    <hyperlink ref="U244" r:id="rId184" xr:uid="{00000000-0004-0000-0000-0000C5000000}"/>
    <hyperlink ref="U245" r:id="rId185" xr:uid="{00000000-0004-0000-0000-0000C6000000}"/>
    <hyperlink ref="U247" r:id="rId186" xr:uid="{00000000-0004-0000-0000-0000C7000000}"/>
    <hyperlink ref="U248" r:id="rId187" xr:uid="{00000000-0004-0000-0000-0000C8000000}"/>
    <hyperlink ref="U249" r:id="rId188" xr:uid="{00000000-0004-0000-0000-0000C9000000}"/>
    <hyperlink ref="U250" r:id="rId189" xr:uid="{00000000-0004-0000-0000-0000CB000000}"/>
    <hyperlink ref="U252" r:id="rId190" xr:uid="{00000000-0004-0000-0000-0000CC000000}"/>
    <hyperlink ref="U254" r:id="rId191" xr:uid="{00000000-0004-0000-0000-0000CD000000}"/>
    <hyperlink ref="U256" r:id="rId192" xr:uid="{00000000-0004-0000-0000-0000CE000000}"/>
    <hyperlink ref="U257" r:id="rId193" xr:uid="{00000000-0004-0000-0000-0000CF000000}"/>
    <hyperlink ref="U258" r:id="rId194" xr:uid="{00000000-0004-0000-0000-0000D0000000}"/>
    <hyperlink ref="U259" r:id="rId195" xr:uid="{00000000-0004-0000-0000-0000D1000000}"/>
    <hyperlink ref="U260" r:id="rId196" xr:uid="{00000000-0004-0000-0000-0000D2000000}"/>
    <hyperlink ref="U261" r:id="rId197" xr:uid="{00000000-0004-0000-0000-0000D3000000}"/>
    <hyperlink ref="U262" r:id="rId198" xr:uid="{00000000-0004-0000-0000-0000D4000000}"/>
    <hyperlink ref="U263" r:id="rId199" xr:uid="{00000000-0004-0000-0000-0000D5000000}"/>
    <hyperlink ref="U264" r:id="rId200" xr:uid="{00000000-0004-0000-0000-0000D6000000}"/>
    <hyperlink ref="U265" r:id="rId201" xr:uid="{00000000-0004-0000-0000-0000D7000000}"/>
    <hyperlink ref="U266" r:id="rId202" xr:uid="{00000000-0004-0000-0000-0000D8000000}"/>
    <hyperlink ref="U267" r:id="rId203" xr:uid="{00000000-0004-0000-0000-0000D9000000}"/>
    <hyperlink ref="U270" r:id="rId204" xr:uid="{00000000-0004-0000-0000-0000DA000000}"/>
    <hyperlink ref="U271" r:id="rId205" xr:uid="{00000000-0004-0000-0000-0000DB000000}"/>
    <hyperlink ref="U272" r:id="rId206" xr:uid="{00000000-0004-0000-0000-0000DC000000}"/>
    <hyperlink ref="U274" r:id="rId207" xr:uid="{00000000-0004-0000-0000-0000DD000000}"/>
    <hyperlink ref="U275" r:id="rId208" xr:uid="{00000000-0004-0000-0000-0000DE000000}"/>
    <hyperlink ref="U276" r:id="rId209" xr:uid="{00000000-0004-0000-0000-0000DF000000}"/>
    <hyperlink ref="U277" r:id="rId210" xr:uid="{00000000-0004-0000-0000-0000E0000000}"/>
    <hyperlink ref="U278" r:id="rId211" xr:uid="{00000000-0004-0000-0000-0000E1000000}"/>
    <hyperlink ref="U279" r:id="rId212" xr:uid="{00000000-0004-0000-0000-0000E2000000}"/>
    <hyperlink ref="U281" r:id="rId213" xr:uid="{00000000-0004-0000-0000-0000E3000000}"/>
    <hyperlink ref="U282" r:id="rId214" xr:uid="{00000000-0004-0000-0000-0000E4000000}"/>
    <hyperlink ref="U283" r:id="rId215" xr:uid="{00000000-0004-0000-0000-0000E5000000}"/>
    <hyperlink ref="U284" r:id="rId216" xr:uid="{00000000-0004-0000-0000-0000E6000000}"/>
    <hyperlink ref="U285" r:id="rId217" xr:uid="{00000000-0004-0000-0000-0000E7000000}"/>
    <hyperlink ref="U286" r:id="rId218" xr:uid="{00000000-0004-0000-0000-0000E8000000}"/>
    <hyperlink ref="U287" r:id="rId219" xr:uid="{00000000-0004-0000-0000-0000E9000000}"/>
    <hyperlink ref="U288" r:id="rId220" xr:uid="{00000000-0004-0000-0000-0000EA000000}"/>
    <hyperlink ref="U289" r:id="rId221" xr:uid="{00000000-0004-0000-0000-0000EB000000}"/>
    <hyperlink ref="U290" r:id="rId222" xr:uid="{00000000-0004-0000-0000-0000EC000000}"/>
    <hyperlink ref="U291" r:id="rId223" xr:uid="{00000000-0004-0000-0000-0000ED000000}"/>
    <hyperlink ref="U292" r:id="rId224" xr:uid="{00000000-0004-0000-0000-0000EE000000}"/>
    <hyperlink ref="U294" r:id="rId225" xr:uid="{00000000-0004-0000-0000-0000EF000000}"/>
    <hyperlink ref="U295" r:id="rId226" xr:uid="{00000000-0004-0000-0000-0000F0000000}"/>
    <hyperlink ref="U296" r:id="rId227" xr:uid="{00000000-0004-0000-0000-0000F1000000}"/>
    <hyperlink ref="U297" r:id="rId228" xr:uid="{00000000-0004-0000-0000-0000F2000000}"/>
    <hyperlink ref="U298" r:id="rId229" xr:uid="{00000000-0004-0000-0000-0000F3000000}"/>
    <hyperlink ref="U299" r:id="rId230" xr:uid="{00000000-0004-0000-0000-0000F4000000}"/>
    <hyperlink ref="U300" r:id="rId231" xr:uid="{00000000-0004-0000-0000-0000F5000000}"/>
    <hyperlink ref="U301" r:id="rId232" xr:uid="{00000000-0004-0000-0000-0000F6000000}"/>
    <hyperlink ref="U302" r:id="rId233" xr:uid="{00000000-0004-0000-0000-0000F7000000}"/>
    <hyperlink ref="U303" r:id="rId234" xr:uid="{00000000-0004-0000-0000-0000F8000000}"/>
    <hyperlink ref="U304" r:id="rId235" xr:uid="{00000000-0004-0000-0000-0000F9000000}"/>
    <hyperlink ref="U307" r:id="rId236" xr:uid="{00000000-0004-0000-0000-0000FA000000}"/>
    <hyperlink ref="U308" r:id="rId237" xr:uid="{00000000-0004-0000-0000-0000FB000000}"/>
    <hyperlink ref="U309" r:id="rId238" xr:uid="{00000000-0004-0000-0000-0000FC000000}"/>
    <hyperlink ref="U310" r:id="rId239" xr:uid="{00000000-0004-0000-0000-0000FD000000}"/>
    <hyperlink ref="U311" r:id="rId240" xr:uid="{00000000-0004-0000-0000-0000FE000000}"/>
    <hyperlink ref="U312" r:id="rId241" xr:uid="{00000000-0004-0000-0000-0000FF000000}"/>
    <hyperlink ref="U313" r:id="rId242" xr:uid="{00000000-0004-0000-0000-000000010000}"/>
    <hyperlink ref="U314" r:id="rId243" xr:uid="{00000000-0004-0000-0000-000002010000}"/>
    <hyperlink ref="U315" r:id="rId244" xr:uid="{00000000-0004-0000-0000-000003010000}"/>
    <hyperlink ref="U316" r:id="rId245" xr:uid="{00000000-0004-0000-0000-000004010000}"/>
    <hyperlink ref="U317" r:id="rId246" xr:uid="{00000000-0004-0000-0000-000006010000}"/>
    <hyperlink ref="U318" r:id="rId247" xr:uid="{00000000-0004-0000-0000-000007010000}"/>
    <hyperlink ref="U319" r:id="rId248" xr:uid="{00000000-0004-0000-0000-000008010000}"/>
    <hyperlink ref="U321" r:id="rId249" xr:uid="{00000000-0004-0000-0000-000009010000}"/>
    <hyperlink ref="U322" r:id="rId250" xr:uid="{00000000-0004-0000-0000-00000A010000}"/>
    <hyperlink ref="U323" r:id="rId251" xr:uid="{00000000-0004-0000-0000-00000B010000}"/>
    <hyperlink ref="U324" r:id="rId252" xr:uid="{00000000-0004-0000-0000-00000C010000}"/>
    <hyperlink ref="U325" r:id="rId253" xr:uid="{00000000-0004-0000-0000-00000D010000}"/>
    <hyperlink ref="U326" r:id="rId254" xr:uid="{00000000-0004-0000-0000-00000E010000}"/>
    <hyperlink ref="U327" r:id="rId255" xr:uid="{00000000-0004-0000-0000-00000F010000}"/>
    <hyperlink ref="U328" r:id="rId256" xr:uid="{00000000-0004-0000-0000-000010010000}"/>
    <hyperlink ref="U329" r:id="rId257" xr:uid="{00000000-0004-0000-0000-000011010000}"/>
    <hyperlink ref="U330" r:id="rId258" xr:uid="{00000000-0004-0000-0000-000012010000}"/>
    <hyperlink ref="U331" r:id="rId259" xr:uid="{00000000-0004-0000-0000-000013010000}"/>
    <hyperlink ref="U332" r:id="rId260" xr:uid="{00000000-0004-0000-0000-000014010000}"/>
    <hyperlink ref="U333" r:id="rId261" xr:uid="{00000000-0004-0000-0000-000015010000}"/>
    <hyperlink ref="U334" r:id="rId262" xr:uid="{00000000-0004-0000-0000-000016010000}"/>
    <hyperlink ref="U335" r:id="rId263" xr:uid="{00000000-0004-0000-0000-000017010000}"/>
    <hyperlink ref="U336" r:id="rId264" xr:uid="{00000000-0004-0000-0000-000018010000}"/>
    <hyperlink ref="U337" r:id="rId265" xr:uid="{00000000-0004-0000-0000-000019010000}"/>
    <hyperlink ref="U338" r:id="rId266" xr:uid="{00000000-0004-0000-0000-00001A010000}"/>
    <hyperlink ref="U339" r:id="rId267" xr:uid="{00000000-0004-0000-0000-00001B010000}"/>
    <hyperlink ref="U340" r:id="rId268" xr:uid="{00000000-0004-0000-0000-00001C010000}"/>
    <hyperlink ref="U341" r:id="rId269" xr:uid="{00000000-0004-0000-0000-00001D010000}"/>
    <hyperlink ref="U342" r:id="rId270" xr:uid="{00000000-0004-0000-0000-00001E010000}"/>
    <hyperlink ref="U343" r:id="rId271" xr:uid="{00000000-0004-0000-0000-000020010000}"/>
    <hyperlink ref="U344" r:id="rId272" xr:uid="{00000000-0004-0000-0000-000021010000}"/>
    <hyperlink ref="U345" r:id="rId273" xr:uid="{00000000-0004-0000-0000-000022010000}"/>
    <hyperlink ref="U346" r:id="rId274" xr:uid="{00000000-0004-0000-0000-000023010000}"/>
    <hyperlink ref="U347" r:id="rId275" xr:uid="{00000000-0004-0000-0000-000024010000}"/>
    <hyperlink ref="U348" r:id="rId276" xr:uid="{00000000-0004-0000-0000-000025010000}"/>
    <hyperlink ref="U349" r:id="rId277" xr:uid="{00000000-0004-0000-0000-000026010000}"/>
    <hyperlink ref="U350" r:id="rId278" xr:uid="{00000000-0004-0000-0000-000027010000}"/>
    <hyperlink ref="U351" r:id="rId279" xr:uid="{00000000-0004-0000-0000-000028010000}"/>
    <hyperlink ref="U352" r:id="rId280" xr:uid="{00000000-0004-0000-0000-000029010000}"/>
    <hyperlink ref="U353" r:id="rId281" xr:uid="{00000000-0004-0000-0000-00002A010000}"/>
    <hyperlink ref="U354" r:id="rId282" xr:uid="{00000000-0004-0000-0000-00002B010000}"/>
    <hyperlink ref="U355" r:id="rId283" xr:uid="{00000000-0004-0000-0000-00002C010000}"/>
    <hyperlink ref="U356" r:id="rId284" xr:uid="{00000000-0004-0000-0000-00002D010000}"/>
    <hyperlink ref="U357" r:id="rId285" xr:uid="{00000000-0004-0000-0000-00002E010000}"/>
    <hyperlink ref="U358" r:id="rId286" xr:uid="{00000000-0004-0000-0000-00002F010000}"/>
    <hyperlink ref="U359" r:id="rId287" xr:uid="{00000000-0004-0000-0000-000030010000}"/>
    <hyperlink ref="U360" r:id="rId288" xr:uid="{00000000-0004-0000-0000-000031010000}"/>
    <hyperlink ref="U361" r:id="rId289" xr:uid="{00000000-0004-0000-0000-000032010000}"/>
    <hyperlink ref="U362" r:id="rId290" xr:uid="{00000000-0004-0000-0000-000033010000}"/>
    <hyperlink ref="U363" r:id="rId291" xr:uid="{00000000-0004-0000-0000-000034010000}"/>
    <hyperlink ref="U364" r:id="rId292" xr:uid="{00000000-0004-0000-0000-000035010000}"/>
    <hyperlink ref="U365" r:id="rId293" xr:uid="{00000000-0004-0000-0000-000036010000}"/>
    <hyperlink ref="U366" r:id="rId294" xr:uid="{00000000-0004-0000-0000-000038010000}"/>
    <hyperlink ref="U367" r:id="rId295" xr:uid="{00000000-0004-0000-0000-000039010000}"/>
    <hyperlink ref="U368" r:id="rId296" xr:uid="{00000000-0004-0000-0000-00003A010000}"/>
    <hyperlink ref="U369" r:id="rId297" xr:uid="{00000000-0004-0000-0000-00003B010000}"/>
    <hyperlink ref="U370" r:id="rId298" xr:uid="{00000000-0004-0000-0000-00003C010000}"/>
    <hyperlink ref="U371" r:id="rId299" xr:uid="{00000000-0004-0000-0000-00003D010000}"/>
    <hyperlink ref="U372" r:id="rId300" xr:uid="{00000000-0004-0000-0000-00003E010000}"/>
    <hyperlink ref="U373" r:id="rId301" xr:uid="{00000000-0004-0000-0000-00003F010000}"/>
    <hyperlink ref="U374" r:id="rId302" xr:uid="{00000000-0004-0000-0000-000040010000}"/>
    <hyperlink ref="U375" r:id="rId303" xr:uid="{00000000-0004-0000-0000-000041010000}"/>
    <hyperlink ref="U377" r:id="rId304" xr:uid="{00000000-0004-0000-0000-000042010000}"/>
    <hyperlink ref="U378" r:id="rId305" xr:uid="{00000000-0004-0000-0000-000043010000}"/>
    <hyperlink ref="U379" r:id="rId306" xr:uid="{00000000-0004-0000-0000-000044010000}"/>
    <hyperlink ref="U380" r:id="rId307" xr:uid="{00000000-0004-0000-0000-000045010000}"/>
    <hyperlink ref="U381" r:id="rId308" xr:uid="{00000000-0004-0000-0000-000046010000}"/>
    <hyperlink ref="U382" r:id="rId309" xr:uid="{00000000-0004-0000-0000-000047010000}"/>
    <hyperlink ref="U384" r:id="rId310" xr:uid="{00000000-0004-0000-0000-000048010000}"/>
    <hyperlink ref="U385" r:id="rId311" xr:uid="{00000000-0004-0000-0000-000049010000}"/>
    <hyperlink ref="U386" r:id="rId312" xr:uid="{00000000-0004-0000-0000-00004A010000}"/>
    <hyperlink ref="U387" r:id="rId313" xr:uid="{00000000-0004-0000-0000-00004B010000}"/>
    <hyperlink ref="U388" r:id="rId314" xr:uid="{00000000-0004-0000-0000-00004C010000}"/>
    <hyperlink ref="U389" r:id="rId315" xr:uid="{00000000-0004-0000-0000-00004D010000}"/>
    <hyperlink ref="U390" r:id="rId316" xr:uid="{00000000-0004-0000-0000-00004E010000}"/>
    <hyperlink ref="U391" r:id="rId317" xr:uid="{00000000-0004-0000-0000-00004F010000}"/>
    <hyperlink ref="U392" r:id="rId318" xr:uid="{00000000-0004-0000-0000-000050010000}"/>
    <hyperlink ref="U393" r:id="rId319" xr:uid="{00000000-0004-0000-0000-000051010000}"/>
    <hyperlink ref="U394" r:id="rId320" xr:uid="{00000000-0004-0000-0000-000052010000}"/>
    <hyperlink ref="U395" r:id="rId321" xr:uid="{00000000-0004-0000-0000-000053010000}"/>
    <hyperlink ref="U396" r:id="rId322" xr:uid="{00000000-0004-0000-0000-000054010000}"/>
    <hyperlink ref="U397" r:id="rId323" xr:uid="{00000000-0004-0000-0000-000055010000}"/>
    <hyperlink ref="U399" r:id="rId324" xr:uid="{00000000-0004-0000-0000-000056010000}"/>
    <hyperlink ref="U400" r:id="rId325" xr:uid="{00000000-0004-0000-0000-000057010000}"/>
    <hyperlink ref="U401" r:id="rId326" xr:uid="{00000000-0004-0000-0000-000058010000}"/>
    <hyperlink ref="U402" r:id="rId327" xr:uid="{00000000-0004-0000-0000-000059010000}"/>
    <hyperlink ref="U403" r:id="rId328" xr:uid="{00000000-0004-0000-0000-00005A010000}"/>
    <hyperlink ref="U404" r:id="rId329" xr:uid="{00000000-0004-0000-0000-00005B010000}"/>
    <hyperlink ref="U405" r:id="rId330" xr:uid="{00000000-0004-0000-0000-00005C010000}"/>
    <hyperlink ref="U406" r:id="rId331" xr:uid="{00000000-0004-0000-0000-00005D010000}"/>
    <hyperlink ref="U407" r:id="rId332" xr:uid="{00000000-0004-0000-0000-00005E010000}"/>
    <hyperlink ref="U408" r:id="rId333" xr:uid="{00000000-0004-0000-0000-00005F010000}"/>
    <hyperlink ref="U409" r:id="rId334" xr:uid="{00000000-0004-0000-0000-000060010000}"/>
    <hyperlink ref="U412" r:id="rId335" xr:uid="{00000000-0004-0000-0000-000061010000}"/>
    <hyperlink ref="U413" r:id="rId336" xr:uid="{00000000-0004-0000-0000-000062010000}"/>
    <hyperlink ref="U414" r:id="rId337" xr:uid="{00000000-0004-0000-0000-000063010000}"/>
    <hyperlink ref="U415" r:id="rId338" xr:uid="{00000000-0004-0000-0000-000064010000}"/>
    <hyperlink ref="U416" r:id="rId339" xr:uid="{00000000-0004-0000-0000-000065010000}"/>
    <hyperlink ref="U417" r:id="rId340" xr:uid="{00000000-0004-0000-0000-000066010000}"/>
    <hyperlink ref="U418" r:id="rId341" xr:uid="{00000000-0004-0000-0000-000067010000}"/>
    <hyperlink ref="U419" r:id="rId342" xr:uid="{00000000-0004-0000-0000-000068010000}"/>
    <hyperlink ref="U420" r:id="rId343" xr:uid="{00000000-0004-0000-0000-000069010000}"/>
    <hyperlink ref="U421" r:id="rId344" xr:uid="{00000000-0004-0000-0000-00006A010000}"/>
    <hyperlink ref="U422" r:id="rId345" xr:uid="{00000000-0004-0000-0000-00006B010000}"/>
    <hyperlink ref="U423" r:id="rId346" xr:uid="{00000000-0004-0000-0000-00006C010000}"/>
    <hyperlink ref="U424" r:id="rId347" xr:uid="{00000000-0004-0000-0000-00006D010000}"/>
    <hyperlink ref="U425" r:id="rId348" xr:uid="{00000000-0004-0000-0000-00006E010000}"/>
    <hyperlink ref="U426" r:id="rId349" xr:uid="{00000000-0004-0000-0000-00006F010000}"/>
    <hyperlink ref="U427" r:id="rId350" xr:uid="{00000000-0004-0000-0000-000070010000}"/>
    <hyperlink ref="U428" r:id="rId351" xr:uid="{00000000-0004-0000-0000-000071010000}"/>
    <hyperlink ref="U429" r:id="rId352" xr:uid="{00000000-0004-0000-0000-000072010000}"/>
    <hyperlink ref="U430" r:id="rId353" xr:uid="{00000000-0004-0000-0000-000073010000}"/>
    <hyperlink ref="U431" r:id="rId354" xr:uid="{00000000-0004-0000-0000-000074010000}"/>
    <hyperlink ref="U432" r:id="rId355" xr:uid="{00000000-0004-0000-0000-000075010000}"/>
    <hyperlink ref="U433" r:id="rId356" xr:uid="{00000000-0004-0000-0000-000076010000}"/>
    <hyperlink ref="U434" r:id="rId357" xr:uid="{00000000-0004-0000-0000-000077010000}"/>
    <hyperlink ref="U435" r:id="rId358" xr:uid="{00000000-0004-0000-0000-000078010000}"/>
    <hyperlink ref="U436" r:id="rId359" xr:uid="{00000000-0004-0000-0000-000079010000}"/>
    <hyperlink ref="U437" r:id="rId360" xr:uid="{00000000-0004-0000-0000-00007A010000}"/>
    <hyperlink ref="U438" r:id="rId361" xr:uid="{00000000-0004-0000-0000-00007B010000}"/>
    <hyperlink ref="U440" r:id="rId362" xr:uid="{00000000-0004-0000-0000-00007C010000}"/>
    <hyperlink ref="U441" r:id="rId363" xr:uid="{00000000-0004-0000-0000-00007D010000}"/>
    <hyperlink ref="U442" r:id="rId364" xr:uid="{00000000-0004-0000-0000-00007E010000}"/>
    <hyperlink ref="U443" r:id="rId365" xr:uid="{00000000-0004-0000-0000-00007F010000}"/>
    <hyperlink ref="U444" r:id="rId366" xr:uid="{00000000-0004-0000-0000-000080010000}"/>
    <hyperlink ref="U445" r:id="rId367" xr:uid="{00000000-0004-0000-0000-000082010000}"/>
    <hyperlink ref="U446" r:id="rId368" xr:uid="{00000000-0004-0000-0000-000083010000}"/>
    <hyperlink ref="U447" r:id="rId369" xr:uid="{00000000-0004-0000-0000-000084010000}"/>
    <hyperlink ref="U448" r:id="rId370" xr:uid="{00000000-0004-0000-0000-000085010000}"/>
    <hyperlink ref="U449" r:id="rId371" xr:uid="{00000000-0004-0000-0000-000086010000}"/>
    <hyperlink ref="U450" r:id="rId372" xr:uid="{00000000-0004-0000-0000-000087010000}"/>
    <hyperlink ref="U451" r:id="rId373" xr:uid="{00000000-0004-0000-0000-000088010000}"/>
    <hyperlink ref="U452" r:id="rId374" xr:uid="{00000000-0004-0000-0000-000089010000}"/>
    <hyperlink ref="U454" r:id="rId375" xr:uid="{00000000-0004-0000-0000-00008A010000}"/>
    <hyperlink ref="U455" r:id="rId376" xr:uid="{00000000-0004-0000-0000-00008B010000}"/>
    <hyperlink ref="U456" r:id="rId377" xr:uid="{00000000-0004-0000-0000-00008C010000}"/>
    <hyperlink ref="U457" r:id="rId378" xr:uid="{00000000-0004-0000-0000-00008D010000}"/>
    <hyperlink ref="U458" r:id="rId379" xr:uid="{00000000-0004-0000-0000-00008E010000}"/>
    <hyperlink ref="U459" r:id="rId380" xr:uid="{00000000-0004-0000-0000-00008F010000}"/>
    <hyperlink ref="U460" r:id="rId381" xr:uid="{00000000-0004-0000-0000-000090010000}"/>
    <hyperlink ref="U461" r:id="rId382" xr:uid="{00000000-0004-0000-0000-000091010000}"/>
    <hyperlink ref="U462" r:id="rId383" xr:uid="{00000000-0004-0000-0000-000092010000}"/>
    <hyperlink ref="U463" r:id="rId384" xr:uid="{00000000-0004-0000-0000-000094010000}"/>
    <hyperlink ref="U464" r:id="rId385" xr:uid="{00000000-0004-0000-0000-000095010000}"/>
    <hyperlink ref="U465" r:id="rId386" xr:uid="{00000000-0004-0000-0000-000096010000}"/>
    <hyperlink ref="U466" r:id="rId387" xr:uid="{00000000-0004-0000-0000-000097010000}"/>
    <hyperlink ref="U467" r:id="rId388" xr:uid="{00000000-0004-0000-0000-000098010000}"/>
    <hyperlink ref="U468" r:id="rId389" xr:uid="{00000000-0004-0000-0000-000099010000}"/>
    <hyperlink ref="U469" r:id="rId390" xr:uid="{00000000-0004-0000-0000-00009A010000}"/>
    <hyperlink ref="U470" r:id="rId391" xr:uid="{00000000-0004-0000-0000-00009B010000}"/>
    <hyperlink ref="U471" r:id="rId392" xr:uid="{00000000-0004-0000-0000-00009C010000}"/>
    <hyperlink ref="U472" r:id="rId393" xr:uid="{00000000-0004-0000-0000-00009D010000}"/>
    <hyperlink ref="U473" r:id="rId394" xr:uid="{00000000-0004-0000-0000-00009E010000}"/>
    <hyperlink ref="U474" r:id="rId395" xr:uid="{00000000-0004-0000-0000-00009F010000}"/>
    <hyperlink ref="U475" r:id="rId396" xr:uid="{00000000-0004-0000-0000-0000A0010000}"/>
    <hyperlink ref="U477" r:id="rId397" xr:uid="{00000000-0004-0000-0000-0000A2010000}"/>
    <hyperlink ref="U480" r:id="rId398" xr:uid="{00000000-0004-0000-0000-0000A4010000}"/>
    <hyperlink ref="U481" r:id="rId399" xr:uid="{00000000-0004-0000-0000-0000A5010000}"/>
    <hyperlink ref="U482" r:id="rId400" xr:uid="{00000000-0004-0000-0000-0000A6010000}"/>
    <hyperlink ref="U483" r:id="rId401" xr:uid="{00000000-0004-0000-0000-0000A7010000}"/>
    <hyperlink ref="U484" r:id="rId402" xr:uid="{00000000-0004-0000-0000-0000A8010000}"/>
    <hyperlink ref="U485" r:id="rId403" xr:uid="{00000000-0004-0000-0000-0000A9010000}"/>
    <hyperlink ref="U486" r:id="rId404" xr:uid="{00000000-0004-0000-0000-0000AA010000}"/>
    <hyperlink ref="U487" r:id="rId405" xr:uid="{00000000-0004-0000-0000-0000AB010000}"/>
    <hyperlink ref="U488" r:id="rId406" xr:uid="{00000000-0004-0000-0000-0000AC010000}"/>
    <hyperlink ref="U490" r:id="rId407" xr:uid="{00000000-0004-0000-0000-0000AD010000}"/>
    <hyperlink ref="U491" r:id="rId408" xr:uid="{00000000-0004-0000-0000-0000AE010000}"/>
    <hyperlink ref="U492" r:id="rId409" xr:uid="{00000000-0004-0000-0000-0000AF010000}"/>
    <hyperlink ref="U493" r:id="rId410" xr:uid="{00000000-0004-0000-0000-0000B0010000}"/>
    <hyperlink ref="U494" r:id="rId411" xr:uid="{00000000-0004-0000-0000-0000B1010000}"/>
    <hyperlink ref="U495" r:id="rId412" xr:uid="{00000000-0004-0000-0000-0000B2010000}"/>
    <hyperlink ref="U496" r:id="rId413" xr:uid="{00000000-0004-0000-0000-0000B3010000}"/>
    <hyperlink ref="U497" r:id="rId414" xr:uid="{00000000-0004-0000-0000-0000B4010000}"/>
    <hyperlink ref="U498" r:id="rId415" xr:uid="{00000000-0004-0000-0000-0000B5010000}"/>
    <hyperlink ref="U499" r:id="rId416" xr:uid="{00000000-0004-0000-0000-0000B6010000}"/>
    <hyperlink ref="U502" r:id="rId417" xr:uid="{00000000-0004-0000-0000-0000B7010000}"/>
    <hyperlink ref="U504" r:id="rId418" xr:uid="{00000000-0004-0000-0000-0000B8010000}"/>
    <hyperlink ref="U505" r:id="rId419" xr:uid="{00000000-0004-0000-0000-0000B9010000}"/>
    <hyperlink ref="U506" r:id="rId420" xr:uid="{00000000-0004-0000-0000-0000BA010000}"/>
    <hyperlink ref="U507" r:id="rId421" xr:uid="{00000000-0004-0000-0000-0000BB010000}"/>
    <hyperlink ref="U508" r:id="rId422" xr:uid="{00000000-0004-0000-0000-0000BD010000}"/>
    <hyperlink ref="U510" r:id="rId423" xr:uid="{00000000-0004-0000-0000-0000BE010000}"/>
    <hyperlink ref="U511" r:id="rId424" xr:uid="{00000000-0004-0000-0000-0000BF010000}"/>
    <hyperlink ref="U513" r:id="rId425" xr:uid="{00000000-0004-0000-0000-0000C0010000}"/>
    <hyperlink ref="U514" r:id="rId426" xr:uid="{00000000-0004-0000-0000-0000C1010000}"/>
    <hyperlink ref="U516" r:id="rId427" xr:uid="{00000000-0004-0000-0000-0000C2010000}"/>
    <hyperlink ref="U517" r:id="rId428" xr:uid="{00000000-0004-0000-0000-0000C3010000}"/>
    <hyperlink ref="U518" r:id="rId429" xr:uid="{00000000-0004-0000-0000-0000C4010000}"/>
    <hyperlink ref="U519" r:id="rId430" xr:uid="{00000000-0004-0000-0000-0000C5010000}"/>
    <hyperlink ref="U520" r:id="rId431" xr:uid="{00000000-0004-0000-0000-0000C6010000}"/>
    <hyperlink ref="U521" r:id="rId432" xr:uid="{00000000-0004-0000-0000-0000C7010000}"/>
    <hyperlink ref="U522" r:id="rId433" xr:uid="{00000000-0004-0000-0000-0000C8010000}"/>
    <hyperlink ref="U523" r:id="rId434" xr:uid="{00000000-0004-0000-0000-0000C9010000}"/>
    <hyperlink ref="U524" r:id="rId435" xr:uid="{00000000-0004-0000-0000-0000CB010000}"/>
    <hyperlink ref="U525" r:id="rId436" xr:uid="{00000000-0004-0000-0000-0000CC010000}"/>
    <hyperlink ref="U526" r:id="rId437" xr:uid="{00000000-0004-0000-0000-0000CD010000}"/>
    <hyperlink ref="U527" r:id="rId438" xr:uid="{00000000-0004-0000-0000-0000CE010000}"/>
    <hyperlink ref="U528" r:id="rId439" xr:uid="{00000000-0004-0000-0000-0000CF010000}"/>
    <hyperlink ref="U529" r:id="rId440" xr:uid="{00000000-0004-0000-0000-0000D0010000}"/>
    <hyperlink ref="U530" r:id="rId441" xr:uid="{00000000-0004-0000-0000-0000D1010000}"/>
    <hyperlink ref="U531" r:id="rId442" xr:uid="{00000000-0004-0000-0000-0000D2010000}"/>
    <hyperlink ref="U533" r:id="rId443" xr:uid="{83FA0CE6-5F34-4F74-8AC2-7B24FD65A094}"/>
    <hyperlink ref="U534" r:id="rId444" xr:uid="{B6F970ED-0F0F-47A3-ACB5-0F20BF9BA4B9}"/>
    <hyperlink ref="U537" r:id="rId445" xr:uid="{6F94011E-FCA8-4A05-BDC8-C99FC37DEF2A}"/>
    <hyperlink ref="U540" r:id="rId446" xr:uid="{87ADB1F5-75DC-4ED4-8B77-EB3A3E699D7B}"/>
    <hyperlink ref="U541" r:id="rId447" xr:uid="{9B17D595-D29E-42BC-B7AD-B9E322CDAB71}"/>
    <hyperlink ref="U542" r:id="rId448" xr:uid="{9FED125C-8C07-4948-8F51-8305D73BB837}"/>
    <hyperlink ref="U543" r:id="rId449" xr:uid="{0B7B630E-E16E-4AC8-B62D-94528650FB4E}"/>
    <hyperlink ref="U544" r:id="rId450" xr:uid="{95ED0CA1-450D-4FF4-AD79-EDAB5711B614}"/>
    <hyperlink ref="U545" r:id="rId451" xr:uid="{891706B1-63A5-4FB0-9EB4-BB3DBF519A0C}"/>
    <hyperlink ref="U546" r:id="rId452" xr:uid="{92182CD1-17DF-4372-95CE-8DCC665F3737}"/>
    <hyperlink ref="U547" r:id="rId453" xr:uid="{D5B3D0EB-7350-416B-A77E-50A375F659C8}"/>
    <hyperlink ref="U549" r:id="rId454" xr:uid="{6A2797E2-EC9D-4E92-8EBB-BBF856302A22}"/>
  </hyperlinks>
  <pageMargins left="0.7" right="0.7" top="0.75" bottom="0.75" header="0" footer="0"/>
  <pageSetup paperSize="9" orientation="portrait" r:id="rId4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tabSelected="1" topLeftCell="A45" workbookViewId="0">
      <selection activeCell="D56" sqref="D56"/>
    </sheetView>
  </sheetViews>
  <sheetFormatPr baseColWidth="10" defaultColWidth="14.42578125" defaultRowHeight="15" customHeight="1" x14ac:dyDescent="0.25"/>
  <cols>
    <col min="1" max="1" width="14.7109375" customWidth="1"/>
    <col min="2" max="2" width="9" customWidth="1"/>
    <col min="3" max="3" width="24" bestFit="1" customWidth="1"/>
    <col min="4" max="4" width="50.42578125" customWidth="1"/>
    <col min="5" max="5" width="11.7109375" style="332" customWidth="1"/>
    <col min="6" max="6" width="23.28515625" bestFit="1" customWidth="1"/>
    <col min="7" max="7" width="10" bestFit="1" customWidth="1"/>
    <col min="8" max="8" width="12.28515625" bestFit="1" customWidth="1"/>
    <col min="9" max="9" width="13.7109375" customWidth="1"/>
    <col min="10" max="10" width="19.42578125" bestFit="1" customWidth="1"/>
    <col min="11" max="11" width="15.85546875" bestFit="1" customWidth="1"/>
    <col min="12" max="12" width="9.42578125" bestFit="1" customWidth="1"/>
    <col min="13" max="13" width="18.42578125" customWidth="1"/>
    <col min="14" max="14" width="22.5703125" customWidth="1"/>
    <col min="15" max="15" width="21.42578125" customWidth="1"/>
    <col min="16" max="16" width="21.5703125" customWidth="1"/>
    <col min="17" max="17" width="20.85546875" customWidth="1"/>
    <col min="18" max="18" width="26.28515625" customWidth="1"/>
    <col min="19" max="19" width="22.5703125" customWidth="1"/>
    <col min="20" max="20" width="23.7109375" customWidth="1"/>
    <col min="21" max="21" width="33.5703125" customWidth="1"/>
    <col min="22" max="22" width="34.42578125" customWidth="1"/>
    <col min="23" max="23" width="44.140625" customWidth="1"/>
    <col min="24" max="24" width="16.42578125" customWidth="1"/>
    <col min="25" max="26" width="11.42578125" customWidth="1"/>
  </cols>
  <sheetData>
    <row r="1" spans="1:26" ht="14.25" customHeight="1" x14ac:dyDescent="0.25">
      <c r="A1" s="2"/>
      <c r="B1" s="2"/>
      <c r="C1" s="2"/>
      <c r="D1" s="3" t="s">
        <v>0</v>
      </c>
      <c r="E1" s="3" t="s">
        <v>2721</v>
      </c>
      <c r="F1" s="3" t="s">
        <v>2</v>
      </c>
      <c r="G1" s="3" t="s">
        <v>2722</v>
      </c>
      <c r="H1" s="3" t="s">
        <v>5</v>
      </c>
      <c r="I1" s="3" t="s">
        <v>2723</v>
      </c>
      <c r="J1" s="3" t="s">
        <v>6</v>
      </c>
      <c r="K1" s="6" t="s">
        <v>7</v>
      </c>
      <c r="L1" s="108" t="s">
        <v>2724</v>
      </c>
      <c r="M1" s="6" t="s">
        <v>8</v>
      </c>
      <c r="N1" s="3" t="s">
        <v>9</v>
      </c>
      <c r="O1" s="3" t="s">
        <v>10</v>
      </c>
      <c r="P1" s="6" t="s">
        <v>11</v>
      </c>
      <c r="Q1" s="10" t="s">
        <v>2725</v>
      </c>
      <c r="R1" s="11" t="s">
        <v>13</v>
      </c>
      <c r="S1" s="11" t="s">
        <v>14</v>
      </c>
      <c r="T1" s="11" t="s">
        <v>15</v>
      </c>
      <c r="U1" s="11" t="s">
        <v>2726</v>
      </c>
      <c r="V1" s="11" t="s">
        <v>2727</v>
      </c>
      <c r="W1" s="11" t="s">
        <v>18</v>
      </c>
      <c r="X1" s="12" t="s">
        <v>19</v>
      </c>
      <c r="Y1" s="109" t="s">
        <v>20</v>
      </c>
      <c r="Z1" s="2"/>
    </row>
    <row r="2" spans="1:26" ht="14.25" customHeight="1" x14ac:dyDescent="0.25">
      <c r="A2" s="15"/>
      <c r="B2" s="15"/>
      <c r="C2" s="15"/>
      <c r="D2" s="36" t="s">
        <v>2728</v>
      </c>
      <c r="E2" s="36">
        <v>41902217</v>
      </c>
      <c r="F2" s="36">
        <v>3117399387</v>
      </c>
      <c r="G2" s="57" t="s">
        <v>2729</v>
      </c>
      <c r="H2" s="57"/>
      <c r="I2" s="36" t="s">
        <v>2730</v>
      </c>
      <c r="J2" s="36" t="s">
        <v>2731</v>
      </c>
      <c r="K2" s="61" t="s">
        <v>567</v>
      </c>
      <c r="L2" s="57"/>
      <c r="M2" s="61" t="str">
        <f t="shared" ref="M2:M3" si="0">K2</f>
        <v>NO PAGA</v>
      </c>
      <c r="N2" s="18" t="s">
        <v>234</v>
      </c>
      <c r="O2" s="65"/>
      <c r="P2" s="61"/>
      <c r="Q2" s="66"/>
      <c r="R2" s="15" t="s">
        <v>2730</v>
      </c>
      <c r="S2" s="15" t="s">
        <v>20</v>
      </c>
      <c r="T2" s="15"/>
      <c r="U2" s="36" t="s">
        <v>2732</v>
      </c>
      <c r="V2" s="110" t="s">
        <v>2733</v>
      </c>
      <c r="W2" s="53" t="s">
        <v>2734</v>
      </c>
      <c r="X2" s="103" t="s">
        <v>26</v>
      </c>
      <c r="Y2" s="26" t="s">
        <v>2563</v>
      </c>
      <c r="Z2" s="15"/>
    </row>
    <row r="3" spans="1:26" ht="14.25" customHeight="1" x14ac:dyDescent="0.25">
      <c r="A3" s="15"/>
      <c r="B3" s="15"/>
      <c r="C3" s="15"/>
      <c r="D3" s="36" t="s">
        <v>2735</v>
      </c>
      <c r="E3" s="36">
        <v>31230016</v>
      </c>
      <c r="F3" s="36">
        <v>3165522773</v>
      </c>
      <c r="G3" s="57" t="s">
        <v>2736</v>
      </c>
      <c r="H3" s="57"/>
      <c r="I3" s="36" t="s">
        <v>2730</v>
      </c>
      <c r="J3" s="36" t="s">
        <v>25</v>
      </c>
      <c r="K3" s="61">
        <v>41000</v>
      </c>
      <c r="L3" s="57"/>
      <c r="M3" s="61">
        <f t="shared" si="0"/>
        <v>41000</v>
      </c>
      <c r="N3" s="57" t="s">
        <v>234</v>
      </c>
      <c r="O3" s="64"/>
      <c r="P3" s="65"/>
      <c r="Q3" s="66"/>
      <c r="R3" s="15" t="s">
        <v>2730</v>
      </c>
      <c r="S3" s="15" t="s">
        <v>20</v>
      </c>
      <c r="T3" s="15"/>
      <c r="U3" s="36" t="s">
        <v>2737</v>
      </c>
      <c r="V3" s="36" t="s">
        <v>2738</v>
      </c>
      <c r="W3" s="53" t="s">
        <v>2739</v>
      </c>
      <c r="X3" s="67" t="s">
        <v>234</v>
      </c>
      <c r="Y3" s="26"/>
      <c r="Z3" s="15"/>
    </row>
    <row r="4" spans="1:26" ht="14.25" customHeight="1" x14ac:dyDescent="0.25">
      <c r="A4" s="15"/>
      <c r="B4" s="15"/>
      <c r="C4" s="15"/>
      <c r="D4" s="36" t="s">
        <v>2740</v>
      </c>
      <c r="E4" s="64">
        <v>890000846</v>
      </c>
      <c r="F4" s="36">
        <v>3103578290</v>
      </c>
      <c r="G4" s="57" t="s">
        <v>2741</v>
      </c>
      <c r="H4" s="57"/>
      <c r="I4" s="36" t="s">
        <v>2730</v>
      </c>
      <c r="J4" s="36" t="s">
        <v>35</v>
      </c>
      <c r="K4" s="61">
        <v>57000</v>
      </c>
      <c r="L4" s="57">
        <v>10830</v>
      </c>
      <c r="M4" s="61">
        <f>K4+L4</f>
        <v>67830</v>
      </c>
      <c r="N4" s="57" t="s">
        <v>234</v>
      </c>
      <c r="O4" s="36"/>
      <c r="P4" s="61"/>
      <c r="Q4" s="66"/>
      <c r="R4" s="15" t="s">
        <v>2730</v>
      </c>
      <c r="S4" s="15" t="s">
        <v>20</v>
      </c>
      <c r="T4" s="15"/>
      <c r="U4" s="36"/>
      <c r="V4" s="36" t="s">
        <v>2742</v>
      </c>
      <c r="W4" s="53" t="s">
        <v>2743</v>
      </c>
      <c r="X4" s="15"/>
      <c r="Y4" s="26"/>
      <c r="Z4" s="15"/>
    </row>
    <row r="5" spans="1:26" ht="14.25" customHeight="1" x14ac:dyDescent="0.25">
      <c r="A5" s="15"/>
      <c r="B5" s="15"/>
      <c r="C5" s="15"/>
      <c r="D5" s="36" t="s">
        <v>2744</v>
      </c>
      <c r="E5" s="36">
        <v>41652390</v>
      </c>
      <c r="F5" s="17">
        <v>3136806385</v>
      </c>
      <c r="G5" s="57" t="s">
        <v>2745</v>
      </c>
      <c r="H5" s="57"/>
      <c r="I5" s="36" t="s">
        <v>2730</v>
      </c>
      <c r="J5" s="36" t="s">
        <v>25</v>
      </c>
      <c r="K5" s="61">
        <v>39000</v>
      </c>
      <c r="L5" s="57"/>
      <c r="M5" s="61">
        <f t="shared" ref="M5:M12" si="1">K5</f>
        <v>39000</v>
      </c>
      <c r="N5" s="57" t="s">
        <v>234</v>
      </c>
      <c r="O5" s="64"/>
      <c r="P5" s="65"/>
      <c r="Q5" s="26"/>
      <c r="R5" s="15" t="s">
        <v>2730</v>
      </c>
      <c r="S5" s="15" t="s">
        <v>20</v>
      </c>
      <c r="T5" s="15"/>
      <c r="U5" s="36"/>
      <c r="V5" s="36" t="s">
        <v>2746</v>
      </c>
      <c r="W5" s="47" t="s">
        <v>311</v>
      </c>
      <c r="X5" s="15"/>
      <c r="Y5" s="26" t="s">
        <v>2747</v>
      </c>
      <c r="Z5" s="15">
        <v>39000</v>
      </c>
    </row>
    <row r="6" spans="1:26" ht="14.25" customHeight="1" x14ac:dyDescent="0.25">
      <c r="A6" s="15"/>
      <c r="B6" s="15"/>
      <c r="C6" s="15"/>
      <c r="D6" s="36" t="s">
        <v>2748</v>
      </c>
      <c r="E6" s="36">
        <v>34528726</v>
      </c>
      <c r="F6" s="36">
        <v>3006191357</v>
      </c>
      <c r="G6" s="111" t="s">
        <v>2749</v>
      </c>
      <c r="H6" s="111"/>
      <c r="I6" s="36" t="s">
        <v>2730</v>
      </c>
      <c r="J6" s="111" t="s">
        <v>1783</v>
      </c>
      <c r="K6" s="61">
        <v>122000</v>
      </c>
      <c r="L6" s="57"/>
      <c r="M6" s="61">
        <f t="shared" si="1"/>
        <v>122000</v>
      </c>
      <c r="N6" s="57" t="s">
        <v>234</v>
      </c>
      <c r="O6" s="64"/>
      <c r="P6" s="65"/>
      <c r="Q6" s="66"/>
      <c r="R6" s="15" t="s">
        <v>2730</v>
      </c>
      <c r="S6" s="15" t="s">
        <v>20</v>
      </c>
      <c r="T6" s="15"/>
      <c r="U6" s="36" t="s">
        <v>2750</v>
      </c>
      <c r="V6" s="36" t="s">
        <v>2751</v>
      </c>
      <c r="W6" s="53" t="s">
        <v>2752</v>
      </c>
      <c r="X6" s="15"/>
      <c r="Y6" s="26"/>
      <c r="Z6" s="15"/>
    </row>
    <row r="7" spans="1:26" ht="14.25" customHeight="1" x14ac:dyDescent="0.25">
      <c r="A7" s="15"/>
      <c r="B7" s="15"/>
      <c r="C7" s="15"/>
      <c r="D7" s="36" t="s">
        <v>2753</v>
      </c>
      <c r="E7" s="36" t="s">
        <v>567</v>
      </c>
      <c r="F7" s="36" t="s">
        <v>567</v>
      </c>
      <c r="G7" s="111" t="s">
        <v>567</v>
      </c>
      <c r="H7" s="111"/>
      <c r="I7" s="36" t="s">
        <v>2730</v>
      </c>
      <c r="J7" s="111" t="s">
        <v>567</v>
      </c>
      <c r="K7" s="61" t="s">
        <v>567</v>
      </c>
      <c r="L7" s="57"/>
      <c r="M7" s="61" t="str">
        <f t="shared" si="1"/>
        <v>NO PAGA</v>
      </c>
      <c r="N7" s="57" t="s">
        <v>234</v>
      </c>
      <c r="O7" s="65"/>
      <c r="P7" s="61"/>
      <c r="Q7" s="66"/>
      <c r="R7" s="15" t="s">
        <v>2730</v>
      </c>
      <c r="S7" s="15" t="s">
        <v>20</v>
      </c>
      <c r="T7" s="15"/>
      <c r="U7" s="36" t="s">
        <v>2750</v>
      </c>
      <c r="V7" s="36" t="s">
        <v>2754</v>
      </c>
      <c r="W7" s="47" t="s">
        <v>311</v>
      </c>
      <c r="X7" s="15"/>
      <c r="Y7" s="26"/>
      <c r="Z7" s="15"/>
    </row>
    <row r="8" spans="1:26" ht="14.25" customHeight="1" x14ac:dyDescent="0.25">
      <c r="A8" s="15"/>
      <c r="B8" s="15"/>
      <c r="C8" s="15"/>
      <c r="D8" s="36" t="s">
        <v>2755</v>
      </c>
      <c r="E8" s="36">
        <v>24995865</v>
      </c>
      <c r="F8" s="36">
        <v>3122593905</v>
      </c>
      <c r="G8" s="57" t="s">
        <v>2756</v>
      </c>
      <c r="H8" s="57"/>
      <c r="I8" s="36" t="s">
        <v>2730</v>
      </c>
      <c r="J8" s="36" t="s">
        <v>25</v>
      </c>
      <c r="K8" s="61">
        <v>41000</v>
      </c>
      <c r="L8" s="57"/>
      <c r="M8" s="61">
        <f t="shared" si="1"/>
        <v>41000</v>
      </c>
      <c r="N8" s="57" t="s">
        <v>234</v>
      </c>
      <c r="O8" s="64"/>
      <c r="P8" s="65"/>
      <c r="Q8" s="26"/>
      <c r="R8" s="15" t="s">
        <v>2730</v>
      </c>
      <c r="S8" s="15" t="s">
        <v>20</v>
      </c>
      <c r="T8" s="15"/>
      <c r="U8" s="36"/>
      <c r="V8" s="36" t="s">
        <v>2757</v>
      </c>
      <c r="W8" s="47" t="s">
        <v>311</v>
      </c>
      <c r="X8" s="15"/>
      <c r="Y8" s="26"/>
      <c r="Z8" s="15"/>
    </row>
    <row r="9" spans="1:26" ht="14.25" customHeight="1" x14ac:dyDescent="0.25">
      <c r="A9" s="15"/>
      <c r="B9" s="15"/>
      <c r="C9" s="15"/>
      <c r="D9" s="36" t="s">
        <v>2761</v>
      </c>
      <c r="E9" s="36">
        <v>66701978</v>
      </c>
      <c r="F9" s="36">
        <v>3152761679</v>
      </c>
      <c r="G9" s="36" t="s">
        <v>2762</v>
      </c>
      <c r="H9" s="36"/>
      <c r="I9" s="36" t="s">
        <v>2730</v>
      </c>
      <c r="J9" s="36" t="s">
        <v>35</v>
      </c>
      <c r="K9" s="61">
        <v>57000</v>
      </c>
      <c r="L9" s="57"/>
      <c r="M9" s="61">
        <f t="shared" si="1"/>
        <v>57000</v>
      </c>
      <c r="N9" s="57" t="s">
        <v>234</v>
      </c>
      <c r="O9" s="64"/>
      <c r="P9" s="65"/>
      <c r="Q9" s="66"/>
      <c r="R9" s="15" t="s">
        <v>2730</v>
      </c>
      <c r="S9" s="15" t="s">
        <v>20</v>
      </c>
      <c r="T9" s="15"/>
      <c r="U9" s="36" t="s">
        <v>2763</v>
      </c>
      <c r="V9" s="36" t="s">
        <v>2764</v>
      </c>
      <c r="W9" s="47" t="s">
        <v>2765</v>
      </c>
      <c r="X9" s="15"/>
      <c r="Y9" s="26"/>
      <c r="Z9" s="15"/>
    </row>
    <row r="10" spans="1:26" ht="14.25" customHeight="1" x14ac:dyDescent="0.25">
      <c r="A10" s="15"/>
      <c r="B10" s="15"/>
      <c r="C10" s="15"/>
      <c r="D10" s="36" t="s">
        <v>2766</v>
      </c>
      <c r="E10" s="36">
        <v>1094728656</v>
      </c>
      <c r="F10" s="36">
        <v>3203901764</v>
      </c>
      <c r="G10" s="36" t="s">
        <v>2767</v>
      </c>
      <c r="H10" s="36"/>
      <c r="I10" s="36" t="s">
        <v>2730</v>
      </c>
      <c r="J10" s="36" t="s">
        <v>25</v>
      </c>
      <c r="K10" s="61">
        <v>39000</v>
      </c>
      <c r="L10" s="57"/>
      <c r="M10" s="61">
        <f t="shared" si="1"/>
        <v>39000</v>
      </c>
      <c r="N10" s="57" t="s">
        <v>234</v>
      </c>
      <c r="O10" s="64"/>
      <c r="P10" s="65"/>
      <c r="Q10" s="66"/>
      <c r="R10" s="15" t="s">
        <v>2730</v>
      </c>
      <c r="S10" s="15" t="s">
        <v>20</v>
      </c>
      <c r="T10" s="15"/>
      <c r="U10" s="36" t="s">
        <v>2768</v>
      </c>
      <c r="V10" s="36"/>
      <c r="W10" s="47" t="s">
        <v>2769</v>
      </c>
      <c r="X10" s="15"/>
      <c r="Y10" s="26"/>
      <c r="Z10" s="15"/>
    </row>
    <row r="11" spans="1:26" ht="14.25" customHeight="1" x14ac:dyDescent="0.25">
      <c r="A11" s="15"/>
      <c r="B11" s="15"/>
      <c r="C11" s="15"/>
      <c r="D11" s="36" t="s">
        <v>2770</v>
      </c>
      <c r="E11" s="36">
        <v>1094957470</v>
      </c>
      <c r="F11" s="36">
        <v>3128898063</v>
      </c>
      <c r="G11" s="36" t="s">
        <v>2771</v>
      </c>
      <c r="H11" s="36"/>
      <c r="I11" s="36" t="s">
        <v>2730</v>
      </c>
      <c r="J11" s="36" t="s">
        <v>1313</v>
      </c>
      <c r="K11" s="61" t="s">
        <v>567</v>
      </c>
      <c r="L11" s="57"/>
      <c r="M11" s="61" t="str">
        <f t="shared" si="1"/>
        <v>NO PAGA</v>
      </c>
      <c r="N11" s="57" t="s">
        <v>234</v>
      </c>
      <c r="O11" s="65"/>
      <c r="P11" s="61"/>
      <c r="Q11" s="66"/>
      <c r="R11" s="15" t="s">
        <v>2730</v>
      </c>
      <c r="S11" s="15" t="s">
        <v>20</v>
      </c>
      <c r="T11" s="15"/>
      <c r="U11" s="36" t="s">
        <v>2772</v>
      </c>
      <c r="V11" s="36" t="s">
        <v>30</v>
      </c>
      <c r="W11" s="47" t="s">
        <v>2773</v>
      </c>
      <c r="X11" s="15"/>
      <c r="Y11" s="26"/>
      <c r="Z11" s="15"/>
    </row>
    <row r="12" spans="1:26" ht="14.25" customHeight="1" x14ac:dyDescent="0.25">
      <c r="A12" s="15"/>
      <c r="B12" s="15"/>
      <c r="C12" s="15"/>
      <c r="D12" s="36" t="s">
        <v>2774</v>
      </c>
      <c r="E12" s="36">
        <v>24578942</v>
      </c>
      <c r="F12" s="36" t="s">
        <v>2775</v>
      </c>
      <c r="G12" s="36" t="s">
        <v>2776</v>
      </c>
      <c r="H12" s="36"/>
      <c r="I12" s="36" t="s">
        <v>2730</v>
      </c>
      <c r="J12" s="36" t="s">
        <v>25</v>
      </c>
      <c r="K12" s="61">
        <v>39000</v>
      </c>
      <c r="L12" s="57"/>
      <c r="M12" s="61">
        <f t="shared" si="1"/>
        <v>39000</v>
      </c>
      <c r="N12" s="57" t="s">
        <v>234</v>
      </c>
      <c r="O12" s="64"/>
      <c r="P12" s="65"/>
      <c r="Q12" s="66"/>
      <c r="R12" s="15" t="s">
        <v>2730</v>
      </c>
      <c r="S12" s="15" t="s">
        <v>20</v>
      </c>
      <c r="T12" s="15"/>
      <c r="U12" s="36" t="s">
        <v>2777</v>
      </c>
      <c r="V12" s="36"/>
      <c r="W12" s="47" t="s">
        <v>2778</v>
      </c>
      <c r="X12" s="15"/>
      <c r="Y12" s="26"/>
      <c r="Z12" s="15"/>
    </row>
    <row r="13" spans="1:26" x14ac:dyDescent="0.25">
      <c r="A13" s="15"/>
      <c r="B13" s="15"/>
      <c r="C13" s="15"/>
      <c r="D13" s="36" t="s">
        <v>2774</v>
      </c>
      <c r="E13" s="36">
        <v>24578942</v>
      </c>
      <c r="F13" s="36" t="s">
        <v>2775</v>
      </c>
      <c r="G13" s="36" t="s">
        <v>2779</v>
      </c>
      <c r="H13" s="36"/>
      <c r="I13" s="36" t="s">
        <v>2730</v>
      </c>
      <c r="J13" s="36" t="s">
        <v>25</v>
      </c>
      <c r="K13" s="61">
        <v>39000</v>
      </c>
      <c r="L13" s="57"/>
      <c r="M13" s="61">
        <v>39000</v>
      </c>
      <c r="N13" s="57" t="s">
        <v>234</v>
      </c>
      <c r="O13" s="64"/>
      <c r="P13" s="65"/>
      <c r="Q13" s="66"/>
      <c r="R13" s="15" t="s">
        <v>2730</v>
      </c>
      <c r="S13" s="15" t="s">
        <v>20</v>
      </c>
      <c r="T13" s="15"/>
      <c r="U13" s="36" t="s">
        <v>2780</v>
      </c>
      <c r="V13" s="36"/>
      <c r="W13" s="47" t="s">
        <v>2778</v>
      </c>
      <c r="X13" s="15"/>
      <c r="Y13" s="26"/>
      <c r="Z13" s="15"/>
    </row>
    <row r="14" spans="1:26" x14ac:dyDescent="0.25">
      <c r="A14" s="15"/>
      <c r="B14" s="15"/>
      <c r="C14" s="15"/>
      <c r="D14" s="36" t="s">
        <v>2781</v>
      </c>
      <c r="E14" s="36"/>
      <c r="F14" s="36"/>
      <c r="G14" s="36" t="s">
        <v>2782</v>
      </c>
      <c r="H14" s="36" t="s">
        <v>2203</v>
      </c>
      <c r="I14" s="36" t="s">
        <v>2730</v>
      </c>
      <c r="J14" s="36" t="s">
        <v>105</v>
      </c>
      <c r="K14" s="61" t="s">
        <v>567</v>
      </c>
      <c r="L14" s="57"/>
      <c r="M14" s="61" t="s">
        <v>567</v>
      </c>
      <c r="N14" s="57" t="s">
        <v>234</v>
      </c>
      <c r="O14" s="65"/>
      <c r="P14" s="61"/>
      <c r="Q14" s="66"/>
      <c r="R14" s="15" t="s">
        <v>2730</v>
      </c>
      <c r="S14" s="15" t="s">
        <v>20</v>
      </c>
      <c r="T14" s="15"/>
      <c r="U14" s="36" t="s">
        <v>2781</v>
      </c>
      <c r="V14" s="36"/>
      <c r="W14" s="47" t="s">
        <v>311</v>
      </c>
      <c r="X14" s="15"/>
      <c r="Y14" s="26"/>
      <c r="Z14" s="15"/>
    </row>
    <row r="15" spans="1:26" x14ac:dyDescent="0.25">
      <c r="A15" s="15"/>
      <c r="B15" s="15"/>
      <c r="C15" s="15"/>
      <c r="D15" s="36" t="s">
        <v>2783</v>
      </c>
      <c r="E15" s="36">
        <v>4474329</v>
      </c>
      <c r="F15" s="36" t="s">
        <v>2784</v>
      </c>
      <c r="G15" s="36" t="s">
        <v>2785</v>
      </c>
      <c r="H15" s="36" t="s">
        <v>2786</v>
      </c>
      <c r="I15" s="36" t="s">
        <v>2730</v>
      </c>
      <c r="J15" s="36" t="s">
        <v>25</v>
      </c>
      <c r="K15" s="61">
        <v>42000</v>
      </c>
      <c r="L15" s="57"/>
      <c r="M15" s="61">
        <v>42000</v>
      </c>
      <c r="N15" s="57" t="s">
        <v>234</v>
      </c>
      <c r="O15" s="64"/>
      <c r="P15" s="65"/>
      <c r="Q15" s="66"/>
      <c r="R15" s="15" t="s">
        <v>2730</v>
      </c>
      <c r="S15" s="15" t="s">
        <v>20</v>
      </c>
      <c r="T15" s="15"/>
      <c r="U15" s="36" t="s">
        <v>2787</v>
      </c>
      <c r="V15" s="36" t="s">
        <v>2788</v>
      </c>
      <c r="W15" s="47" t="s">
        <v>2789</v>
      </c>
      <c r="X15" s="15"/>
      <c r="Y15" s="26"/>
      <c r="Z15" s="15"/>
    </row>
    <row r="16" spans="1:26" ht="14.25" customHeight="1" x14ac:dyDescent="0.25">
      <c r="A16" s="15"/>
      <c r="B16" s="15"/>
      <c r="C16" s="15"/>
      <c r="D16" s="36" t="s">
        <v>2790</v>
      </c>
      <c r="E16" s="36">
        <v>1023958929</v>
      </c>
      <c r="F16" s="36" t="s">
        <v>2791</v>
      </c>
      <c r="G16" s="36" t="s">
        <v>2792</v>
      </c>
      <c r="H16" s="36" t="s">
        <v>2793</v>
      </c>
      <c r="I16" s="36" t="s">
        <v>2730</v>
      </c>
      <c r="J16" s="36" t="s">
        <v>25</v>
      </c>
      <c r="K16" s="61">
        <v>42000</v>
      </c>
      <c r="L16" s="57"/>
      <c r="M16" s="61">
        <v>42000</v>
      </c>
      <c r="N16" s="57" t="s">
        <v>234</v>
      </c>
      <c r="O16" s="64"/>
      <c r="P16" s="65"/>
      <c r="Q16" s="66"/>
      <c r="R16" s="15" t="s">
        <v>2730</v>
      </c>
      <c r="S16" s="15" t="s">
        <v>20</v>
      </c>
      <c r="T16" s="15"/>
      <c r="U16" s="36" t="s">
        <v>2794</v>
      </c>
      <c r="V16" s="36" t="s">
        <v>2795</v>
      </c>
      <c r="W16" s="47" t="s">
        <v>2796</v>
      </c>
      <c r="X16" s="15"/>
      <c r="Y16" s="26"/>
      <c r="Z16" s="15"/>
    </row>
    <row r="17" spans="1:26" ht="14.25" customHeight="1" x14ac:dyDescent="0.25">
      <c r="A17" s="15"/>
      <c r="B17" s="15"/>
      <c r="C17" s="15"/>
      <c r="D17" s="36" t="s">
        <v>2803</v>
      </c>
      <c r="E17" s="36">
        <v>1094728684</v>
      </c>
      <c r="F17" s="36" t="s">
        <v>2804</v>
      </c>
      <c r="G17" s="36" t="s">
        <v>2805</v>
      </c>
      <c r="H17" s="36" t="s">
        <v>2806</v>
      </c>
      <c r="I17" s="36" t="s">
        <v>2730</v>
      </c>
      <c r="J17" s="36" t="s">
        <v>25</v>
      </c>
      <c r="K17" s="61">
        <v>42000</v>
      </c>
      <c r="L17" s="57"/>
      <c r="M17" s="61">
        <v>42000</v>
      </c>
      <c r="N17" s="57" t="s">
        <v>234</v>
      </c>
      <c r="O17" s="64"/>
      <c r="P17" s="65"/>
      <c r="Q17" s="66"/>
      <c r="R17" s="15" t="s">
        <v>2730</v>
      </c>
      <c r="S17" s="15" t="s">
        <v>20</v>
      </c>
      <c r="T17" s="15"/>
      <c r="U17" s="36" t="s">
        <v>2807</v>
      </c>
      <c r="V17" s="36" t="s">
        <v>2808</v>
      </c>
      <c r="W17" s="47" t="s">
        <v>2809</v>
      </c>
      <c r="X17" s="15"/>
      <c r="Y17" s="26"/>
      <c r="Z17" s="15"/>
    </row>
    <row r="18" spans="1:26" ht="14.25" customHeight="1" x14ac:dyDescent="0.25">
      <c r="A18" s="15"/>
      <c r="B18" s="15"/>
      <c r="C18" s="15"/>
      <c r="D18" s="63" t="s">
        <v>2810</v>
      </c>
      <c r="E18" s="63">
        <v>1094728579</v>
      </c>
      <c r="F18" s="63" t="s">
        <v>2811</v>
      </c>
      <c r="G18" s="63" t="s">
        <v>2812</v>
      </c>
      <c r="H18" s="63" t="s">
        <v>2813</v>
      </c>
      <c r="I18" s="36" t="s">
        <v>2730</v>
      </c>
      <c r="J18" s="36" t="s">
        <v>25</v>
      </c>
      <c r="K18" s="78">
        <v>42000</v>
      </c>
      <c r="L18" s="57"/>
      <c r="M18" s="61">
        <v>42000</v>
      </c>
      <c r="N18" s="57" t="s">
        <v>234</v>
      </c>
      <c r="O18" s="64"/>
      <c r="P18" s="65"/>
      <c r="Q18" s="66"/>
      <c r="R18" s="15" t="s">
        <v>2730</v>
      </c>
      <c r="S18" s="15" t="s">
        <v>20</v>
      </c>
      <c r="T18" s="15"/>
      <c r="U18" s="36" t="s">
        <v>2814</v>
      </c>
      <c r="V18" s="36" t="s">
        <v>2815</v>
      </c>
      <c r="W18" s="31" t="s">
        <v>2816</v>
      </c>
      <c r="X18" s="15"/>
      <c r="Y18" s="26"/>
      <c r="Z18" s="15"/>
    </row>
    <row r="19" spans="1:26" ht="14.25" customHeight="1" x14ac:dyDescent="0.25">
      <c r="A19" s="15"/>
      <c r="B19" s="15"/>
      <c r="C19" s="15"/>
      <c r="D19" s="36" t="s">
        <v>2817</v>
      </c>
      <c r="E19" s="36">
        <v>1094728566</v>
      </c>
      <c r="F19" s="36" t="s">
        <v>2818</v>
      </c>
      <c r="G19" s="36" t="s">
        <v>2819</v>
      </c>
      <c r="H19" s="36" t="s">
        <v>2820</v>
      </c>
      <c r="I19" s="36" t="s">
        <v>2730</v>
      </c>
      <c r="J19" s="36" t="s">
        <v>25</v>
      </c>
      <c r="K19" s="61">
        <v>42000</v>
      </c>
      <c r="L19" s="57"/>
      <c r="M19" s="61">
        <v>42000</v>
      </c>
      <c r="N19" s="57" t="s">
        <v>234</v>
      </c>
      <c r="O19" s="64"/>
      <c r="P19" s="65"/>
      <c r="Q19" s="66"/>
      <c r="R19" s="15" t="s">
        <v>2730</v>
      </c>
      <c r="S19" s="15" t="s">
        <v>20</v>
      </c>
      <c r="T19" s="15"/>
      <c r="U19" s="36" t="s">
        <v>2821</v>
      </c>
      <c r="V19" s="36" t="s">
        <v>2822</v>
      </c>
      <c r="W19" s="47" t="s">
        <v>2823</v>
      </c>
      <c r="X19" s="15"/>
      <c r="Y19" s="26"/>
      <c r="Z19" s="15"/>
    </row>
    <row r="20" spans="1:26" ht="14.25" customHeight="1" x14ac:dyDescent="0.25">
      <c r="A20" s="15"/>
      <c r="B20" s="15"/>
      <c r="C20" s="15"/>
      <c r="D20" s="36" t="s">
        <v>2824</v>
      </c>
      <c r="E20" s="36">
        <v>24475379</v>
      </c>
      <c r="F20" s="36">
        <v>3219550098</v>
      </c>
      <c r="G20" s="36" t="s">
        <v>2825</v>
      </c>
      <c r="H20" s="36" t="s">
        <v>2826</v>
      </c>
      <c r="I20" s="36" t="s">
        <v>2730</v>
      </c>
      <c r="J20" s="36" t="s">
        <v>25</v>
      </c>
      <c r="K20" s="61">
        <v>42000</v>
      </c>
      <c r="L20" s="57"/>
      <c r="M20" s="61">
        <v>42000</v>
      </c>
      <c r="N20" s="57" t="s">
        <v>234</v>
      </c>
      <c r="O20" s="64"/>
      <c r="P20" s="65"/>
      <c r="Q20" s="66"/>
      <c r="R20" s="15" t="s">
        <v>2730</v>
      </c>
      <c r="S20" s="15" t="s">
        <v>20</v>
      </c>
      <c r="T20" s="15"/>
      <c r="U20" s="36" t="s">
        <v>2827</v>
      </c>
      <c r="V20" s="36" t="s">
        <v>2795</v>
      </c>
      <c r="W20" s="47" t="s">
        <v>2828</v>
      </c>
      <c r="X20" s="15"/>
      <c r="Y20" s="26"/>
      <c r="Z20" s="15"/>
    </row>
    <row r="21" spans="1:26" ht="14.25" customHeight="1" x14ac:dyDescent="0.25">
      <c r="A21" s="15"/>
      <c r="B21" s="15"/>
      <c r="C21" s="15"/>
      <c r="D21" s="15" t="s">
        <v>2829</v>
      </c>
      <c r="E21" s="147">
        <v>1000894617</v>
      </c>
      <c r="F21" s="15" t="s">
        <v>2830</v>
      </c>
      <c r="G21" s="15" t="s">
        <v>2831</v>
      </c>
      <c r="H21" s="15" t="s">
        <v>2832</v>
      </c>
      <c r="I21" s="36" t="s">
        <v>2730</v>
      </c>
      <c r="J21" s="36" t="s">
        <v>25</v>
      </c>
      <c r="K21" s="27">
        <v>42000</v>
      </c>
      <c r="L21" s="15"/>
      <c r="M21" s="27">
        <v>42000</v>
      </c>
      <c r="N21" s="57" t="s">
        <v>234</v>
      </c>
      <c r="O21" s="28"/>
      <c r="P21" s="29"/>
      <c r="Q21" s="30"/>
      <c r="R21" s="15" t="s">
        <v>2730</v>
      </c>
      <c r="S21" s="15" t="s">
        <v>20</v>
      </c>
      <c r="T21" s="15"/>
      <c r="U21" s="15" t="s">
        <v>2833</v>
      </c>
      <c r="V21" s="15" t="s">
        <v>2834</v>
      </c>
      <c r="W21" s="31" t="s">
        <v>2835</v>
      </c>
      <c r="X21" s="15"/>
      <c r="Y21" s="26"/>
      <c r="Z21" s="15"/>
    </row>
    <row r="22" spans="1:26" ht="14.25" customHeight="1" x14ac:dyDescent="0.25">
      <c r="A22" s="15"/>
      <c r="B22" s="15"/>
      <c r="C22" s="15"/>
      <c r="D22" s="15" t="s">
        <v>2836</v>
      </c>
      <c r="E22" s="17">
        <v>1094728099</v>
      </c>
      <c r="F22" s="15" t="s">
        <v>2837</v>
      </c>
      <c r="G22" s="15" t="s">
        <v>2838</v>
      </c>
      <c r="H22" s="15" t="s">
        <v>2839</v>
      </c>
      <c r="I22" s="36" t="s">
        <v>2730</v>
      </c>
      <c r="J22" s="36" t="s">
        <v>25</v>
      </c>
      <c r="K22" s="27">
        <v>42000</v>
      </c>
      <c r="L22" s="15"/>
      <c r="M22" s="27">
        <v>42000</v>
      </c>
      <c r="N22" s="57" t="s">
        <v>234</v>
      </c>
      <c r="O22" s="28"/>
      <c r="P22" s="29"/>
      <c r="Q22" s="30"/>
      <c r="R22" s="15" t="s">
        <v>2730</v>
      </c>
      <c r="S22" s="15" t="s">
        <v>20</v>
      </c>
      <c r="T22" s="15"/>
      <c r="U22" s="15" t="s">
        <v>2840</v>
      </c>
      <c r="V22" s="15" t="s">
        <v>2834</v>
      </c>
      <c r="W22" s="31" t="s">
        <v>2841</v>
      </c>
      <c r="X22" s="15"/>
      <c r="Y22" s="26"/>
      <c r="Z22" s="15"/>
    </row>
    <row r="23" spans="1:26" ht="14.25" customHeight="1" x14ac:dyDescent="0.25">
      <c r="A23" s="15"/>
      <c r="B23" s="15"/>
      <c r="C23" s="15"/>
      <c r="D23" s="15" t="s">
        <v>2842</v>
      </c>
      <c r="E23" s="17">
        <v>52101360</v>
      </c>
      <c r="F23" s="15" t="s">
        <v>2843</v>
      </c>
      <c r="G23" s="15" t="s">
        <v>2844</v>
      </c>
      <c r="H23" s="15" t="s">
        <v>2845</v>
      </c>
      <c r="I23" s="36" t="s">
        <v>2730</v>
      </c>
      <c r="J23" s="36" t="s">
        <v>25</v>
      </c>
      <c r="K23" s="27">
        <v>42000</v>
      </c>
      <c r="L23" s="15"/>
      <c r="M23" s="27">
        <v>42000</v>
      </c>
      <c r="N23" s="57" t="s">
        <v>234</v>
      </c>
      <c r="O23" s="28"/>
      <c r="P23" s="29"/>
      <c r="Q23" s="30"/>
      <c r="R23" s="15" t="s">
        <v>2730</v>
      </c>
      <c r="S23" s="15" t="s">
        <v>20</v>
      </c>
      <c r="T23" s="15"/>
      <c r="U23" s="15" t="s">
        <v>2846</v>
      </c>
      <c r="V23" s="15" t="s">
        <v>30</v>
      </c>
      <c r="W23" s="31" t="s">
        <v>2847</v>
      </c>
      <c r="X23" s="15"/>
      <c r="Y23" s="26"/>
      <c r="Z23" s="15"/>
    </row>
    <row r="24" spans="1:26" ht="14.25" customHeight="1" x14ac:dyDescent="0.25">
      <c r="A24" s="15"/>
      <c r="B24" s="15"/>
      <c r="C24" s="15"/>
      <c r="D24" s="15" t="s">
        <v>2842</v>
      </c>
      <c r="E24" s="17">
        <v>52101360</v>
      </c>
      <c r="F24" s="15" t="s">
        <v>2843</v>
      </c>
      <c r="G24" s="15" t="s">
        <v>2848</v>
      </c>
      <c r="H24" s="15" t="s">
        <v>2845</v>
      </c>
      <c r="I24" s="36" t="s">
        <v>2730</v>
      </c>
      <c r="J24" s="36" t="s">
        <v>25</v>
      </c>
      <c r="K24" s="27">
        <v>42000</v>
      </c>
      <c r="L24" s="15"/>
      <c r="M24" s="27">
        <v>42000</v>
      </c>
      <c r="N24" s="57" t="s">
        <v>234</v>
      </c>
      <c r="O24" s="28"/>
      <c r="P24" s="29"/>
      <c r="Q24" s="30"/>
      <c r="R24" s="15" t="s">
        <v>2730</v>
      </c>
      <c r="S24" s="15" t="s">
        <v>20</v>
      </c>
      <c r="T24" s="15"/>
      <c r="U24" s="15" t="s">
        <v>2849</v>
      </c>
      <c r="V24" s="15" t="s">
        <v>30</v>
      </c>
      <c r="W24" s="31" t="s">
        <v>2847</v>
      </c>
      <c r="X24" s="15"/>
      <c r="Y24" s="26"/>
      <c r="Z24" s="15"/>
    </row>
    <row r="25" spans="1:26" ht="14.25" customHeight="1" x14ac:dyDescent="0.25">
      <c r="A25" s="15"/>
      <c r="B25" s="15"/>
      <c r="C25" s="15"/>
      <c r="D25" s="15" t="s">
        <v>2850</v>
      </c>
      <c r="E25" s="17">
        <v>1007452063</v>
      </c>
      <c r="F25" s="15" t="s">
        <v>2851</v>
      </c>
      <c r="G25" s="15" t="s">
        <v>2852</v>
      </c>
      <c r="H25" s="15" t="s">
        <v>2853</v>
      </c>
      <c r="I25" s="36" t="s">
        <v>2730</v>
      </c>
      <c r="J25" s="36" t="s">
        <v>25</v>
      </c>
      <c r="K25" s="27">
        <v>42000</v>
      </c>
      <c r="L25" s="15"/>
      <c r="M25" s="27">
        <v>42000</v>
      </c>
      <c r="N25" s="57" t="s">
        <v>234</v>
      </c>
      <c r="O25" s="28"/>
      <c r="P25" s="29"/>
      <c r="Q25" s="30"/>
      <c r="R25" s="15" t="s">
        <v>2730</v>
      </c>
      <c r="S25" s="15" t="s">
        <v>20</v>
      </c>
      <c r="T25" s="15"/>
      <c r="U25" s="15" t="s">
        <v>2854</v>
      </c>
      <c r="V25" s="15" t="s">
        <v>2855</v>
      </c>
      <c r="W25" s="47" t="s">
        <v>311</v>
      </c>
      <c r="X25" s="15"/>
      <c r="Y25" s="26"/>
      <c r="Z25" s="15"/>
    </row>
    <row r="26" spans="1:26" ht="14.25" customHeight="1" x14ac:dyDescent="0.25">
      <c r="A26" s="15"/>
      <c r="B26" s="15"/>
      <c r="C26" s="15"/>
      <c r="D26" s="36" t="s">
        <v>2856</v>
      </c>
      <c r="E26" s="36">
        <v>1001605571</v>
      </c>
      <c r="F26" s="36" t="s">
        <v>2857</v>
      </c>
      <c r="G26" s="36" t="s">
        <v>2858</v>
      </c>
      <c r="H26" s="36" t="s">
        <v>2859</v>
      </c>
      <c r="I26" s="36" t="s">
        <v>2730</v>
      </c>
      <c r="J26" s="36" t="s">
        <v>25</v>
      </c>
      <c r="K26" s="27">
        <v>42000</v>
      </c>
      <c r="L26" s="15"/>
      <c r="M26" s="27">
        <v>42000</v>
      </c>
      <c r="N26" s="57" t="s">
        <v>234</v>
      </c>
      <c r="O26" s="28"/>
      <c r="P26" s="29"/>
      <c r="Q26" s="30"/>
      <c r="R26" s="15" t="s">
        <v>2730</v>
      </c>
      <c r="S26" s="15" t="s">
        <v>20</v>
      </c>
      <c r="T26" s="15"/>
      <c r="U26" s="15" t="s">
        <v>2860</v>
      </c>
      <c r="V26" s="15" t="s">
        <v>2861</v>
      </c>
      <c r="W26" s="31" t="s">
        <v>2862</v>
      </c>
      <c r="X26" s="15"/>
      <c r="Y26" s="26"/>
      <c r="Z26" s="15"/>
    </row>
    <row r="27" spans="1:26" ht="14.25" customHeight="1" x14ac:dyDescent="0.25">
      <c r="A27" s="15"/>
      <c r="B27" s="15"/>
      <c r="C27" s="15"/>
      <c r="D27" s="36" t="s">
        <v>2863</v>
      </c>
      <c r="E27" s="36">
        <v>30361490</v>
      </c>
      <c r="F27" s="36" t="s">
        <v>2864</v>
      </c>
      <c r="G27" s="36" t="s">
        <v>2865</v>
      </c>
      <c r="H27" s="36"/>
      <c r="I27" s="36" t="s">
        <v>2730</v>
      </c>
      <c r="J27" s="36" t="s">
        <v>25</v>
      </c>
      <c r="K27" s="27">
        <v>42000</v>
      </c>
      <c r="L27" s="15"/>
      <c r="M27" s="27">
        <v>42000</v>
      </c>
      <c r="N27" s="57" t="s">
        <v>234</v>
      </c>
      <c r="O27" s="28"/>
      <c r="P27" s="29"/>
      <c r="Q27" s="30"/>
      <c r="R27" s="15" t="s">
        <v>2730</v>
      </c>
      <c r="S27" s="15" t="s">
        <v>20</v>
      </c>
      <c r="T27" s="15"/>
      <c r="U27" s="15" t="s">
        <v>2866</v>
      </c>
      <c r="V27" s="15" t="s">
        <v>2834</v>
      </c>
      <c r="W27" s="31" t="s">
        <v>2867</v>
      </c>
      <c r="X27" s="15"/>
      <c r="Y27" s="26"/>
      <c r="Z27" s="15"/>
    </row>
    <row r="28" spans="1:26" ht="14.25" customHeight="1" x14ac:dyDescent="0.25">
      <c r="A28" s="15"/>
      <c r="B28" s="15"/>
      <c r="C28" s="15"/>
      <c r="D28" s="36" t="s">
        <v>2868</v>
      </c>
      <c r="E28" s="36">
        <v>1099709160</v>
      </c>
      <c r="F28" s="36" t="s">
        <v>2869</v>
      </c>
      <c r="G28" s="36" t="s">
        <v>2870</v>
      </c>
      <c r="H28" s="36" t="s">
        <v>2871</v>
      </c>
      <c r="I28" s="36" t="s">
        <v>2730</v>
      </c>
      <c r="J28" s="36" t="s">
        <v>25</v>
      </c>
      <c r="K28" s="27">
        <v>42000</v>
      </c>
      <c r="L28" s="15"/>
      <c r="M28" s="27">
        <v>42000</v>
      </c>
      <c r="N28" s="57" t="s">
        <v>234</v>
      </c>
      <c r="O28" s="28"/>
      <c r="P28" s="29"/>
      <c r="Q28" s="30"/>
      <c r="R28" s="15" t="s">
        <v>2730</v>
      </c>
      <c r="S28" s="15" t="s">
        <v>20</v>
      </c>
      <c r="T28" s="15"/>
      <c r="U28" s="15" t="s">
        <v>2872</v>
      </c>
      <c r="V28" s="15"/>
      <c r="W28" s="47" t="s">
        <v>311</v>
      </c>
      <c r="X28" s="15"/>
      <c r="Y28" s="26"/>
      <c r="Z28" s="15"/>
    </row>
    <row r="29" spans="1:26" ht="14.25" customHeight="1" x14ac:dyDescent="0.25">
      <c r="A29" s="15"/>
      <c r="B29" s="15"/>
      <c r="C29" s="15"/>
      <c r="D29" s="64" t="s">
        <v>2873</v>
      </c>
      <c r="E29" s="64">
        <v>24995820</v>
      </c>
      <c r="F29" s="36" t="s">
        <v>2874</v>
      </c>
      <c r="G29" s="36" t="s">
        <v>2875</v>
      </c>
      <c r="H29" s="36" t="s">
        <v>2876</v>
      </c>
      <c r="I29" s="36" t="s">
        <v>2730</v>
      </c>
      <c r="J29" s="36" t="s">
        <v>25</v>
      </c>
      <c r="K29" s="27">
        <v>42000</v>
      </c>
      <c r="L29" s="15"/>
      <c r="M29" s="27">
        <v>42000</v>
      </c>
      <c r="N29" s="57" t="s">
        <v>234</v>
      </c>
      <c r="O29" s="15"/>
      <c r="P29" s="27"/>
      <c r="Q29" s="30"/>
      <c r="R29" s="15" t="s">
        <v>2730</v>
      </c>
      <c r="S29" s="15" t="s">
        <v>20</v>
      </c>
      <c r="T29" s="15"/>
      <c r="U29" s="15" t="s">
        <v>2877</v>
      </c>
      <c r="V29" s="15" t="s">
        <v>2878</v>
      </c>
      <c r="W29" s="31" t="s">
        <v>2879</v>
      </c>
      <c r="X29" s="15"/>
      <c r="Y29" s="26"/>
      <c r="Z29" s="15"/>
    </row>
    <row r="30" spans="1:26" ht="14.25" customHeight="1" x14ac:dyDescent="0.25">
      <c r="A30" s="15"/>
      <c r="B30" s="15"/>
      <c r="C30" s="15"/>
      <c r="D30" s="36" t="s">
        <v>2880</v>
      </c>
      <c r="E30" s="36">
        <v>24995895</v>
      </c>
      <c r="F30" s="36" t="s">
        <v>2881</v>
      </c>
      <c r="G30" s="36" t="s">
        <v>2882</v>
      </c>
      <c r="H30" s="36" t="s">
        <v>2883</v>
      </c>
      <c r="I30" s="36" t="s">
        <v>2730</v>
      </c>
      <c r="J30" s="36" t="s">
        <v>25</v>
      </c>
      <c r="K30" s="27">
        <v>42000</v>
      </c>
      <c r="L30" s="15"/>
      <c r="M30" s="27">
        <v>42000</v>
      </c>
      <c r="N30" s="57" t="s">
        <v>234</v>
      </c>
      <c r="O30" s="28"/>
      <c r="P30" s="29"/>
      <c r="Q30" s="30"/>
      <c r="R30" s="15" t="s">
        <v>2730</v>
      </c>
      <c r="S30" s="15" t="s">
        <v>20</v>
      </c>
      <c r="T30" s="15"/>
      <c r="U30" s="15" t="s">
        <v>2884</v>
      </c>
      <c r="V30" s="15" t="s">
        <v>2885</v>
      </c>
      <c r="W30" s="31" t="s">
        <v>2886</v>
      </c>
      <c r="X30" s="15"/>
      <c r="Y30" s="26"/>
      <c r="Z30" s="15"/>
    </row>
    <row r="31" spans="1:26" ht="14.25" customHeight="1" x14ac:dyDescent="0.25">
      <c r="A31" s="15"/>
      <c r="B31" s="15"/>
      <c r="C31" s="15"/>
      <c r="D31" s="15" t="s">
        <v>2887</v>
      </c>
      <c r="E31" s="17">
        <v>1094728065</v>
      </c>
      <c r="F31" s="15" t="s">
        <v>2888</v>
      </c>
      <c r="G31" s="36" t="s">
        <v>2889</v>
      </c>
      <c r="H31" s="36" t="s">
        <v>2890</v>
      </c>
      <c r="I31" s="36" t="s">
        <v>2730</v>
      </c>
      <c r="J31" s="36" t="s">
        <v>25</v>
      </c>
      <c r="K31" s="27">
        <v>42000</v>
      </c>
      <c r="L31" s="15"/>
      <c r="M31" s="27">
        <v>42000</v>
      </c>
      <c r="N31" s="57" t="s">
        <v>234</v>
      </c>
      <c r="O31" s="28"/>
      <c r="P31" s="29"/>
      <c r="Q31" s="30"/>
      <c r="R31" s="15" t="s">
        <v>2730</v>
      </c>
      <c r="S31" s="15" t="s">
        <v>20</v>
      </c>
      <c r="T31" s="15"/>
      <c r="U31" s="15" t="s">
        <v>2891</v>
      </c>
      <c r="V31" s="15" t="s">
        <v>2855</v>
      </c>
      <c r="W31" s="31" t="s">
        <v>2892</v>
      </c>
      <c r="X31" s="15"/>
      <c r="Y31" s="26"/>
      <c r="Z31" s="15"/>
    </row>
    <row r="32" spans="1:26" ht="14.25" customHeight="1" x14ac:dyDescent="0.25">
      <c r="A32" s="15"/>
      <c r="B32" s="15"/>
      <c r="C32" s="15"/>
      <c r="D32" s="36" t="s">
        <v>2893</v>
      </c>
      <c r="E32" s="36">
        <v>24995869</v>
      </c>
      <c r="F32" s="36" t="s">
        <v>2894</v>
      </c>
      <c r="G32" s="36" t="s">
        <v>2895</v>
      </c>
      <c r="H32" s="36" t="s">
        <v>2896</v>
      </c>
      <c r="I32" s="36" t="s">
        <v>2730</v>
      </c>
      <c r="J32" s="36" t="s">
        <v>35</v>
      </c>
      <c r="K32" s="61">
        <v>57000</v>
      </c>
      <c r="L32" s="57"/>
      <c r="M32" s="61">
        <v>57000</v>
      </c>
      <c r="N32" s="57" t="s">
        <v>234</v>
      </c>
      <c r="O32" s="64"/>
      <c r="P32" s="65"/>
      <c r="Q32" s="66"/>
      <c r="R32" s="15" t="s">
        <v>2730</v>
      </c>
      <c r="S32" s="15" t="s">
        <v>20</v>
      </c>
      <c r="T32" s="15"/>
      <c r="U32" s="36" t="s">
        <v>2897</v>
      </c>
      <c r="V32" s="36" t="s">
        <v>30</v>
      </c>
      <c r="W32" s="47" t="s">
        <v>2898</v>
      </c>
      <c r="X32" s="15"/>
      <c r="Y32" s="26"/>
      <c r="Z32" s="15"/>
    </row>
    <row r="33" spans="1:26" ht="14.25" customHeight="1" x14ac:dyDescent="0.25">
      <c r="A33" s="26">
        <v>45575</v>
      </c>
      <c r="B33" s="15" t="s">
        <v>564</v>
      </c>
      <c r="C33" s="15"/>
      <c r="D33" s="36" t="s">
        <v>2899</v>
      </c>
      <c r="E33" s="36">
        <v>1094728737</v>
      </c>
      <c r="F33" s="36">
        <v>3128844733</v>
      </c>
      <c r="G33" s="36" t="s">
        <v>2900</v>
      </c>
      <c r="H33" s="36" t="s">
        <v>2901</v>
      </c>
      <c r="I33" s="36" t="s">
        <v>2730</v>
      </c>
      <c r="J33" s="36" t="s">
        <v>25</v>
      </c>
      <c r="K33" s="61">
        <v>42000</v>
      </c>
      <c r="L33" s="57"/>
      <c r="M33" s="61">
        <v>42000</v>
      </c>
      <c r="N33" s="57" t="s">
        <v>234</v>
      </c>
      <c r="O33" s="64"/>
      <c r="P33" s="65"/>
      <c r="Q33" s="66"/>
      <c r="R33" s="15" t="s">
        <v>2730</v>
      </c>
      <c r="S33" s="15" t="s">
        <v>20</v>
      </c>
      <c r="T33" s="15"/>
      <c r="U33" s="36" t="s">
        <v>2902</v>
      </c>
      <c r="V33" s="36" t="s">
        <v>2802</v>
      </c>
      <c r="W33" s="47" t="s">
        <v>2903</v>
      </c>
      <c r="X33" s="15"/>
      <c r="Y33" s="26"/>
      <c r="Z33" s="15"/>
    </row>
    <row r="34" spans="1:26" ht="14.25" customHeight="1" x14ac:dyDescent="0.25">
      <c r="A34" s="26">
        <v>45575</v>
      </c>
      <c r="B34" s="15" t="s">
        <v>564</v>
      </c>
      <c r="C34" s="15"/>
      <c r="D34" s="36" t="s">
        <v>2904</v>
      </c>
      <c r="E34" s="36">
        <v>1094728417</v>
      </c>
      <c r="F34" s="36">
        <v>3147393563</v>
      </c>
      <c r="G34" s="36" t="s">
        <v>2905</v>
      </c>
      <c r="H34" s="36" t="s">
        <v>2906</v>
      </c>
      <c r="I34" s="36" t="s">
        <v>2730</v>
      </c>
      <c r="J34" s="36" t="s">
        <v>25</v>
      </c>
      <c r="K34" s="61">
        <v>42000</v>
      </c>
      <c r="L34" s="57"/>
      <c r="M34" s="61">
        <v>42000</v>
      </c>
      <c r="N34" s="57" t="s">
        <v>234</v>
      </c>
      <c r="O34" s="64"/>
      <c r="P34" s="65"/>
      <c r="Q34" s="66"/>
      <c r="R34" s="15" t="s">
        <v>2730</v>
      </c>
      <c r="S34" s="15" t="s">
        <v>20</v>
      </c>
      <c r="T34" s="15"/>
      <c r="U34" s="36" t="s">
        <v>2907</v>
      </c>
      <c r="V34" s="36" t="s">
        <v>2908</v>
      </c>
      <c r="W34" s="47" t="s">
        <v>2909</v>
      </c>
      <c r="X34" s="15"/>
      <c r="Y34" s="26"/>
      <c r="Z34" s="15"/>
    </row>
    <row r="35" spans="1:26" ht="14.25" customHeight="1" x14ac:dyDescent="0.25">
      <c r="A35" s="26">
        <v>45575</v>
      </c>
      <c r="B35" s="15" t="s">
        <v>564</v>
      </c>
      <c r="C35" s="15"/>
      <c r="D35" s="36" t="s">
        <v>2910</v>
      </c>
      <c r="E35" s="36">
        <v>1082881263</v>
      </c>
      <c r="F35" s="36">
        <v>3234918340</v>
      </c>
      <c r="G35" s="36" t="s">
        <v>2911</v>
      </c>
      <c r="H35" s="36" t="s">
        <v>2912</v>
      </c>
      <c r="I35" s="36" t="s">
        <v>2730</v>
      </c>
      <c r="J35" s="36" t="s">
        <v>25</v>
      </c>
      <c r="K35" s="61">
        <v>42000</v>
      </c>
      <c r="L35" s="57"/>
      <c r="M35" s="61">
        <v>42000</v>
      </c>
      <c r="N35" s="57" t="s">
        <v>234</v>
      </c>
      <c r="O35" s="64"/>
      <c r="P35" s="65"/>
      <c r="Q35" s="66"/>
      <c r="R35" s="15" t="s">
        <v>2730</v>
      </c>
      <c r="S35" s="15" t="s">
        <v>20</v>
      </c>
      <c r="T35" s="15"/>
      <c r="U35" s="36" t="s">
        <v>2913</v>
      </c>
      <c r="V35" s="36" t="s">
        <v>30</v>
      </c>
      <c r="W35" s="47" t="s">
        <v>2914</v>
      </c>
      <c r="X35" s="15"/>
      <c r="Y35" s="26"/>
      <c r="Z35" s="15"/>
    </row>
    <row r="36" spans="1:26" ht="14.25" customHeight="1" x14ac:dyDescent="0.25">
      <c r="A36" s="26">
        <v>45575</v>
      </c>
      <c r="B36" s="15" t="s">
        <v>564</v>
      </c>
      <c r="C36" s="15"/>
      <c r="D36" s="36" t="s">
        <v>2915</v>
      </c>
      <c r="E36" s="36">
        <v>24995954</v>
      </c>
      <c r="F36" s="36" t="s">
        <v>2916</v>
      </c>
      <c r="G36" s="36" t="s">
        <v>2917</v>
      </c>
      <c r="H36" s="36" t="s">
        <v>2918</v>
      </c>
      <c r="I36" s="36" t="s">
        <v>2730</v>
      </c>
      <c r="J36" s="36" t="s">
        <v>25</v>
      </c>
      <c r="K36" s="61">
        <v>42000</v>
      </c>
      <c r="L36" s="57"/>
      <c r="M36" s="61">
        <v>42000</v>
      </c>
      <c r="N36" s="57" t="s">
        <v>234</v>
      </c>
      <c r="O36" s="64"/>
      <c r="P36" s="65"/>
      <c r="Q36" s="66"/>
      <c r="R36" s="15" t="s">
        <v>2730</v>
      </c>
      <c r="S36" s="15" t="s">
        <v>20</v>
      </c>
      <c r="T36" s="15"/>
      <c r="U36" s="36" t="s">
        <v>2919</v>
      </c>
      <c r="V36" s="36" t="s">
        <v>30</v>
      </c>
      <c r="W36" s="47" t="s">
        <v>2920</v>
      </c>
      <c r="X36" s="15"/>
      <c r="Y36" s="26"/>
      <c r="Z36" s="15"/>
    </row>
    <row r="37" spans="1:26" ht="14.25" customHeight="1" x14ac:dyDescent="0.25">
      <c r="A37" s="26">
        <v>45580</v>
      </c>
      <c r="B37" s="15" t="s">
        <v>564</v>
      </c>
      <c r="C37" s="15"/>
      <c r="D37" s="36" t="s">
        <v>2921</v>
      </c>
      <c r="E37" s="36">
        <v>1097040879</v>
      </c>
      <c r="F37" s="36" t="s">
        <v>2922</v>
      </c>
      <c r="G37" s="36" t="s">
        <v>2923</v>
      </c>
      <c r="H37" s="36" t="s">
        <v>2924</v>
      </c>
      <c r="I37" s="36" t="s">
        <v>2730</v>
      </c>
      <c r="J37" s="36" t="s">
        <v>25</v>
      </c>
      <c r="K37" s="61">
        <v>42000</v>
      </c>
      <c r="L37" s="57"/>
      <c r="M37" s="61">
        <v>42000</v>
      </c>
      <c r="N37" s="57" t="s">
        <v>234</v>
      </c>
      <c r="O37" s="64"/>
      <c r="P37" s="65"/>
      <c r="Q37" s="66"/>
      <c r="R37" s="15" t="s">
        <v>2730</v>
      </c>
      <c r="S37" s="15" t="s">
        <v>20</v>
      </c>
      <c r="T37" s="15"/>
      <c r="U37" s="36" t="s">
        <v>2925</v>
      </c>
      <c r="V37" s="36" t="s">
        <v>2926</v>
      </c>
      <c r="W37" s="47" t="s">
        <v>2927</v>
      </c>
      <c r="X37" s="15"/>
      <c r="Y37" s="26"/>
      <c r="Z37" s="15"/>
    </row>
    <row r="38" spans="1:26" ht="14.25" customHeight="1" x14ac:dyDescent="0.25">
      <c r="A38" s="26">
        <v>45626</v>
      </c>
      <c r="B38" s="15" t="s">
        <v>564</v>
      </c>
      <c r="C38" s="15"/>
      <c r="D38" s="36" t="s">
        <v>2928</v>
      </c>
      <c r="E38" s="36">
        <v>4474329</v>
      </c>
      <c r="F38" s="36" t="s">
        <v>2784</v>
      </c>
      <c r="G38" s="36" t="s">
        <v>2929</v>
      </c>
      <c r="H38" s="36"/>
      <c r="I38" s="36" t="s">
        <v>2730</v>
      </c>
      <c r="J38" s="36" t="s">
        <v>35</v>
      </c>
      <c r="K38" s="61">
        <v>57000</v>
      </c>
      <c r="L38" s="57"/>
      <c r="M38" s="61">
        <v>57000</v>
      </c>
      <c r="N38" s="57" t="s">
        <v>234</v>
      </c>
      <c r="O38" s="64"/>
      <c r="P38" s="65"/>
      <c r="Q38" s="66"/>
      <c r="R38" s="15" t="s">
        <v>2730</v>
      </c>
      <c r="S38" s="15" t="s">
        <v>20</v>
      </c>
      <c r="T38" s="15"/>
      <c r="U38" s="36" t="s">
        <v>2930</v>
      </c>
      <c r="V38" s="36" t="s">
        <v>30</v>
      </c>
      <c r="W38" s="47" t="s">
        <v>2789</v>
      </c>
      <c r="X38" s="14"/>
      <c r="Y38" s="26"/>
      <c r="Z38" s="15"/>
    </row>
    <row r="39" spans="1:26" ht="14.25" customHeight="1" x14ac:dyDescent="0.25">
      <c r="A39" s="26">
        <v>45604</v>
      </c>
      <c r="B39" s="15" t="s">
        <v>564</v>
      </c>
      <c r="C39" s="15"/>
      <c r="D39" s="36" t="s">
        <v>2931</v>
      </c>
      <c r="E39" s="36">
        <v>11256878</v>
      </c>
      <c r="F39" s="36">
        <v>3112473655</v>
      </c>
      <c r="G39" s="36" t="s">
        <v>2932</v>
      </c>
      <c r="H39" s="36"/>
      <c r="I39" s="36" t="s">
        <v>2730</v>
      </c>
      <c r="J39" s="36" t="s">
        <v>25</v>
      </c>
      <c r="K39" s="61">
        <v>42000</v>
      </c>
      <c r="L39" s="57"/>
      <c r="M39" s="61">
        <v>42000</v>
      </c>
      <c r="N39" s="57" t="s">
        <v>234</v>
      </c>
      <c r="O39" s="64"/>
      <c r="P39" s="65"/>
      <c r="Q39" s="66"/>
      <c r="R39" s="15" t="s">
        <v>2730</v>
      </c>
      <c r="S39" s="15" t="s">
        <v>20</v>
      </c>
      <c r="T39" s="15"/>
      <c r="U39" s="36" t="s">
        <v>2933</v>
      </c>
      <c r="V39" s="36" t="s">
        <v>30</v>
      </c>
      <c r="W39" s="47" t="s">
        <v>2934</v>
      </c>
      <c r="X39" s="14"/>
      <c r="Y39" s="26"/>
      <c r="Z39" s="15"/>
    </row>
    <row r="40" spans="1:26" ht="14.25" customHeight="1" x14ac:dyDescent="0.25">
      <c r="A40" s="26">
        <v>45604</v>
      </c>
      <c r="B40" s="15" t="s">
        <v>564</v>
      </c>
      <c r="C40" s="15"/>
      <c r="D40" s="36" t="s">
        <v>2935</v>
      </c>
      <c r="E40" s="36">
        <v>24987995</v>
      </c>
      <c r="F40" s="36">
        <v>3123186144</v>
      </c>
      <c r="G40" s="36" t="s">
        <v>2936</v>
      </c>
      <c r="H40" s="36"/>
      <c r="I40" s="36" t="s">
        <v>2730</v>
      </c>
      <c r="J40" s="36" t="s">
        <v>25</v>
      </c>
      <c r="K40" s="61">
        <v>42000</v>
      </c>
      <c r="L40" s="57"/>
      <c r="M40" s="61">
        <v>42000</v>
      </c>
      <c r="N40" s="57" t="s">
        <v>234</v>
      </c>
      <c r="O40" s="64"/>
      <c r="P40" s="65"/>
      <c r="Q40" s="66"/>
      <c r="R40" s="15" t="s">
        <v>2730</v>
      </c>
      <c r="S40" s="15" t="s">
        <v>20</v>
      </c>
      <c r="T40" s="15"/>
      <c r="U40" s="36" t="s">
        <v>2937</v>
      </c>
      <c r="V40" s="36" t="s">
        <v>2938</v>
      </c>
      <c r="W40" s="47" t="s">
        <v>2939</v>
      </c>
      <c r="X40" s="14"/>
      <c r="Y40" s="26"/>
      <c r="Z40" s="15"/>
    </row>
    <row r="41" spans="1:26" ht="14.25" customHeight="1" x14ac:dyDescent="0.25">
      <c r="A41" s="13">
        <v>45605</v>
      </c>
      <c r="B41" s="14" t="s">
        <v>564</v>
      </c>
      <c r="C41" s="14"/>
      <c r="D41" s="14" t="s">
        <v>2940</v>
      </c>
      <c r="E41" s="25">
        <v>1110116592</v>
      </c>
      <c r="F41" s="14" t="s">
        <v>2941</v>
      </c>
      <c r="G41" s="36" t="s">
        <v>2942</v>
      </c>
      <c r="H41" s="36" t="s">
        <v>2943</v>
      </c>
      <c r="I41" s="36" t="s">
        <v>2730</v>
      </c>
      <c r="J41" s="36" t="s">
        <v>2944</v>
      </c>
      <c r="K41" s="61">
        <v>82000</v>
      </c>
      <c r="L41" s="57"/>
      <c r="M41" s="61">
        <v>82000</v>
      </c>
      <c r="N41" s="57" t="s">
        <v>234</v>
      </c>
      <c r="O41" s="64"/>
      <c r="P41" s="65"/>
      <c r="Q41" s="66"/>
      <c r="R41" s="15" t="s">
        <v>2730</v>
      </c>
      <c r="S41" s="15" t="s">
        <v>20</v>
      </c>
      <c r="T41" s="15"/>
      <c r="U41" s="36" t="s">
        <v>2945</v>
      </c>
      <c r="V41" s="36" t="s">
        <v>2946</v>
      </c>
      <c r="W41" s="47" t="s">
        <v>2947</v>
      </c>
      <c r="X41" s="14"/>
      <c r="Y41" s="26"/>
      <c r="Z41" s="15"/>
    </row>
    <row r="42" spans="1:26" ht="14.25" customHeight="1" x14ac:dyDescent="0.25">
      <c r="A42" s="26">
        <v>45611</v>
      </c>
      <c r="B42" s="15" t="s">
        <v>564</v>
      </c>
      <c r="C42" s="15"/>
      <c r="D42" s="36" t="s">
        <v>2949</v>
      </c>
      <c r="E42" s="36">
        <v>1094728390</v>
      </c>
      <c r="F42" s="36" t="s">
        <v>2950</v>
      </c>
      <c r="G42" s="36" t="s">
        <v>2951</v>
      </c>
      <c r="H42" s="36" t="s">
        <v>2952</v>
      </c>
      <c r="I42" s="36" t="s">
        <v>2730</v>
      </c>
      <c r="J42" s="36" t="s">
        <v>25</v>
      </c>
      <c r="K42" s="61">
        <v>42000</v>
      </c>
      <c r="L42" s="57"/>
      <c r="M42" s="61">
        <v>42000</v>
      </c>
      <c r="N42" s="57" t="s">
        <v>234</v>
      </c>
      <c r="O42" s="64"/>
      <c r="P42" s="65"/>
      <c r="Q42" s="66"/>
      <c r="R42" s="15" t="s">
        <v>2730</v>
      </c>
      <c r="S42" s="15" t="s">
        <v>20</v>
      </c>
      <c r="T42" s="15"/>
      <c r="U42" s="36" t="s">
        <v>2953</v>
      </c>
      <c r="V42" s="36" t="s">
        <v>30</v>
      </c>
      <c r="W42" s="47" t="s">
        <v>2954</v>
      </c>
      <c r="X42" s="14"/>
      <c r="Y42" s="26"/>
      <c r="Z42" s="15"/>
    </row>
    <row r="43" spans="1:26" ht="14.25" customHeight="1" x14ac:dyDescent="0.25">
      <c r="A43" s="26">
        <v>45616</v>
      </c>
      <c r="B43" s="15" t="s">
        <v>564</v>
      </c>
      <c r="C43" s="15"/>
      <c r="D43" s="36" t="s">
        <v>2955</v>
      </c>
      <c r="E43" s="36">
        <v>1005368247</v>
      </c>
      <c r="F43" s="36" t="s">
        <v>2956</v>
      </c>
      <c r="G43" s="36" t="s">
        <v>2957</v>
      </c>
      <c r="H43" s="36" t="s">
        <v>2958</v>
      </c>
      <c r="I43" s="36" t="s">
        <v>2730</v>
      </c>
      <c r="J43" s="36" t="s">
        <v>25</v>
      </c>
      <c r="K43" s="61">
        <v>42000</v>
      </c>
      <c r="L43" s="57"/>
      <c r="M43" s="61">
        <v>42000</v>
      </c>
      <c r="N43" s="57" t="s">
        <v>234</v>
      </c>
      <c r="O43" s="64"/>
      <c r="P43" s="65"/>
      <c r="Q43" s="66"/>
      <c r="R43" s="15" t="s">
        <v>2730</v>
      </c>
      <c r="S43" s="15" t="s">
        <v>20</v>
      </c>
      <c r="T43" s="15"/>
      <c r="U43" s="36" t="s">
        <v>2959</v>
      </c>
      <c r="V43" s="36" t="s">
        <v>2802</v>
      </c>
      <c r="W43" s="47" t="s">
        <v>2960</v>
      </c>
      <c r="X43" s="14"/>
      <c r="Y43" s="26"/>
      <c r="Z43" s="15"/>
    </row>
    <row r="44" spans="1:26" ht="14.25" customHeight="1" x14ac:dyDescent="0.25">
      <c r="A44" s="26">
        <v>45682</v>
      </c>
      <c r="B44" s="15" t="s">
        <v>564</v>
      </c>
      <c r="C44" s="330"/>
      <c r="D44" s="330" t="s">
        <v>2961</v>
      </c>
      <c r="E44" s="17">
        <v>1049613674</v>
      </c>
      <c r="F44" s="15" t="s">
        <v>2962</v>
      </c>
      <c r="G44" s="36" t="s">
        <v>2963</v>
      </c>
      <c r="H44" s="36"/>
      <c r="I44" s="36"/>
      <c r="J44" s="36" t="s">
        <v>25</v>
      </c>
      <c r="K44" s="61">
        <v>42000</v>
      </c>
      <c r="L44" s="57"/>
      <c r="M44" s="61">
        <v>42000</v>
      </c>
      <c r="N44" s="57" t="s">
        <v>234</v>
      </c>
      <c r="O44" s="64"/>
      <c r="P44" s="65"/>
      <c r="Q44" s="66"/>
      <c r="R44" s="15" t="s">
        <v>2730</v>
      </c>
      <c r="S44" s="15" t="s">
        <v>20</v>
      </c>
      <c r="T44" s="15"/>
      <c r="U44" s="36" t="s">
        <v>30</v>
      </c>
      <c r="V44" s="36" t="s">
        <v>2964</v>
      </c>
      <c r="W44" s="47" t="s">
        <v>2965</v>
      </c>
      <c r="X44" s="14"/>
      <c r="Y44" s="26"/>
      <c r="Z44" s="15"/>
    </row>
    <row r="45" spans="1:26" ht="14.25" customHeight="1" x14ac:dyDescent="0.25">
      <c r="A45" s="13">
        <v>45707</v>
      </c>
      <c r="B45" s="14" t="s">
        <v>564</v>
      </c>
      <c r="C45" s="14"/>
      <c r="D45" s="14" t="s">
        <v>2966</v>
      </c>
      <c r="E45" s="25">
        <v>24806751</v>
      </c>
      <c r="F45" s="14" t="s">
        <v>2967</v>
      </c>
      <c r="G45" s="14" t="s">
        <v>2968</v>
      </c>
      <c r="H45" s="14">
        <v>816</v>
      </c>
      <c r="I45" s="14" t="s">
        <v>25</v>
      </c>
      <c r="J45" s="36" t="s">
        <v>25</v>
      </c>
      <c r="K45" s="7">
        <v>42000</v>
      </c>
      <c r="L45" s="15"/>
      <c r="M45" s="27">
        <v>42000</v>
      </c>
      <c r="N45" s="57" t="s">
        <v>234</v>
      </c>
      <c r="O45" s="64"/>
      <c r="P45" s="65"/>
      <c r="Q45" s="66"/>
      <c r="R45" s="14" t="s">
        <v>2730</v>
      </c>
      <c r="S45" s="15" t="s">
        <v>20</v>
      </c>
      <c r="T45" s="15"/>
      <c r="U45" s="14" t="s">
        <v>2969</v>
      </c>
      <c r="V45" s="14" t="s">
        <v>2970</v>
      </c>
      <c r="W45" s="47" t="s">
        <v>311</v>
      </c>
      <c r="X45" s="14"/>
      <c r="Y45" s="26"/>
      <c r="Z45" s="15"/>
    </row>
    <row r="46" spans="1:26" ht="14.25" customHeight="1" x14ac:dyDescent="0.25">
      <c r="A46" s="13">
        <v>45707</v>
      </c>
      <c r="B46" s="14" t="s">
        <v>564</v>
      </c>
      <c r="C46" s="14"/>
      <c r="D46" s="14" t="s">
        <v>2971</v>
      </c>
      <c r="E46" s="25">
        <v>1006093782</v>
      </c>
      <c r="F46" s="14" t="s">
        <v>2972</v>
      </c>
      <c r="G46" s="14" t="s">
        <v>2973</v>
      </c>
      <c r="H46" s="14">
        <v>815</v>
      </c>
      <c r="I46" s="14" t="s">
        <v>35</v>
      </c>
      <c r="J46" s="36" t="s">
        <v>35</v>
      </c>
      <c r="K46" s="7">
        <v>57000</v>
      </c>
      <c r="L46" s="15"/>
      <c r="M46" s="27">
        <v>57000</v>
      </c>
      <c r="N46" s="57" t="s">
        <v>234</v>
      </c>
      <c r="O46" s="64"/>
      <c r="P46" s="65"/>
      <c r="Q46" s="66"/>
      <c r="R46" s="14" t="s">
        <v>2730</v>
      </c>
      <c r="S46" s="15" t="s">
        <v>20</v>
      </c>
      <c r="T46" s="15"/>
      <c r="U46" s="14" t="s">
        <v>2974</v>
      </c>
      <c r="V46" s="14" t="s">
        <v>2975</v>
      </c>
      <c r="W46" s="47" t="s">
        <v>311</v>
      </c>
      <c r="X46" s="14"/>
      <c r="Y46" s="26"/>
      <c r="Z46" s="15"/>
    </row>
    <row r="47" spans="1:26" ht="14.25" customHeight="1" x14ac:dyDescent="0.25">
      <c r="A47" s="26">
        <v>45720</v>
      </c>
      <c r="B47" s="15" t="s">
        <v>564</v>
      </c>
      <c r="C47" s="15"/>
      <c r="D47" s="36" t="s">
        <v>2976</v>
      </c>
      <c r="E47" s="36">
        <v>16202404</v>
      </c>
      <c r="F47" s="36" t="s">
        <v>2977</v>
      </c>
      <c r="G47" s="36" t="s">
        <v>2978</v>
      </c>
      <c r="H47" s="36">
        <v>871</v>
      </c>
      <c r="I47" s="36" t="s">
        <v>2730</v>
      </c>
      <c r="J47" s="36" t="s">
        <v>25</v>
      </c>
      <c r="K47" s="61">
        <v>42000</v>
      </c>
      <c r="L47" s="57"/>
      <c r="M47" s="61">
        <v>42000</v>
      </c>
      <c r="N47" s="57" t="s">
        <v>234</v>
      </c>
      <c r="O47" s="64"/>
      <c r="P47" s="65"/>
      <c r="Q47" s="66"/>
      <c r="R47" s="15" t="s">
        <v>2730</v>
      </c>
      <c r="S47" s="15" t="s">
        <v>20</v>
      </c>
      <c r="T47" s="15"/>
      <c r="U47" s="36" t="s">
        <v>2979</v>
      </c>
      <c r="V47" s="36" t="s">
        <v>2970</v>
      </c>
      <c r="W47" s="47" t="s">
        <v>2980</v>
      </c>
      <c r="X47" s="14"/>
      <c r="Y47" s="26"/>
      <c r="Z47" s="15"/>
    </row>
    <row r="48" spans="1:26" ht="14.25" customHeight="1" x14ac:dyDescent="0.25">
      <c r="A48" s="26">
        <v>45723</v>
      </c>
      <c r="B48" s="15" t="s">
        <v>564</v>
      </c>
      <c r="C48" s="15"/>
      <c r="D48" s="36" t="s">
        <v>2981</v>
      </c>
      <c r="E48" s="36">
        <v>1053778809</v>
      </c>
      <c r="F48" s="36" t="s">
        <v>2982</v>
      </c>
      <c r="G48" s="36"/>
      <c r="H48" s="36"/>
      <c r="I48" s="36" t="s">
        <v>2730</v>
      </c>
      <c r="J48" s="36" t="s">
        <v>25</v>
      </c>
      <c r="K48" s="61">
        <v>42000</v>
      </c>
      <c r="L48" s="57"/>
      <c r="M48" s="61">
        <v>42000</v>
      </c>
      <c r="N48" s="57" t="s">
        <v>234</v>
      </c>
      <c r="O48" s="64"/>
      <c r="P48" s="65"/>
      <c r="Q48" s="66"/>
      <c r="R48" s="15" t="s">
        <v>2730</v>
      </c>
      <c r="S48" s="15" t="s">
        <v>20</v>
      </c>
      <c r="T48" s="15"/>
      <c r="U48" s="36" t="s">
        <v>2822</v>
      </c>
      <c r="V48" s="36" t="s">
        <v>2983</v>
      </c>
      <c r="W48" s="47" t="s">
        <v>2984</v>
      </c>
      <c r="X48" s="14"/>
      <c r="Y48" s="26"/>
      <c r="Z48" s="15"/>
    </row>
    <row r="49" spans="1:26" ht="14.25" customHeight="1" x14ac:dyDescent="0.25">
      <c r="A49" s="26">
        <v>45723</v>
      </c>
      <c r="B49" s="15" t="s">
        <v>564</v>
      </c>
      <c r="C49" s="15" t="s">
        <v>2948</v>
      </c>
      <c r="D49" s="36" t="s">
        <v>2985</v>
      </c>
      <c r="E49" s="36">
        <v>1010091807</v>
      </c>
      <c r="F49" s="36">
        <v>3106274614</v>
      </c>
      <c r="G49" s="36" t="s">
        <v>2986</v>
      </c>
      <c r="H49" s="36"/>
      <c r="I49" s="36" t="s">
        <v>2730</v>
      </c>
      <c r="J49" s="36" t="s">
        <v>25</v>
      </c>
      <c r="K49" s="61">
        <v>42000</v>
      </c>
      <c r="L49" s="57"/>
      <c r="M49" s="61">
        <v>42000</v>
      </c>
      <c r="N49" s="57" t="s">
        <v>234</v>
      </c>
      <c r="O49" s="64"/>
      <c r="P49" s="65"/>
      <c r="Q49" s="66"/>
      <c r="R49" s="15" t="s">
        <v>2730</v>
      </c>
      <c r="S49" s="15" t="s">
        <v>20</v>
      </c>
      <c r="T49" s="15"/>
      <c r="U49" s="36" t="s">
        <v>2822</v>
      </c>
      <c r="V49" s="36" t="s">
        <v>2987</v>
      </c>
      <c r="W49" s="47" t="s">
        <v>2988</v>
      </c>
      <c r="X49" s="14"/>
      <c r="Y49" s="26"/>
      <c r="Z49" s="15"/>
    </row>
    <row r="50" spans="1:26" ht="14.25" customHeight="1" x14ac:dyDescent="0.25">
      <c r="A50" s="26">
        <v>45729</v>
      </c>
      <c r="B50" s="15" t="s">
        <v>564</v>
      </c>
      <c r="C50" s="15"/>
      <c r="D50" s="36" t="s">
        <v>2989</v>
      </c>
      <c r="E50" s="36">
        <v>79280763</v>
      </c>
      <c r="F50" s="36" t="s">
        <v>2990</v>
      </c>
      <c r="G50" s="36" t="s">
        <v>2991</v>
      </c>
      <c r="H50" s="36"/>
      <c r="I50" s="36" t="s">
        <v>2730</v>
      </c>
      <c r="J50" s="36" t="s">
        <v>25</v>
      </c>
      <c r="K50" s="61">
        <v>42000</v>
      </c>
      <c r="L50" s="57"/>
      <c r="M50" s="61">
        <v>42000</v>
      </c>
      <c r="N50" s="57" t="s">
        <v>234</v>
      </c>
      <c r="O50" s="64"/>
      <c r="P50" s="65"/>
      <c r="Q50" s="66"/>
      <c r="R50" s="15" t="s">
        <v>2730</v>
      </c>
      <c r="S50" s="15" t="s">
        <v>20</v>
      </c>
      <c r="T50" s="15"/>
      <c r="U50" s="36" t="s">
        <v>2737</v>
      </c>
      <c r="V50" s="36" t="s">
        <v>2992</v>
      </c>
      <c r="W50" s="47" t="s">
        <v>2993</v>
      </c>
      <c r="X50" s="14"/>
      <c r="Y50" s="26"/>
      <c r="Z50" s="15"/>
    </row>
    <row r="51" spans="1:26" ht="14.25" customHeight="1" x14ac:dyDescent="0.25">
      <c r="A51" s="26">
        <v>45747</v>
      </c>
      <c r="B51" s="15" t="s">
        <v>564</v>
      </c>
      <c r="C51" s="15"/>
      <c r="D51" s="36" t="s">
        <v>2994</v>
      </c>
      <c r="E51" s="36">
        <v>30046655</v>
      </c>
      <c r="F51" s="36" t="s">
        <v>2995</v>
      </c>
      <c r="G51" s="36" t="s">
        <v>2996</v>
      </c>
      <c r="H51" s="36">
        <v>843</v>
      </c>
      <c r="I51" s="36" t="s">
        <v>2730</v>
      </c>
      <c r="J51" s="36" t="s">
        <v>54</v>
      </c>
      <c r="K51" s="61">
        <v>67000</v>
      </c>
      <c r="L51" s="57"/>
      <c r="M51" s="61">
        <v>67000</v>
      </c>
      <c r="N51" s="57" t="s">
        <v>234</v>
      </c>
      <c r="O51" s="64"/>
      <c r="P51" s="65"/>
      <c r="Q51" s="66"/>
      <c r="R51" s="15" t="s">
        <v>2730</v>
      </c>
      <c r="S51" s="15" t="s">
        <v>20</v>
      </c>
      <c r="T51" s="15"/>
      <c r="U51" s="36" t="s">
        <v>2997</v>
      </c>
      <c r="V51" s="36" t="s">
        <v>2975</v>
      </c>
      <c r="W51" s="47" t="s">
        <v>2998</v>
      </c>
      <c r="X51" s="14"/>
      <c r="Y51" s="26"/>
      <c r="Z51" s="15"/>
    </row>
    <row r="52" spans="1:26" ht="14.25" customHeight="1" x14ac:dyDescent="0.25">
      <c r="A52" s="26">
        <v>45759</v>
      </c>
      <c r="B52" s="15" t="s">
        <v>21</v>
      </c>
      <c r="C52" s="15"/>
      <c r="D52" s="36" t="s">
        <v>2999</v>
      </c>
      <c r="E52" s="36">
        <v>1094728107</v>
      </c>
      <c r="F52" s="36">
        <v>3118766172</v>
      </c>
      <c r="G52" s="36" t="s">
        <v>3000</v>
      </c>
      <c r="H52" s="36">
        <v>717</v>
      </c>
      <c r="I52" s="36" t="s">
        <v>2730</v>
      </c>
      <c r="J52" s="36" t="s">
        <v>25</v>
      </c>
      <c r="K52" s="61">
        <v>42000</v>
      </c>
      <c r="L52" s="57"/>
      <c r="M52" s="61">
        <v>42000</v>
      </c>
      <c r="N52" s="57" t="s">
        <v>234</v>
      </c>
      <c r="O52" s="64"/>
      <c r="P52" s="65"/>
      <c r="Q52" s="66"/>
      <c r="R52" s="15" t="s">
        <v>2730</v>
      </c>
      <c r="S52" s="15" t="s">
        <v>20</v>
      </c>
      <c r="T52" s="15"/>
      <c r="U52" s="36" t="s">
        <v>3001</v>
      </c>
      <c r="V52" s="36" t="s">
        <v>2908</v>
      </c>
      <c r="W52" s="47" t="s">
        <v>311</v>
      </c>
      <c r="X52" s="14"/>
      <c r="Y52" s="26"/>
      <c r="Z52" s="15"/>
    </row>
    <row r="53" spans="1:26" ht="14.25" customHeight="1" x14ac:dyDescent="0.25">
      <c r="A53" s="26">
        <v>45777</v>
      </c>
      <c r="B53" s="15" t="s">
        <v>21</v>
      </c>
      <c r="C53" s="15"/>
      <c r="D53" s="36" t="s">
        <v>3002</v>
      </c>
      <c r="E53" s="36">
        <v>24806828</v>
      </c>
      <c r="F53" s="36" t="s">
        <v>3003</v>
      </c>
      <c r="G53" s="36" t="s">
        <v>3004</v>
      </c>
      <c r="H53" s="36">
        <v>732</v>
      </c>
      <c r="I53" s="36" t="s">
        <v>2730</v>
      </c>
      <c r="J53" s="36" t="s">
        <v>25</v>
      </c>
      <c r="K53" s="61">
        <v>42000</v>
      </c>
      <c r="L53" s="57"/>
      <c r="M53" s="61">
        <v>42000</v>
      </c>
      <c r="N53" s="57" t="s">
        <v>234</v>
      </c>
      <c r="O53" s="64"/>
      <c r="P53" s="65"/>
      <c r="Q53" s="66"/>
      <c r="R53" s="15" t="s">
        <v>2730</v>
      </c>
      <c r="S53" s="15" t="s">
        <v>20</v>
      </c>
      <c r="T53" s="15"/>
      <c r="U53" s="36" t="s">
        <v>3005</v>
      </c>
      <c r="V53" s="36" t="s">
        <v>3006</v>
      </c>
      <c r="W53" s="47" t="s">
        <v>311</v>
      </c>
      <c r="X53" s="14"/>
      <c r="Y53" s="26"/>
      <c r="Z53" s="15"/>
    </row>
    <row r="54" spans="1:26" ht="14.25" customHeight="1" x14ac:dyDescent="0.25">
      <c r="A54" s="26">
        <v>45777</v>
      </c>
      <c r="B54" s="15" t="s">
        <v>21</v>
      </c>
      <c r="C54" s="15"/>
      <c r="D54" s="36" t="s">
        <v>3007</v>
      </c>
      <c r="E54" s="36">
        <v>9807178</v>
      </c>
      <c r="F54" s="36" t="s">
        <v>3008</v>
      </c>
      <c r="G54" s="36" t="s">
        <v>3009</v>
      </c>
      <c r="H54" s="36">
        <v>731</v>
      </c>
      <c r="I54" s="36" t="s">
        <v>2730</v>
      </c>
      <c r="J54" s="36" t="s">
        <v>25</v>
      </c>
      <c r="K54" s="61">
        <v>42000</v>
      </c>
      <c r="L54" s="57"/>
      <c r="M54" s="61">
        <v>42000</v>
      </c>
      <c r="N54" s="57" t="s">
        <v>234</v>
      </c>
      <c r="O54" s="64"/>
      <c r="P54" s="65"/>
      <c r="Q54" s="66"/>
      <c r="R54" s="15" t="s">
        <v>2730</v>
      </c>
      <c r="S54" s="15" t="s">
        <v>20</v>
      </c>
      <c r="T54" s="15"/>
      <c r="U54" s="36" t="s">
        <v>3010</v>
      </c>
      <c r="V54" s="36" t="s">
        <v>3011</v>
      </c>
      <c r="W54" s="47" t="s">
        <v>311</v>
      </c>
      <c r="X54" s="14"/>
      <c r="Y54" s="26"/>
      <c r="Z54" s="15"/>
    </row>
    <row r="55" spans="1:26" ht="14.25" customHeight="1" x14ac:dyDescent="0.25">
      <c r="A55" s="26">
        <v>45789</v>
      </c>
      <c r="B55" s="15" t="s">
        <v>21</v>
      </c>
      <c r="C55" s="15"/>
      <c r="D55" s="36" t="s">
        <v>3012</v>
      </c>
      <c r="E55" s="36">
        <v>24995921</v>
      </c>
      <c r="F55" s="36" t="s">
        <v>3013</v>
      </c>
      <c r="G55" s="36" t="s">
        <v>3014</v>
      </c>
      <c r="H55" s="36">
        <v>738</v>
      </c>
      <c r="I55" s="36" t="s">
        <v>2730</v>
      </c>
      <c r="J55" s="36" t="s">
        <v>25</v>
      </c>
      <c r="K55" s="61">
        <v>42000</v>
      </c>
      <c r="L55" s="57"/>
      <c r="M55" s="61">
        <v>42000</v>
      </c>
      <c r="N55" s="57" t="s">
        <v>234</v>
      </c>
      <c r="O55" s="64"/>
      <c r="P55" s="65"/>
      <c r="Q55" s="66"/>
      <c r="R55" s="15" t="s">
        <v>3015</v>
      </c>
      <c r="S55" s="15" t="s">
        <v>20</v>
      </c>
      <c r="T55" s="15"/>
      <c r="U55" s="36" t="s">
        <v>3016</v>
      </c>
      <c r="V55" s="36" t="s">
        <v>683</v>
      </c>
      <c r="W55" s="47" t="s">
        <v>311</v>
      </c>
      <c r="X55" s="14"/>
      <c r="Y55" s="26"/>
      <c r="Z55" s="15"/>
    </row>
    <row r="56" spans="1:26" ht="14.25" customHeight="1" x14ac:dyDescent="0.25">
      <c r="A56" s="26">
        <v>45826</v>
      </c>
      <c r="B56" s="15" t="s">
        <v>21</v>
      </c>
      <c r="C56" s="15"/>
      <c r="D56" s="36" t="s">
        <v>3017</v>
      </c>
      <c r="E56" s="64">
        <v>94535895</v>
      </c>
      <c r="F56" s="36">
        <v>3113735740</v>
      </c>
      <c r="G56" s="36" t="s">
        <v>3018</v>
      </c>
      <c r="H56" s="36">
        <v>753</v>
      </c>
      <c r="I56" s="36" t="s">
        <v>2730</v>
      </c>
      <c r="J56" s="36" t="s">
        <v>25</v>
      </c>
      <c r="K56" s="61">
        <v>42000</v>
      </c>
      <c r="L56" s="57"/>
      <c r="M56" s="61">
        <v>42000</v>
      </c>
      <c r="N56" s="57" t="s">
        <v>234</v>
      </c>
      <c r="O56" s="36"/>
      <c r="P56" s="61"/>
      <c r="Q56" s="66"/>
      <c r="R56" s="15" t="s">
        <v>2730</v>
      </c>
      <c r="S56" s="15" t="s">
        <v>20</v>
      </c>
      <c r="T56" s="15"/>
      <c r="U56" s="36" t="s">
        <v>3019</v>
      </c>
      <c r="V56" s="36"/>
      <c r="W56" s="47" t="s">
        <v>3020</v>
      </c>
      <c r="X56" s="14"/>
      <c r="Y56" s="26"/>
      <c r="Z56" s="15"/>
    </row>
    <row r="57" spans="1:26" ht="14.25" customHeight="1" x14ac:dyDescent="0.25">
      <c r="A57" s="13">
        <v>45894</v>
      </c>
      <c r="B57" s="14" t="s">
        <v>21</v>
      </c>
      <c r="C57" s="15"/>
      <c r="D57" s="36" t="s">
        <v>3021</v>
      </c>
      <c r="E57" s="36">
        <v>1005079541</v>
      </c>
      <c r="F57" s="36">
        <v>3218225031</v>
      </c>
      <c r="G57" s="36" t="s">
        <v>3022</v>
      </c>
      <c r="H57" s="36"/>
      <c r="I57" s="36" t="s">
        <v>2730</v>
      </c>
      <c r="J57" s="36" t="s">
        <v>25</v>
      </c>
      <c r="K57" s="61">
        <v>42000</v>
      </c>
      <c r="L57" s="57"/>
      <c r="M57" s="61">
        <v>42000</v>
      </c>
      <c r="N57" s="57" t="s">
        <v>234</v>
      </c>
      <c r="O57" s="64"/>
      <c r="P57" s="65"/>
      <c r="Q57" s="66"/>
      <c r="R57" s="15" t="s">
        <v>2730</v>
      </c>
      <c r="S57" s="15" t="s">
        <v>20</v>
      </c>
      <c r="T57" s="15"/>
      <c r="U57" s="36" t="s">
        <v>2997</v>
      </c>
      <c r="V57" s="36" t="s">
        <v>2975</v>
      </c>
      <c r="W57" s="112" t="s">
        <v>3023</v>
      </c>
      <c r="X57" s="14"/>
      <c r="Y57" s="26"/>
      <c r="Z57" s="15"/>
    </row>
    <row r="58" spans="1:26" ht="14.25" customHeight="1" x14ac:dyDescent="0.25">
      <c r="A58" s="284">
        <v>45982</v>
      </c>
      <c r="B58" s="95" t="s">
        <v>4564</v>
      </c>
      <c r="C58" s="105"/>
      <c r="D58" s="96" t="s">
        <v>5451</v>
      </c>
      <c r="E58" s="106">
        <v>93386286</v>
      </c>
      <c r="F58" s="105" t="s">
        <v>5452</v>
      </c>
      <c r="G58" s="64" t="s">
        <v>5458</v>
      </c>
      <c r="H58" s="36"/>
      <c r="I58" s="36" t="s">
        <v>2730</v>
      </c>
      <c r="J58" s="36" t="s">
        <v>25</v>
      </c>
      <c r="K58" s="61">
        <v>42000</v>
      </c>
      <c r="L58" s="57"/>
      <c r="M58" s="61">
        <v>42000</v>
      </c>
      <c r="N58" s="57" t="s">
        <v>234</v>
      </c>
      <c r="O58" s="36"/>
      <c r="P58" s="61"/>
      <c r="Q58" s="66"/>
      <c r="R58" s="15" t="s">
        <v>2730</v>
      </c>
      <c r="S58" s="15" t="s">
        <v>20</v>
      </c>
      <c r="T58" s="15"/>
      <c r="U58" s="36" t="s">
        <v>5453</v>
      </c>
      <c r="V58" s="36"/>
      <c r="W58" s="63"/>
      <c r="X58" s="14"/>
      <c r="Y58" s="26"/>
      <c r="Z58" s="15"/>
    </row>
    <row r="59" spans="1:26" ht="14.25" customHeight="1" x14ac:dyDescent="0.25">
      <c r="A59" s="26">
        <v>45982</v>
      </c>
      <c r="B59" s="15" t="s">
        <v>4564</v>
      </c>
      <c r="C59" s="15"/>
      <c r="D59" s="36" t="s">
        <v>5456</v>
      </c>
      <c r="E59" s="36">
        <v>1193602579</v>
      </c>
      <c r="F59" s="36" t="s">
        <v>5457</v>
      </c>
      <c r="G59" s="36" t="s">
        <v>4634</v>
      </c>
      <c r="H59" s="36"/>
      <c r="I59" s="36" t="s">
        <v>2730</v>
      </c>
      <c r="J59" s="36" t="s">
        <v>25</v>
      </c>
      <c r="K59" s="61">
        <v>42000</v>
      </c>
      <c r="L59" s="57"/>
      <c r="M59" s="61">
        <v>42000</v>
      </c>
      <c r="N59" s="57" t="s">
        <v>234</v>
      </c>
      <c r="O59" s="36"/>
      <c r="P59" s="61"/>
      <c r="Q59" s="66"/>
      <c r="R59" s="15" t="s">
        <v>2730</v>
      </c>
      <c r="S59" s="15" t="s">
        <v>20</v>
      </c>
      <c r="T59" s="15"/>
      <c r="U59" s="36" t="s">
        <v>5453</v>
      </c>
      <c r="V59" s="36"/>
      <c r="W59" s="63"/>
      <c r="X59" s="14"/>
      <c r="Y59" s="26"/>
      <c r="Z59" s="15"/>
    </row>
    <row r="60" spans="1:26" ht="14.25" customHeight="1" x14ac:dyDescent="0.25">
      <c r="A60" s="26">
        <v>45988</v>
      </c>
      <c r="B60" s="15" t="s">
        <v>419</v>
      </c>
      <c r="C60" s="15"/>
      <c r="D60" s="36" t="s">
        <v>5495</v>
      </c>
      <c r="E60" s="64">
        <v>1364372</v>
      </c>
      <c r="F60" s="36" t="s">
        <v>5216</v>
      </c>
      <c r="G60" s="36" t="s">
        <v>5496</v>
      </c>
      <c r="H60" s="36"/>
      <c r="I60" s="36" t="s">
        <v>2730</v>
      </c>
      <c r="J60" s="36" t="s">
        <v>25</v>
      </c>
      <c r="K60" s="61">
        <v>42000</v>
      </c>
      <c r="L60" s="57"/>
      <c r="M60" s="61">
        <v>42000</v>
      </c>
      <c r="N60" s="57" t="s">
        <v>234</v>
      </c>
      <c r="O60" s="36"/>
      <c r="P60" s="61"/>
      <c r="Q60" s="66"/>
      <c r="R60" s="15" t="s">
        <v>2730</v>
      </c>
      <c r="S60" s="15" t="s">
        <v>20</v>
      </c>
      <c r="T60" s="15"/>
      <c r="U60" s="36" t="s">
        <v>5497</v>
      </c>
      <c r="V60" s="36"/>
      <c r="W60" s="63"/>
      <c r="X60" s="14"/>
      <c r="Y60" s="26"/>
      <c r="Z60" s="15"/>
    </row>
    <row r="61" spans="1:26" ht="14.25" customHeight="1" x14ac:dyDescent="0.25">
      <c r="A61" s="26">
        <v>46010</v>
      </c>
      <c r="B61" s="15" t="s">
        <v>419</v>
      </c>
      <c r="C61" s="15"/>
      <c r="D61" s="36" t="s">
        <v>5611</v>
      </c>
      <c r="E61" s="64">
        <v>7560384</v>
      </c>
      <c r="F61" s="36" t="s">
        <v>5612</v>
      </c>
      <c r="G61" s="36" t="s">
        <v>5613</v>
      </c>
      <c r="H61" s="36"/>
      <c r="I61" s="36" t="s">
        <v>2730</v>
      </c>
      <c r="J61" s="36" t="s">
        <v>25</v>
      </c>
      <c r="K61" s="61">
        <v>42000</v>
      </c>
      <c r="L61" s="57"/>
      <c r="M61" s="61">
        <v>42000</v>
      </c>
      <c r="N61" s="57" t="s">
        <v>234</v>
      </c>
      <c r="O61" s="36"/>
      <c r="P61" s="61"/>
      <c r="Q61" s="66"/>
      <c r="R61" s="15" t="s">
        <v>2730</v>
      </c>
      <c r="S61" s="15" t="s">
        <v>20</v>
      </c>
      <c r="T61" s="15"/>
      <c r="U61" s="36" t="s">
        <v>5614</v>
      </c>
      <c r="V61" s="36"/>
      <c r="W61" s="63"/>
      <c r="X61" s="14"/>
      <c r="Y61" s="26"/>
      <c r="Z61" s="15"/>
    </row>
    <row r="62" spans="1:26" ht="14.25" customHeight="1" x14ac:dyDescent="0.25">
      <c r="A62" s="26">
        <v>46010</v>
      </c>
      <c r="B62" s="15" t="s">
        <v>419</v>
      </c>
      <c r="C62" s="15"/>
      <c r="D62" s="36" t="s">
        <v>5615</v>
      </c>
      <c r="E62" s="64">
        <v>24995253</v>
      </c>
      <c r="F62" s="36">
        <v>3133553680</v>
      </c>
      <c r="G62" s="36" t="s">
        <v>5616</v>
      </c>
      <c r="H62" s="36"/>
      <c r="I62" s="36" t="s">
        <v>2730</v>
      </c>
      <c r="J62" s="36" t="s">
        <v>25</v>
      </c>
      <c r="K62" s="61">
        <v>42000</v>
      </c>
      <c r="L62" s="57"/>
      <c r="M62" s="61">
        <v>42000</v>
      </c>
      <c r="N62" s="57" t="s">
        <v>234</v>
      </c>
      <c r="O62" s="36"/>
      <c r="P62" s="61"/>
      <c r="Q62" s="66"/>
      <c r="R62" s="15" t="s">
        <v>2730</v>
      </c>
      <c r="S62" s="15" t="s">
        <v>20</v>
      </c>
      <c r="T62" s="15"/>
      <c r="U62" s="36" t="s">
        <v>5617</v>
      </c>
      <c r="V62" s="36"/>
      <c r="W62" s="63"/>
      <c r="X62" s="14"/>
      <c r="Y62" s="26"/>
      <c r="Z62" s="15"/>
    </row>
    <row r="63" spans="1:26" ht="14.25" customHeight="1" x14ac:dyDescent="0.25">
      <c r="A63" s="26">
        <v>46017</v>
      </c>
      <c r="B63" s="15" t="s">
        <v>419</v>
      </c>
      <c r="C63" s="15"/>
      <c r="D63" s="36" t="s">
        <v>5628</v>
      </c>
      <c r="E63" s="64">
        <v>1099683335</v>
      </c>
      <c r="F63" s="36">
        <v>3186815719</v>
      </c>
      <c r="G63" s="36" t="s">
        <v>2799</v>
      </c>
      <c r="H63" s="36"/>
      <c r="I63" s="36" t="s">
        <v>2730</v>
      </c>
      <c r="J63" s="36" t="s">
        <v>25</v>
      </c>
      <c r="K63" s="61">
        <v>42000</v>
      </c>
      <c r="L63" s="57"/>
      <c r="M63" s="61">
        <v>42000</v>
      </c>
      <c r="N63" s="57" t="s">
        <v>234</v>
      </c>
      <c r="O63" s="36"/>
      <c r="P63" s="61"/>
      <c r="Q63" s="66"/>
      <c r="R63" s="15" t="s">
        <v>2730</v>
      </c>
      <c r="S63" s="15" t="s">
        <v>20</v>
      </c>
      <c r="T63" s="15"/>
      <c r="U63" s="36" t="s">
        <v>5629</v>
      </c>
      <c r="V63" s="36" t="s">
        <v>30</v>
      </c>
      <c r="W63" s="63"/>
      <c r="X63" s="14"/>
      <c r="Y63" s="26"/>
      <c r="Z63" s="15"/>
    </row>
    <row r="64" spans="1:26" ht="14.25" customHeight="1" x14ac:dyDescent="0.25">
      <c r="A64" s="26">
        <v>46017</v>
      </c>
      <c r="B64" s="15" t="s">
        <v>419</v>
      </c>
      <c r="C64" s="15"/>
      <c r="D64" s="36" t="s">
        <v>5630</v>
      </c>
      <c r="E64" s="64">
        <v>4525560</v>
      </c>
      <c r="F64" s="36" t="s">
        <v>5631</v>
      </c>
      <c r="G64" s="36"/>
      <c r="H64" s="36"/>
      <c r="I64" s="36" t="s">
        <v>2730</v>
      </c>
      <c r="J64" s="36" t="s">
        <v>25</v>
      </c>
      <c r="K64" s="61">
        <v>42000</v>
      </c>
      <c r="L64" s="57"/>
      <c r="M64" s="61">
        <v>42000</v>
      </c>
      <c r="N64" s="57" t="s">
        <v>234</v>
      </c>
      <c r="O64" s="36"/>
      <c r="P64" s="61"/>
      <c r="Q64" s="66"/>
      <c r="R64" s="15" t="s">
        <v>2730</v>
      </c>
      <c r="S64" s="15" t="s">
        <v>20</v>
      </c>
      <c r="T64" s="15"/>
      <c r="U64" s="36" t="s">
        <v>5632</v>
      </c>
      <c r="V64" s="36" t="s">
        <v>2970</v>
      </c>
      <c r="W64" s="63"/>
      <c r="X64" s="14"/>
      <c r="Y64" s="26"/>
      <c r="Z64" s="15"/>
    </row>
    <row r="65" spans="1:26" ht="14.25" customHeight="1" x14ac:dyDescent="0.25">
      <c r="A65" s="15"/>
      <c r="B65" s="15"/>
      <c r="C65" s="15"/>
      <c r="D65" s="36"/>
      <c r="E65" s="64"/>
      <c r="F65" s="36"/>
      <c r="G65" s="36"/>
      <c r="H65" s="36"/>
      <c r="I65" s="36"/>
      <c r="J65" s="36"/>
      <c r="K65" s="61"/>
      <c r="L65" s="57"/>
      <c r="M65" s="61"/>
      <c r="N65" s="57"/>
      <c r="O65" s="36"/>
      <c r="P65" s="61"/>
      <c r="Q65" s="66"/>
      <c r="R65" s="15"/>
      <c r="S65" s="15"/>
      <c r="T65" s="15"/>
      <c r="U65" s="36"/>
      <c r="V65" s="36"/>
      <c r="W65" s="63"/>
      <c r="X65" s="14"/>
      <c r="Y65" s="26"/>
      <c r="Z65" s="15"/>
    </row>
    <row r="66" spans="1:26" ht="14.25" customHeight="1" x14ac:dyDescent="0.25">
      <c r="A66" s="15"/>
      <c r="B66" s="15"/>
      <c r="C66" s="15"/>
      <c r="D66" s="36"/>
      <c r="E66" s="64"/>
      <c r="F66" s="36"/>
      <c r="G66" s="36"/>
      <c r="H66" s="36"/>
      <c r="I66" s="36"/>
      <c r="J66" s="36"/>
      <c r="K66" s="61"/>
      <c r="L66" s="57"/>
      <c r="M66" s="61"/>
      <c r="N66" s="57"/>
      <c r="O66" s="36"/>
      <c r="P66" s="61"/>
      <c r="Q66" s="66"/>
      <c r="R66" s="15"/>
      <c r="S66" s="15"/>
      <c r="T66" s="15"/>
      <c r="U66" s="36"/>
      <c r="V66" s="36"/>
      <c r="W66" s="63"/>
      <c r="X66" s="14"/>
      <c r="Y66" s="26"/>
      <c r="Z66" s="15"/>
    </row>
    <row r="67" spans="1:26" ht="14.25" customHeight="1" x14ac:dyDescent="0.25">
      <c r="A67" s="15"/>
      <c r="B67" s="15"/>
      <c r="C67" s="15"/>
      <c r="D67" s="36"/>
      <c r="E67" s="64"/>
      <c r="F67" s="36"/>
      <c r="G67" s="36"/>
      <c r="H67" s="36"/>
      <c r="I67" s="36"/>
      <c r="J67" s="36"/>
      <c r="K67" s="61"/>
      <c r="L67" s="57"/>
      <c r="M67" s="61"/>
      <c r="N67" s="57"/>
      <c r="O67" s="36"/>
      <c r="P67" s="61"/>
      <c r="Q67" s="66"/>
      <c r="R67" s="15"/>
      <c r="S67" s="15"/>
      <c r="T67" s="15"/>
      <c r="U67" s="36"/>
      <c r="V67" s="36"/>
      <c r="W67" s="63"/>
      <c r="X67" s="14"/>
      <c r="Y67" s="26"/>
      <c r="Z67" s="15"/>
    </row>
    <row r="68" spans="1:26" ht="14.25" customHeight="1" x14ac:dyDescent="0.25">
      <c r="A68" s="15"/>
      <c r="B68" s="15"/>
      <c r="C68" s="15"/>
      <c r="D68" s="36"/>
      <c r="E68" s="64"/>
      <c r="F68" s="36"/>
      <c r="G68" s="36"/>
      <c r="H68" s="36"/>
      <c r="I68" s="36"/>
      <c r="J68" s="36"/>
      <c r="K68" s="61"/>
      <c r="L68" s="57"/>
      <c r="M68" s="61"/>
      <c r="N68" s="57"/>
      <c r="O68" s="36"/>
      <c r="P68" s="61"/>
      <c r="Q68" s="66"/>
      <c r="R68" s="15"/>
      <c r="S68" s="15"/>
      <c r="T68" s="15"/>
      <c r="U68" s="36"/>
      <c r="V68" s="36"/>
      <c r="W68" s="63"/>
      <c r="X68" s="14"/>
      <c r="Y68" s="26"/>
      <c r="Z68" s="15"/>
    </row>
    <row r="69" spans="1:26" ht="14.25" customHeight="1" x14ac:dyDescent="0.25">
      <c r="A69" s="15"/>
      <c r="B69" s="15"/>
      <c r="C69" s="15"/>
      <c r="D69" s="36"/>
      <c r="E69" s="64"/>
      <c r="F69" s="36"/>
      <c r="G69" s="36"/>
      <c r="H69" s="36"/>
      <c r="I69" s="36"/>
      <c r="J69" s="36"/>
      <c r="K69" s="61"/>
      <c r="L69" s="57"/>
      <c r="M69" s="61"/>
      <c r="N69" s="57"/>
      <c r="O69" s="36"/>
      <c r="P69" s="61"/>
      <c r="Q69" s="66"/>
      <c r="R69" s="15"/>
      <c r="S69" s="15"/>
      <c r="T69" s="15"/>
      <c r="U69" s="36"/>
      <c r="V69" s="36"/>
      <c r="W69" s="63"/>
      <c r="X69" s="14"/>
      <c r="Y69" s="26"/>
      <c r="Z69" s="15"/>
    </row>
    <row r="70" spans="1:26" ht="14.25" customHeight="1" x14ac:dyDescent="0.25">
      <c r="A70" s="15"/>
      <c r="B70" s="15"/>
      <c r="C70" s="15"/>
      <c r="D70" s="15"/>
      <c r="E70" s="147"/>
      <c r="F70" s="36"/>
      <c r="G70" s="36"/>
      <c r="H70" s="36"/>
      <c r="I70" s="36"/>
      <c r="J70" s="36"/>
      <c r="K70" s="61"/>
      <c r="L70" s="57"/>
      <c r="M70" s="61"/>
      <c r="N70" s="57"/>
      <c r="O70" s="36"/>
      <c r="P70" s="61"/>
      <c r="Q70" s="66"/>
      <c r="R70" s="15"/>
      <c r="S70" s="15"/>
      <c r="T70" s="15"/>
      <c r="U70" s="15"/>
      <c r="V70" s="36"/>
      <c r="W70" s="63"/>
      <c r="X70" s="14"/>
      <c r="Y70" s="26"/>
      <c r="Z70" s="15"/>
    </row>
    <row r="71" spans="1:26" ht="14.25" customHeight="1" x14ac:dyDescent="0.25">
      <c r="A71" s="14"/>
      <c r="B71" s="14"/>
      <c r="C71" s="14"/>
      <c r="D71" s="15"/>
      <c r="E71" s="147"/>
      <c r="F71" s="17"/>
      <c r="G71" s="17"/>
      <c r="H71" s="17"/>
      <c r="I71" s="17"/>
      <c r="J71" s="36"/>
      <c r="K71" s="61"/>
      <c r="L71" s="57"/>
      <c r="M71" s="61"/>
      <c r="N71" s="57"/>
      <c r="O71" s="36"/>
      <c r="P71" s="61"/>
      <c r="Q71" s="66"/>
      <c r="R71" s="15"/>
      <c r="S71" s="15"/>
      <c r="T71" s="15"/>
      <c r="U71" s="15"/>
      <c r="V71" s="36"/>
      <c r="W71" s="63"/>
      <c r="X71" s="14"/>
      <c r="Y71" s="13"/>
      <c r="Z71" s="14"/>
    </row>
    <row r="72" spans="1:26" ht="14.25" customHeight="1" x14ac:dyDescent="0.25">
      <c r="A72" s="14"/>
      <c r="B72" s="14"/>
      <c r="C72" s="14"/>
      <c r="D72" s="36"/>
      <c r="E72" s="64"/>
      <c r="F72" s="36"/>
      <c r="G72" s="36"/>
      <c r="H72" s="36"/>
      <c r="I72" s="36"/>
      <c r="J72" s="36"/>
      <c r="K72" s="61"/>
      <c r="L72" s="57"/>
      <c r="M72" s="61"/>
      <c r="N72" s="57"/>
      <c r="O72" s="36"/>
      <c r="P72" s="61"/>
      <c r="Q72" s="66"/>
      <c r="R72" s="15"/>
      <c r="S72" s="15"/>
      <c r="T72" s="15"/>
      <c r="U72" s="36"/>
      <c r="V72" s="36"/>
      <c r="W72" s="63"/>
      <c r="X72" s="14"/>
      <c r="Y72" s="13"/>
      <c r="Z72" s="14"/>
    </row>
    <row r="73" spans="1:26" ht="14.25" customHeight="1" x14ac:dyDescent="0.25">
      <c r="A73" s="14"/>
      <c r="B73" s="14"/>
      <c r="C73" s="14"/>
      <c r="D73" s="36"/>
      <c r="E73" s="64"/>
      <c r="F73" s="36"/>
      <c r="G73" s="36"/>
      <c r="H73" s="36"/>
      <c r="I73" s="36"/>
      <c r="J73" s="36"/>
      <c r="K73" s="61"/>
      <c r="L73" s="57"/>
      <c r="M73" s="61"/>
      <c r="N73" s="57"/>
      <c r="O73" s="36"/>
      <c r="P73" s="61"/>
      <c r="Q73" s="66"/>
      <c r="R73" s="15"/>
      <c r="S73" s="15"/>
      <c r="T73" s="15"/>
      <c r="U73" s="36"/>
      <c r="V73" s="36"/>
      <c r="W73" s="63"/>
      <c r="X73" s="14"/>
      <c r="Y73" s="13"/>
      <c r="Z73" s="14"/>
    </row>
    <row r="74" spans="1:26" ht="14.25" customHeight="1" x14ac:dyDescent="0.25">
      <c r="A74" s="14"/>
      <c r="B74" s="14"/>
      <c r="C74" s="14"/>
      <c r="D74" s="36"/>
      <c r="E74" s="64"/>
      <c r="F74" s="36"/>
      <c r="G74" s="36"/>
      <c r="H74" s="36"/>
      <c r="I74" s="36"/>
      <c r="J74" s="36"/>
      <c r="K74" s="61"/>
      <c r="L74" s="57"/>
      <c r="M74" s="61"/>
      <c r="N74" s="57"/>
      <c r="O74" s="36"/>
      <c r="P74" s="61"/>
      <c r="Q74" s="66"/>
      <c r="R74" s="15"/>
      <c r="S74" s="15"/>
      <c r="T74" s="15"/>
      <c r="U74" s="36"/>
      <c r="V74" s="36"/>
      <c r="W74" s="63"/>
      <c r="X74" s="14"/>
      <c r="Y74" s="13"/>
      <c r="Z74" s="14"/>
    </row>
    <row r="75" spans="1:26" ht="14.25" customHeight="1" x14ac:dyDescent="0.25">
      <c r="A75" s="14"/>
      <c r="B75" s="14"/>
      <c r="C75" s="14"/>
      <c r="D75" s="36"/>
      <c r="E75" s="64"/>
      <c r="F75" s="36"/>
      <c r="G75" s="36"/>
      <c r="H75" s="36"/>
      <c r="I75" s="36"/>
      <c r="J75" s="36"/>
      <c r="K75" s="61"/>
      <c r="L75" s="57"/>
      <c r="M75" s="61"/>
      <c r="N75" s="57"/>
      <c r="O75" s="36"/>
      <c r="P75" s="61"/>
      <c r="Q75" s="66"/>
      <c r="R75" s="15"/>
      <c r="S75" s="15"/>
      <c r="T75" s="15"/>
      <c r="U75" s="36"/>
      <c r="V75" s="36"/>
      <c r="W75" s="63"/>
      <c r="X75" s="14"/>
      <c r="Y75" s="13"/>
      <c r="Z75" s="14"/>
    </row>
    <row r="76" spans="1:26" ht="14.25" customHeight="1" x14ac:dyDescent="0.25">
      <c r="A76" s="14"/>
      <c r="B76" s="14"/>
      <c r="C76" s="14"/>
      <c r="D76" s="36"/>
      <c r="E76" s="64"/>
      <c r="F76" s="36"/>
      <c r="G76" s="36"/>
      <c r="H76" s="36"/>
      <c r="I76" s="36"/>
      <c r="J76" s="36"/>
      <c r="K76" s="61"/>
      <c r="L76" s="57"/>
      <c r="M76" s="61"/>
      <c r="N76" s="57"/>
      <c r="O76" s="36"/>
      <c r="P76" s="61"/>
      <c r="Q76" s="66"/>
      <c r="R76" s="15"/>
      <c r="S76" s="15"/>
      <c r="T76" s="15"/>
      <c r="U76" s="36"/>
      <c r="V76" s="36"/>
      <c r="W76" s="63"/>
      <c r="X76" s="14"/>
      <c r="Y76" s="13"/>
      <c r="Z76" s="14"/>
    </row>
    <row r="77" spans="1:26" ht="14.25" customHeight="1" x14ac:dyDescent="0.25">
      <c r="A77" s="14"/>
      <c r="B77" s="14"/>
      <c r="C77" s="14"/>
      <c r="D77" s="36"/>
      <c r="E77" s="64"/>
      <c r="F77" s="36"/>
      <c r="G77" s="36"/>
      <c r="H77" s="36"/>
      <c r="I77" s="36"/>
      <c r="J77" s="36"/>
      <c r="K77" s="61"/>
      <c r="L77" s="57"/>
      <c r="M77" s="61"/>
      <c r="N77" s="57"/>
      <c r="O77" s="36"/>
      <c r="P77" s="61"/>
      <c r="Q77" s="66"/>
      <c r="R77" s="15"/>
      <c r="S77" s="15"/>
      <c r="T77" s="15"/>
      <c r="U77" s="36"/>
      <c r="V77" s="36"/>
      <c r="W77" s="63"/>
      <c r="X77" s="14"/>
      <c r="Y77" s="13"/>
      <c r="Z77" s="14"/>
    </row>
    <row r="78" spans="1:26" ht="14.25" customHeight="1" x14ac:dyDescent="0.25">
      <c r="A78" s="14"/>
      <c r="B78" s="14"/>
      <c r="C78" s="14"/>
      <c r="D78" s="36"/>
      <c r="E78" s="64"/>
      <c r="F78" s="36"/>
      <c r="G78" s="36"/>
      <c r="H78" s="36"/>
      <c r="I78" s="36"/>
      <c r="J78" s="36"/>
      <c r="K78" s="61"/>
      <c r="L78" s="57"/>
      <c r="M78" s="61"/>
      <c r="N78" s="57"/>
      <c r="O78" s="36"/>
      <c r="P78" s="61"/>
      <c r="Q78" s="66"/>
      <c r="R78" s="15"/>
      <c r="S78" s="15"/>
      <c r="T78" s="15"/>
      <c r="U78" s="36"/>
      <c r="V78" s="36"/>
      <c r="W78" s="63"/>
      <c r="X78" s="14"/>
      <c r="Y78" s="13"/>
      <c r="Z78" s="14"/>
    </row>
    <row r="79" spans="1:26" ht="14.25" customHeight="1" x14ac:dyDescent="0.25">
      <c r="A79" s="14"/>
      <c r="B79" s="14"/>
      <c r="C79" s="14"/>
      <c r="D79" s="36"/>
      <c r="E79" s="64"/>
      <c r="F79" s="36"/>
      <c r="G79" s="36"/>
      <c r="H79" s="36"/>
      <c r="I79" s="36"/>
      <c r="J79" s="36"/>
      <c r="K79" s="61"/>
      <c r="L79" s="57"/>
      <c r="M79" s="61"/>
      <c r="N79" s="57"/>
      <c r="O79" s="36"/>
      <c r="P79" s="61"/>
      <c r="Q79" s="66"/>
      <c r="R79" s="15"/>
      <c r="S79" s="15"/>
      <c r="T79" s="15"/>
      <c r="U79" s="36"/>
      <c r="V79" s="36"/>
      <c r="W79" s="63"/>
      <c r="X79" s="14"/>
      <c r="Y79" s="13"/>
      <c r="Z79" s="14"/>
    </row>
    <row r="80" spans="1:26" ht="14.25" customHeight="1" x14ac:dyDescent="0.25">
      <c r="A80" s="14"/>
      <c r="B80" s="14"/>
      <c r="C80" s="14"/>
      <c r="D80" s="36"/>
      <c r="E80" s="64"/>
      <c r="F80" s="36"/>
      <c r="G80" s="36"/>
      <c r="H80" s="36"/>
      <c r="I80" s="36"/>
      <c r="J80" s="36"/>
      <c r="K80" s="61"/>
      <c r="L80" s="57"/>
      <c r="M80" s="61"/>
      <c r="N80" s="57"/>
      <c r="O80" s="36"/>
      <c r="P80" s="61"/>
      <c r="Q80" s="66"/>
      <c r="R80" s="15"/>
      <c r="S80" s="15"/>
      <c r="T80" s="15"/>
      <c r="U80" s="36"/>
      <c r="V80" s="36"/>
      <c r="W80" s="63"/>
      <c r="X80" s="14"/>
      <c r="Y80" s="13"/>
      <c r="Z80" s="14"/>
    </row>
    <row r="81" spans="1:26" ht="14.25" customHeight="1" x14ac:dyDescent="0.25">
      <c r="A81" s="14"/>
      <c r="B81" s="14"/>
      <c r="C81" s="14"/>
      <c r="D81" s="36"/>
      <c r="E81" s="64"/>
      <c r="F81" s="36"/>
      <c r="G81" s="36"/>
      <c r="H81" s="36"/>
      <c r="I81" s="36"/>
      <c r="J81" s="36"/>
      <c r="K81" s="61"/>
      <c r="L81" s="57"/>
      <c r="M81" s="61"/>
      <c r="N81" s="57"/>
      <c r="O81" s="36"/>
      <c r="P81" s="61"/>
      <c r="Q81" s="66"/>
      <c r="R81" s="15"/>
      <c r="S81" s="15"/>
      <c r="T81" s="15"/>
      <c r="U81" s="36"/>
      <c r="V81" s="36"/>
      <c r="W81" s="63"/>
      <c r="X81" s="14"/>
      <c r="Y81" s="13"/>
      <c r="Z81" s="14"/>
    </row>
    <row r="82" spans="1:26" ht="14.25" customHeight="1" x14ac:dyDescent="0.25">
      <c r="A82" s="14"/>
      <c r="B82" s="14"/>
      <c r="C82" s="14"/>
      <c r="D82" s="36"/>
      <c r="E82" s="64"/>
      <c r="F82" s="36"/>
      <c r="G82" s="36"/>
      <c r="H82" s="36"/>
      <c r="I82" s="36"/>
      <c r="J82" s="36"/>
      <c r="K82" s="61"/>
      <c r="L82" s="57"/>
      <c r="M82" s="61"/>
      <c r="N82" s="57"/>
      <c r="O82" s="36"/>
      <c r="P82" s="61"/>
      <c r="Q82" s="66"/>
      <c r="R82" s="15"/>
      <c r="S82" s="15"/>
      <c r="T82" s="15"/>
      <c r="U82" s="36"/>
      <c r="V82" s="36"/>
      <c r="W82" s="63"/>
      <c r="X82" s="14"/>
      <c r="Y82" s="13"/>
      <c r="Z82" s="14"/>
    </row>
    <row r="83" spans="1:26" ht="14.25" customHeight="1" x14ac:dyDescent="0.25">
      <c r="A83" s="14"/>
      <c r="B83" s="14"/>
      <c r="C83" s="14"/>
      <c r="D83" s="36"/>
      <c r="E83" s="64"/>
      <c r="F83" s="36"/>
      <c r="G83" s="36"/>
      <c r="H83" s="36"/>
      <c r="I83" s="36"/>
      <c r="J83" s="36"/>
      <c r="K83" s="61"/>
      <c r="L83" s="57"/>
      <c r="M83" s="61"/>
      <c r="N83" s="57"/>
      <c r="O83" s="36"/>
      <c r="P83" s="61"/>
      <c r="Q83" s="66"/>
      <c r="R83" s="15"/>
      <c r="S83" s="15"/>
      <c r="T83" s="15"/>
      <c r="U83" s="36"/>
      <c r="V83" s="36"/>
      <c r="W83" s="63"/>
      <c r="X83" s="14"/>
      <c r="Y83" s="13"/>
      <c r="Z83" s="14"/>
    </row>
    <row r="84" spans="1:26" ht="14.25" customHeight="1" x14ac:dyDescent="0.25">
      <c r="A84" s="14"/>
      <c r="B84" s="14"/>
      <c r="C84" s="14"/>
      <c r="D84" s="36"/>
      <c r="E84" s="64"/>
      <c r="F84" s="36"/>
      <c r="G84" s="36"/>
      <c r="H84" s="36"/>
      <c r="I84" s="36"/>
      <c r="J84" s="36"/>
      <c r="K84" s="61"/>
      <c r="L84" s="57"/>
      <c r="M84" s="61"/>
      <c r="N84" s="57"/>
      <c r="O84" s="36"/>
      <c r="P84" s="61"/>
      <c r="Q84" s="66"/>
      <c r="R84" s="15"/>
      <c r="S84" s="15"/>
      <c r="T84" s="15"/>
      <c r="U84" s="36"/>
      <c r="V84" s="36"/>
      <c r="W84" s="63"/>
      <c r="X84" s="14"/>
      <c r="Y84" s="13"/>
      <c r="Z84" s="14"/>
    </row>
    <row r="85" spans="1:26" ht="14.25" customHeight="1" x14ac:dyDescent="0.25">
      <c r="A85" s="14"/>
      <c r="B85" s="14"/>
      <c r="C85" s="14"/>
      <c r="D85" s="36"/>
      <c r="E85" s="64"/>
      <c r="F85" s="36"/>
      <c r="G85" s="36"/>
      <c r="H85" s="36"/>
      <c r="I85" s="36"/>
      <c r="J85" s="36"/>
      <c r="K85" s="61"/>
      <c r="L85" s="57"/>
      <c r="M85" s="61"/>
      <c r="N85" s="57"/>
      <c r="O85" s="36"/>
      <c r="P85" s="61"/>
      <c r="Q85" s="66"/>
      <c r="R85" s="15"/>
      <c r="S85" s="15"/>
      <c r="T85" s="15"/>
      <c r="U85" s="36"/>
      <c r="V85" s="36"/>
      <c r="W85" s="63"/>
      <c r="X85" s="14"/>
      <c r="Y85" s="13"/>
      <c r="Z85" s="14"/>
    </row>
    <row r="86" spans="1:26" ht="14.25" customHeight="1" x14ac:dyDescent="0.25">
      <c r="A86" s="14"/>
      <c r="B86" s="14"/>
      <c r="C86" s="14"/>
      <c r="D86" s="36"/>
      <c r="E86" s="64"/>
      <c r="F86" s="36"/>
      <c r="G86" s="36"/>
      <c r="H86" s="36"/>
      <c r="I86" s="36"/>
      <c r="J86" s="36"/>
      <c r="K86" s="61"/>
      <c r="L86" s="57"/>
      <c r="M86" s="61"/>
      <c r="N86" s="57"/>
      <c r="O86" s="36"/>
      <c r="P86" s="61"/>
      <c r="Q86" s="66"/>
      <c r="R86" s="15"/>
      <c r="S86" s="15"/>
      <c r="T86" s="15"/>
      <c r="U86" s="36"/>
      <c r="V86" s="36"/>
      <c r="W86" s="63"/>
      <c r="X86" s="14"/>
      <c r="Y86" s="13"/>
      <c r="Z86" s="14"/>
    </row>
    <row r="87" spans="1:26" ht="14.25" customHeight="1" x14ac:dyDescent="0.25">
      <c r="A87" s="14"/>
      <c r="B87" s="14"/>
      <c r="C87" s="14"/>
      <c r="D87" s="36"/>
      <c r="E87" s="64"/>
      <c r="F87" s="36"/>
      <c r="G87" s="36"/>
      <c r="H87" s="36"/>
      <c r="I87" s="36"/>
      <c r="J87" s="36"/>
      <c r="K87" s="61"/>
      <c r="L87" s="57"/>
      <c r="M87" s="61"/>
      <c r="N87" s="57"/>
      <c r="O87" s="36"/>
      <c r="P87" s="61"/>
      <c r="Q87" s="66"/>
      <c r="R87" s="15"/>
      <c r="S87" s="15"/>
      <c r="T87" s="15"/>
      <c r="U87" s="36"/>
      <c r="V87" s="36"/>
      <c r="W87" s="63"/>
      <c r="X87" s="14"/>
      <c r="Y87" s="13"/>
      <c r="Z87" s="14"/>
    </row>
    <row r="88" spans="1:26" ht="14.25" customHeight="1" x14ac:dyDescent="0.25">
      <c r="A88" s="14"/>
      <c r="B88" s="14"/>
      <c r="C88" s="14"/>
      <c r="D88" s="36"/>
      <c r="E88" s="64"/>
      <c r="F88" s="36"/>
      <c r="G88" s="36"/>
      <c r="H88" s="36"/>
      <c r="I88" s="36"/>
      <c r="J88" s="36"/>
      <c r="K88" s="61"/>
      <c r="L88" s="57"/>
      <c r="M88" s="61"/>
      <c r="N88" s="57"/>
      <c r="O88" s="36"/>
      <c r="P88" s="61"/>
      <c r="Q88" s="66"/>
      <c r="R88" s="15"/>
      <c r="S88" s="15"/>
      <c r="T88" s="15"/>
      <c r="U88" s="36"/>
      <c r="V88" s="36"/>
      <c r="W88" s="63"/>
      <c r="X88" s="14"/>
      <c r="Y88" s="13"/>
      <c r="Z88" s="14"/>
    </row>
    <row r="89" spans="1:26" ht="14.25" customHeight="1" x14ac:dyDescent="0.25">
      <c r="A89" s="14"/>
      <c r="B89" s="14"/>
      <c r="C89" s="14"/>
      <c r="D89" s="36"/>
      <c r="E89" s="64"/>
      <c r="F89" s="36"/>
      <c r="G89" s="36"/>
      <c r="H89" s="36"/>
      <c r="I89" s="36"/>
      <c r="J89" s="36"/>
      <c r="K89" s="61"/>
      <c r="L89" s="57"/>
      <c r="M89" s="61"/>
      <c r="N89" s="57"/>
      <c r="O89" s="36"/>
      <c r="P89" s="61"/>
      <c r="Q89" s="66"/>
      <c r="R89" s="15"/>
      <c r="S89" s="15"/>
      <c r="T89" s="15"/>
      <c r="U89" s="36"/>
      <c r="V89" s="36"/>
      <c r="W89" s="63"/>
      <c r="X89" s="14"/>
      <c r="Y89" s="13"/>
      <c r="Z89" s="14"/>
    </row>
    <row r="90" spans="1:26" ht="14.25" customHeight="1" x14ac:dyDescent="0.25">
      <c r="A90" s="14"/>
      <c r="B90" s="14"/>
      <c r="C90" s="14"/>
      <c r="D90" s="36"/>
      <c r="E90" s="64"/>
      <c r="F90" s="36"/>
      <c r="G90" s="36"/>
      <c r="H90" s="36"/>
      <c r="I90" s="36"/>
      <c r="J90" s="36"/>
      <c r="K90" s="61"/>
      <c r="L90" s="57"/>
      <c r="M90" s="61"/>
      <c r="N90" s="57"/>
      <c r="O90" s="36"/>
      <c r="P90" s="61"/>
      <c r="Q90" s="66"/>
      <c r="R90" s="15"/>
      <c r="S90" s="15"/>
      <c r="T90" s="15"/>
      <c r="U90" s="36"/>
      <c r="V90" s="36"/>
      <c r="W90" s="63"/>
      <c r="X90" s="14"/>
      <c r="Y90" s="13"/>
      <c r="Z90" s="14"/>
    </row>
    <row r="91" spans="1:26" ht="14.25" customHeight="1" x14ac:dyDescent="0.25">
      <c r="A91" s="14"/>
      <c r="B91" s="14"/>
      <c r="C91" s="14"/>
      <c r="D91" s="36"/>
      <c r="E91" s="64"/>
      <c r="F91" s="36"/>
      <c r="G91" s="36"/>
      <c r="H91" s="36"/>
      <c r="I91" s="36"/>
      <c r="J91" s="36"/>
      <c r="K91" s="61"/>
      <c r="L91" s="57"/>
      <c r="M91" s="61"/>
      <c r="N91" s="57"/>
      <c r="O91" s="36"/>
      <c r="P91" s="61"/>
      <c r="Q91" s="66"/>
      <c r="R91" s="15"/>
      <c r="S91" s="15"/>
      <c r="T91" s="15"/>
      <c r="U91" s="36"/>
      <c r="V91" s="36"/>
      <c r="W91" s="63"/>
      <c r="X91" s="14"/>
      <c r="Y91" s="13"/>
      <c r="Z91" s="14"/>
    </row>
    <row r="92" spans="1:26" ht="14.25" customHeight="1" x14ac:dyDescent="0.25">
      <c r="A92" s="14"/>
      <c r="B92" s="14"/>
      <c r="C92" s="14"/>
      <c r="D92" s="36"/>
      <c r="E92" s="64"/>
      <c r="F92" s="36"/>
      <c r="G92" s="36"/>
      <c r="H92" s="36"/>
      <c r="I92" s="36"/>
      <c r="J92" s="36"/>
      <c r="K92" s="61"/>
      <c r="L92" s="57"/>
      <c r="M92" s="61"/>
      <c r="N92" s="57"/>
      <c r="O92" s="36"/>
      <c r="P92" s="61"/>
      <c r="Q92" s="66"/>
      <c r="R92" s="15"/>
      <c r="S92" s="15"/>
      <c r="T92" s="15"/>
      <c r="U92" s="36"/>
      <c r="V92" s="36"/>
      <c r="W92" s="63"/>
      <c r="X92" s="14"/>
      <c r="Y92" s="13"/>
      <c r="Z92" s="14"/>
    </row>
    <row r="93" spans="1:26" ht="14.25" customHeight="1" x14ac:dyDescent="0.25">
      <c r="A93" s="14"/>
      <c r="B93" s="14"/>
      <c r="C93" s="14"/>
      <c r="D93" s="36"/>
      <c r="E93" s="64"/>
      <c r="F93" s="36"/>
      <c r="G93" s="36"/>
      <c r="H93" s="36"/>
      <c r="I93" s="36"/>
      <c r="J93" s="36"/>
      <c r="K93" s="61"/>
      <c r="L93" s="57"/>
      <c r="M93" s="61"/>
      <c r="N93" s="57"/>
      <c r="O93" s="36"/>
      <c r="P93" s="61"/>
      <c r="Q93" s="66"/>
      <c r="R93" s="15"/>
      <c r="S93" s="15"/>
      <c r="T93" s="15"/>
      <c r="U93" s="36"/>
      <c r="V93" s="36"/>
      <c r="W93" s="63"/>
      <c r="X93" s="14"/>
      <c r="Y93" s="13"/>
      <c r="Z93" s="14"/>
    </row>
    <row r="94" spans="1:26" ht="14.25" customHeight="1" x14ac:dyDescent="0.25">
      <c r="A94" s="14"/>
      <c r="B94" s="14"/>
      <c r="C94" s="14"/>
      <c r="D94" s="36"/>
      <c r="E94" s="64"/>
      <c r="F94" s="36"/>
      <c r="G94" s="36"/>
      <c r="H94" s="36"/>
      <c r="I94" s="36"/>
      <c r="J94" s="36"/>
      <c r="K94" s="61"/>
      <c r="L94" s="57"/>
      <c r="M94" s="61"/>
      <c r="N94" s="57"/>
      <c r="O94" s="36"/>
      <c r="P94" s="61"/>
      <c r="Q94" s="66"/>
      <c r="R94" s="15"/>
      <c r="S94" s="15"/>
      <c r="T94" s="15"/>
      <c r="U94" s="36"/>
      <c r="V94" s="36"/>
      <c r="W94" s="63"/>
      <c r="X94" s="14"/>
      <c r="Y94" s="13"/>
      <c r="Z94" s="14"/>
    </row>
    <row r="95" spans="1:26" ht="14.25" customHeight="1" x14ac:dyDescent="0.25">
      <c r="A95" s="14"/>
      <c r="B95" s="14"/>
      <c r="C95" s="14"/>
      <c r="D95" s="36"/>
      <c r="E95" s="64"/>
      <c r="F95" s="36"/>
      <c r="G95" s="36"/>
      <c r="H95" s="36"/>
      <c r="I95" s="36"/>
      <c r="J95" s="36"/>
      <c r="K95" s="61"/>
      <c r="L95" s="57"/>
      <c r="M95" s="61"/>
      <c r="N95" s="57"/>
      <c r="O95" s="36"/>
      <c r="P95" s="61"/>
      <c r="Q95" s="66"/>
      <c r="R95" s="15"/>
      <c r="S95" s="15"/>
      <c r="T95" s="15"/>
      <c r="U95" s="36"/>
      <c r="V95" s="36"/>
      <c r="W95" s="63"/>
      <c r="X95" s="14"/>
      <c r="Y95" s="13"/>
      <c r="Z95" s="14"/>
    </row>
    <row r="96" spans="1:26" ht="14.25" customHeight="1" x14ac:dyDescent="0.25">
      <c r="A96" s="14"/>
      <c r="B96" s="14"/>
      <c r="C96" s="14"/>
      <c r="D96" s="36"/>
      <c r="E96" s="64"/>
      <c r="F96" s="36"/>
      <c r="G96" s="36"/>
      <c r="H96" s="36"/>
      <c r="I96" s="36"/>
      <c r="J96" s="36"/>
      <c r="K96" s="61"/>
      <c r="L96" s="57"/>
      <c r="M96" s="61"/>
      <c r="N96" s="57"/>
      <c r="O96" s="36"/>
      <c r="P96" s="61"/>
      <c r="Q96" s="66"/>
      <c r="R96" s="15"/>
      <c r="S96" s="15"/>
      <c r="T96" s="15"/>
      <c r="U96" s="36"/>
      <c r="V96" s="36"/>
      <c r="W96" s="63"/>
      <c r="X96" s="14"/>
      <c r="Y96" s="13"/>
      <c r="Z96" s="14"/>
    </row>
    <row r="97" spans="1:26" ht="14.25" customHeight="1" x14ac:dyDescent="0.25">
      <c r="A97" s="14"/>
      <c r="B97" s="14"/>
      <c r="C97" s="14"/>
      <c r="D97" s="36"/>
      <c r="E97" s="64"/>
      <c r="F97" s="36"/>
      <c r="G97" s="36"/>
      <c r="H97" s="36"/>
      <c r="I97" s="36"/>
      <c r="J97" s="36"/>
      <c r="K97" s="61"/>
      <c r="L97" s="57"/>
      <c r="M97" s="61"/>
      <c r="N97" s="57"/>
      <c r="O97" s="36"/>
      <c r="P97" s="61"/>
      <c r="Q97" s="66"/>
      <c r="R97" s="15"/>
      <c r="S97" s="15"/>
      <c r="T97" s="15"/>
      <c r="U97" s="36"/>
      <c r="V97" s="36"/>
      <c r="W97" s="63"/>
      <c r="X97" s="14"/>
      <c r="Y97" s="13"/>
      <c r="Z97" s="14"/>
    </row>
    <row r="98" spans="1:26" ht="14.25" customHeight="1" x14ac:dyDescent="0.25">
      <c r="A98" s="14"/>
      <c r="B98" s="14"/>
      <c r="C98" s="14"/>
      <c r="D98" s="36"/>
      <c r="E98" s="64"/>
      <c r="F98" s="36"/>
      <c r="G98" s="36"/>
      <c r="H98" s="36"/>
      <c r="I98" s="36"/>
      <c r="J98" s="36"/>
      <c r="K98" s="61"/>
      <c r="L98" s="57"/>
      <c r="M98" s="61"/>
      <c r="N98" s="57"/>
      <c r="O98" s="36"/>
      <c r="P98" s="61"/>
      <c r="Q98" s="66"/>
      <c r="R98" s="15"/>
      <c r="S98" s="15"/>
      <c r="T98" s="15"/>
      <c r="U98" s="36"/>
      <c r="V98" s="36"/>
      <c r="W98" s="63"/>
      <c r="X98" s="14"/>
      <c r="Y98" s="13"/>
      <c r="Z98" s="14"/>
    </row>
    <row r="99" spans="1:26" ht="14.25" customHeight="1" x14ac:dyDescent="0.25">
      <c r="A99" s="14"/>
      <c r="B99" s="14"/>
      <c r="C99" s="14"/>
      <c r="D99" s="36"/>
      <c r="E99" s="64"/>
      <c r="F99" s="36"/>
      <c r="G99" s="36"/>
      <c r="H99" s="36"/>
      <c r="I99" s="36"/>
      <c r="J99" s="36"/>
      <c r="K99" s="61"/>
      <c r="L99" s="57"/>
      <c r="M99" s="61"/>
      <c r="N99" s="57"/>
      <c r="O99" s="36"/>
      <c r="P99" s="61"/>
      <c r="Q99" s="66"/>
      <c r="R99" s="15"/>
      <c r="S99" s="15"/>
      <c r="T99" s="15"/>
      <c r="U99" s="36"/>
      <c r="V99" s="36"/>
      <c r="W99" s="63"/>
      <c r="X99" s="14"/>
      <c r="Y99" s="13"/>
      <c r="Z99" s="14"/>
    </row>
    <row r="100" spans="1:26" ht="14.25" customHeight="1" x14ac:dyDescent="0.25">
      <c r="A100" s="14"/>
      <c r="B100" s="14"/>
      <c r="C100" s="14"/>
      <c r="D100" s="36"/>
      <c r="E100" s="64"/>
      <c r="F100" s="36"/>
      <c r="G100" s="36"/>
      <c r="H100" s="36"/>
      <c r="I100" s="36"/>
      <c r="J100" s="36"/>
      <c r="K100" s="61"/>
      <c r="L100" s="57"/>
      <c r="M100" s="61"/>
      <c r="N100" s="57"/>
      <c r="O100" s="36"/>
      <c r="P100" s="61"/>
      <c r="Q100" s="66"/>
      <c r="R100" s="15"/>
      <c r="S100" s="15"/>
      <c r="T100" s="15"/>
      <c r="U100" s="36"/>
      <c r="V100" s="36"/>
      <c r="W100" s="63"/>
      <c r="X100" s="14"/>
      <c r="Y100" s="13"/>
      <c r="Z100" s="14"/>
    </row>
    <row r="101" spans="1:26" ht="14.25" customHeight="1" x14ac:dyDescent="0.25">
      <c r="A101" s="14"/>
      <c r="B101" s="14"/>
      <c r="C101" s="14"/>
      <c r="D101" s="36"/>
      <c r="E101" s="64"/>
      <c r="F101" s="36"/>
      <c r="G101" s="36"/>
      <c r="H101" s="36"/>
      <c r="I101" s="36"/>
      <c r="J101" s="36"/>
      <c r="K101" s="61"/>
      <c r="L101" s="57"/>
      <c r="M101" s="61"/>
      <c r="N101" s="57"/>
      <c r="O101" s="36"/>
      <c r="P101" s="61"/>
      <c r="Q101" s="66"/>
      <c r="R101" s="15"/>
      <c r="S101" s="15"/>
      <c r="T101" s="15"/>
      <c r="U101" s="36"/>
      <c r="V101" s="36"/>
      <c r="W101" s="63"/>
      <c r="X101" s="14"/>
      <c r="Y101" s="13"/>
      <c r="Z101" s="14"/>
    </row>
    <row r="102" spans="1:26" ht="14.25" customHeight="1" x14ac:dyDescent="0.25">
      <c r="A102" s="14"/>
      <c r="B102" s="14"/>
      <c r="C102" s="14"/>
      <c r="D102" s="36"/>
      <c r="E102" s="64"/>
      <c r="F102" s="36"/>
      <c r="G102" s="36"/>
      <c r="H102" s="36"/>
      <c r="I102" s="36"/>
      <c r="J102" s="36"/>
      <c r="K102" s="61"/>
      <c r="L102" s="57"/>
      <c r="M102" s="61"/>
      <c r="N102" s="57"/>
      <c r="O102" s="36"/>
      <c r="P102" s="61"/>
      <c r="Q102" s="66"/>
      <c r="R102" s="15"/>
      <c r="S102" s="15"/>
      <c r="T102" s="15"/>
      <c r="U102" s="36"/>
      <c r="V102" s="36"/>
      <c r="W102" s="63"/>
      <c r="X102" s="14"/>
      <c r="Y102" s="13"/>
      <c r="Z102" s="14"/>
    </row>
    <row r="103" spans="1:26" ht="14.25" customHeight="1" x14ac:dyDescent="0.25">
      <c r="A103" s="14"/>
      <c r="B103" s="14"/>
      <c r="C103" s="14"/>
      <c r="D103" s="36"/>
      <c r="E103" s="64"/>
      <c r="F103" s="36"/>
      <c r="G103" s="36"/>
      <c r="H103" s="36"/>
      <c r="I103" s="36"/>
      <c r="J103" s="36"/>
      <c r="K103" s="61"/>
      <c r="L103" s="57"/>
      <c r="M103" s="61"/>
      <c r="N103" s="57"/>
      <c r="O103" s="36"/>
      <c r="P103" s="61"/>
      <c r="Q103" s="66"/>
      <c r="R103" s="15"/>
      <c r="S103" s="15"/>
      <c r="T103" s="15"/>
      <c r="U103" s="36"/>
      <c r="V103" s="36"/>
      <c r="W103" s="63"/>
      <c r="X103" s="14"/>
      <c r="Y103" s="13"/>
      <c r="Z103" s="14"/>
    </row>
    <row r="104" spans="1:26" ht="14.25" customHeight="1" x14ac:dyDescent="0.25">
      <c r="A104" s="14"/>
      <c r="B104" s="14"/>
      <c r="C104" s="14"/>
      <c r="D104" s="36"/>
      <c r="E104" s="64"/>
      <c r="F104" s="36"/>
      <c r="G104" s="36"/>
      <c r="H104" s="36"/>
      <c r="I104" s="36"/>
      <c r="J104" s="36"/>
      <c r="K104" s="61"/>
      <c r="L104" s="57"/>
      <c r="M104" s="61"/>
      <c r="N104" s="57"/>
      <c r="O104" s="36"/>
      <c r="P104" s="61"/>
      <c r="Q104" s="66"/>
      <c r="R104" s="15"/>
      <c r="S104" s="15"/>
      <c r="T104" s="15"/>
      <c r="U104" s="36"/>
      <c r="V104" s="36"/>
      <c r="W104" s="63"/>
      <c r="X104" s="14"/>
      <c r="Y104" s="13"/>
      <c r="Z104" s="14"/>
    </row>
    <row r="105" spans="1:26" ht="14.25" customHeight="1" x14ac:dyDescent="0.25">
      <c r="A105" s="14"/>
      <c r="B105" s="14"/>
      <c r="C105" s="14"/>
      <c r="D105" s="36"/>
      <c r="E105" s="64"/>
      <c r="F105" s="36"/>
      <c r="G105" s="36"/>
      <c r="H105" s="36"/>
      <c r="I105" s="36"/>
      <c r="J105" s="36"/>
      <c r="K105" s="61"/>
      <c r="L105" s="57"/>
      <c r="M105" s="61"/>
      <c r="N105" s="57"/>
      <c r="O105" s="36"/>
      <c r="P105" s="61"/>
      <c r="Q105" s="66"/>
      <c r="R105" s="15"/>
      <c r="S105" s="15"/>
      <c r="T105" s="15"/>
      <c r="U105" s="36"/>
      <c r="V105" s="36"/>
      <c r="W105" s="63"/>
      <c r="X105" s="14"/>
      <c r="Y105" s="13"/>
      <c r="Z105" s="14"/>
    </row>
    <row r="106" spans="1:26" ht="14.25" customHeight="1" x14ac:dyDescent="0.25">
      <c r="A106" s="14"/>
      <c r="B106" s="14"/>
      <c r="C106" s="14"/>
      <c r="D106" s="36"/>
      <c r="E106" s="64"/>
      <c r="F106" s="36"/>
      <c r="G106" s="36"/>
      <c r="H106" s="36"/>
      <c r="I106" s="36"/>
      <c r="J106" s="36"/>
      <c r="K106" s="61"/>
      <c r="L106" s="57"/>
      <c r="M106" s="61"/>
      <c r="N106" s="57"/>
      <c r="O106" s="36"/>
      <c r="P106" s="61"/>
      <c r="Q106" s="66"/>
      <c r="R106" s="15"/>
      <c r="S106" s="15"/>
      <c r="T106" s="15"/>
      <c r="U106" s="36"/>
      <c r="V106" s="36"/>
      <c r="W106" s="63"/>
      <c r="X106" s="14"/>
      <c r="Y106" s="13"/>
      <c r="Z106" s="14"/>
    </row>
    <row r="107" spans="1:26" ht="14.25" customHeight="1" x14ac:dyDescent="0.25">
      <c r="A107" s="14"/>
      <c r="B107" s="14"/>
      <c r="C107" s="14"/>
      <c r="D107" s="36"/>
      <c r="E107" s="64"/>
      <c r="F107" s="36"/>
      <c r="G107" s="36"/>
      <c r="H107" s="36"/>
      <c r="I107" s="36"/>
      <c r="J107" s="36"/>
      <c r="K107" s="61"/>
      <c r="L107" s="57"/>
      <c r="M107" s="61"/>
      <c r="N107" s="57"/>
      <c r="O107" s="36"/>
      <c r="P107" s="61"/>
      <c r="Q107" s="66"/>
      <c r="R107" s="15"/>
      <c r="S107" s="15"/>
      <c r="T107" s="15"/>
      <c r="U107" s="36"/>
      <c r="V107" s="36"/>
      <c r="W107" s="63"/>
      <c r="X107" s="14"/>
      <c r="Y107" s="13"/>
      <c r="Z107" s="14"/>
    </row>
    <row r="108" spans="1:26" ht="14.25" customHeight="1" x14ac:dyDescent="0.25">
      <c r="A108" s="14"/>
      <c r="B108" s="14"/>
      <c r="C108" s="14"/>
      <c r="D108" s="36"/>
      <c r="E108" s="64"/>
      <c r="F108" s="36"/>
      <c r="G108" s="36"/>
      <c r="H108" s="36"/>
      <c r="I108" s="36"/>
      <c r="J108" s="36"/>
      <c r="K108" s="61"/>
      <c r="L108" s="57"/>
      <c r="M108" s="61"/>
      <c r="N108" s="57"/>
      <c r="O108" s="36"/>
      <c r="P108" s="61"/>
      <c r="Q108" s="66"/>
      <c r="R108" s="15"/>
      <c r="S108" s="15"/>
      <c r="T108" s="15"/>
      <c r="U108" s="36"/>
      <c r="V108" s="36"/>
      <c r="W108" s="63"/>
      <c r="X108" s="14"/>
      <c r="Y108" s="13"/>
      <c r="Z108" s="14"/>
    </row>
    <row r="109" spans="1:26" ht="14.25" customHeight="1" x14ac:dyDescent="0.25">
      <c r="A109" s="14"/>
      <c r="B109" s="14"/>
      <c r="C109" s="14"/>
      <c r="D109" s="36"/>
      <c r="E109" s="64"/>
      <c r="F109" s="36"/>
      <c r="G109" s="36"/>
      <c r="H109" s="36"/>
      <c r="I109" s="36"/>
      <c r="J109" s="36"/>
      <c r="K109" s="61"/>
      <c r="L109" s="57"/>
      <c r="M109" s="61"/>
      <c r="N109" s="57"/>
      <c r="O109" s="36"/>
      <c r="P109" s="61"/>
      <c r="Q109" s="66"/>
      <c r="R109" s="15"/>
      <c r="S109" s="15"/>
      <c r="T109" s="15"/>
      <c r="U109" s="36"/>
      <c r="V109" s="36"/>
      <c r="W109" s="63"/>
      <c r="X109" s="14"/>
      <c r="Y109" s="13"/>
      <c r="Z109" s="14"/>
    </row>
    <row r="110" spans="1:26" ht="14.25" customHeight="1" x14ac:dyDescent="0.25">
      <c r="A110" s="14"/>
      <c r="B110" s="14"/>
      <c r="C110" s="14"/>
      <c r="D110" s="36"/>
      <c r="E110" s="64"/>
      <c r="F110" s="36"/>
      <c r="G110" s="36"/>
      <c r="H110" s="36"/>
      <c r="I110" s="36"/>
      <c r="J110" s="36"/>
      <c r="K110" s="61"/>
      <c r="L110" s="57"/>
      <c r="M110" s="61"/>
      <c r="N110" s="57"/>
      <c r="O110" s="36"/>
      <c r="P110" s="61"/>
      <c r="Q110" s="66"/>
      <c r="R110" s="15"/>
      <c r="S110" s="15"/>
      <c r="T110" s="15"/>
      <c r="U110" s="36"/>
      <c r="V110" s="36"/>
      <c r="W110" s="63"/>
      <c r="X110" s="14"/>
      <c r="Y110" s="13"/>
      <c r="Z110" s="14"/>
    </row>
    <row r="111" spans="1:26" ht="14.25" customHeight="1" x14ac:dyDescent="0.25">
      <c r="A111" s="14"/>
      <c r="B111" s="14"/>
      <c r="C111" s="14"/>
      <c r="D111" s="36"/>
      <c r="E111" s="64"/>
      <c r="F111" s="36"/>
      <c r="G111" s="36"/>
      <c r="H111" s="36"/>
      <c r="I111" s="36"/>
      <c r="J111" s="36"/>
      <c r="K111" s="61"/>
      <c r="L111" s="57"/>
      <c r="M111" s="61"/>
      <c r="N111" s="57"/>
      <c r="O111" s="36"/>
      <c r="P111" s="61"/>
      <c r="Q111" s="66"/>
      <c r="R111" s="15"/>
      <c r="S111" s="15"/>
      <c r="T111" s="15"/>
      <c r="U111" s="36"/>
      <c r="V111" s="36"/>
      <c r="W111" s="63"/>
      <c r="X111" s="14"/>
      <c r="Y111" s="13"/>
      <c r="Z111" s="14"/>
    </row>
    <row r="112" spans="1:26" ht="14.25" customHeight="1" x14ac:dyDescent="0.25">
      <c r="A112" s="14"/>
      <c r="B112" s="14"/>
      <c r="C112" s="14"/>
      <c r="D112" s="36"/>
      <c r="E112" s="64"/>
      <c r="F112" s="36"/>
      <c r="G112" s="36"/>
      <c r="H112" s="36"/>
      <c r="I112" s="36"/>
      <c r="J112" s="36"/>
      <c r="K112" s="61"/>
      <c r="L112" s="57"/>
      <c r="M112" s="61"/>
      <c r="N112" s="57"/>
      <c r="O112" s="36"/>
      <c r="P112" s="61"/>
      <c r="Q112" s="66"/>
      <c r="R112" s="15"/>
      <c r="S112" s="15"/>
      <c r="T112" s="15"/>
      <c r="U112" s="36"/>
      <c r="V112" s="36"/>
      <c r="W112" s="63"/>
      <c r="X112" s="14"/>
      <c r="Y112" s="13"/>
      <c r="Z112" s="14"/>
    </row>
    <row r="113" spans="1:26" ht="14.25" customHeight="1" x14ac:dyDescent="0.25">
      <c r="A113" s="14"/>
      <c r="B113" s="14"/>
      <c r="C113" s="14"/>
      <c r="D113" s="36"/>
      <c r="E113" s="64"/>
      <c r="F113" s="36"/>
      <c r="G113" s="36"/>
      <c r="H113" s="36"/>
      <c r="I113" s="36"/>
      <c r="J113" s="36"/>
      <c r="K113" s="61"/>
      <c r="L113" s="57"/>
      <c r="M113" s="61"/>
      <c r="N113" s="57"/>
      <c r="O113" s="36"/>
      <c r="P113" s="61"/>
      <c r="Q113" s="66"/>
      <c r="R113" s="15"/>
      <c r="S113" s="15"/>
      <c r="T113" s="15"/>
      <c r="U113" s="36"/>
      <c r="V113" s="36"/>
      <c r="W113" s="63"/>
      <c r="X113" s="14"/>
      <c r="Y113" s="13"/>
      <c r="Z113" s="14"/>
    </row>
    <row r="114" spans="1:26" ht="14.25" customHeight="1" x14ac:dyDescent="0.25">
      <c r="A114" s="14"/>
      <c r="B114" s="14"/>
      <c r="C114" s="14"/>
      <c r="D114" s="36"/>
      <c r="E114" s="64"/>
      <c r="F114" s="36"/>
      <c r="G114" s="36"/>
      <c r="H114" s="36"/>
      <c r="I114" s="36"/>
      <c r="J114" s="36"/>
      <c r="K114" s="61"/>
      <c r="L114" s="57"/>
      <c r="M114" s="61"/>
      <c r="N114" s="57"/>
      <c r="O114" s="36"/>
      <c r="P114" s="61"/>
      <c r="Q114" s="66"/>
      <c r="R114" s="15"/>
      <c r="S114" s="15"/>
      <c r="T114" s="15"/>
      <c r="U114" s="36"/>
      <c r="V114" s="36"/>
      <c r="W114" s="63"/>
      <c r="X114" s="14"/>
      <c r="Y114" s="13"/>
      <c r="Z114" s="14"/>
    </row>
    <row r="115" spans="1:26" ht="14.25" customHeight="1" x14ac:dyDescent="0.25">
      <c r="A115" s="14"/>
      <c r="B115" s="14"/>
      <c r="C115" s="14"/>
      <c r="D115" s="36"/>
      <c r="E115" s="64"/>
      <c r="F115" s="36"/>
      <c r="G115" s="36"/>
      <c r="H115" s="36"/>
      <c r="I115" s="36"/>
      <c r="J115" s="36"/>
      <c r="K115" s="61"/>
      <c r="L115" s="57"/>
      <c r="M115" s="61"/>
      <c r="N115" s="57"/>
      <c r="O115" s="36"/>
      <c r="P115" s="61"/>
      <c r="Q115" s="66"/>
      <c r="R115" s="15"/>
      <c r="S115" s="15"/>
      <c r="T115" s="15"/>
      <c r="U115" s="36"/>
      <c r="V115" s="36"/>
      <c r="W115" s="114"/>
      <c r="X115" s="14"/>
      <c r="Y115" s="13"/>
      <c r="Z115" s="14"/>
    </row>
    <row r="116" spans="1:26" ht="14.25" customHeight="1" x14ac:dyDescent="0.25">
      <c r="A116" s="14"/>
      <c r="B116" s="14"/>
      <c r="C116" s="14"/>
      <c r="D116" s="36"/>
      <c r="E116" s="64"/>
      <c r="F116" s="36"/>
      <c r="G116" s="36"/>
      <c r="H116" s="36"/>
      <c r="I116" s="36"/>
      <c r="J116" s="36"/>
      <c r="K116" s="61"/>
      <c r="L116" s="57"/>
      <c r="M116" s="61"/>
      <c r="N116" s="57"/>
      <c r="O116" s="36"/>
      <c r="P116" s="61"/>
      <c r="Q116" s="66"/>
      <c r="R116" s="15"/>
      <c r="S116" s="15"/>
      <c r="T116" s="15"/>
      <c r="U116" s="36"/>
      <c r="V116" s="36"/>
      <c r="W116" s="63"/>
      <c r="X116" s="14"/>
      <c r="Y116" s="13"/>
      <c r="Z116" s="14"/>
    </row>
    <row r="117" spans="1:26" ht="14.25" customHeight="1" x14ac:dyDescent="0.25">
      <c r="A117" s="14"/>
      <c r="B117" s="14"/>
      <c r="C117" s="14"/>
      <c r="D117" s="36"/>
      <c r="E117" s="64"/>
      <c r="F117" s="36"/>
      <c r="G117" s="36"/>
      <c r="H117" s="36"/>
      <c r="I117" s="36"/>
      <c r="J117" s="36"/>
      <c r="K117" s="61"/>
      <c r="L117" s="57"/>
      <c r="M117" s="61"/>
      <c r="N117" s="57"/>
      <c r="O117" s="36"/>
      <c r="P117" s="61"/>
      <c r="Q117" s="66"/>
      <c r="R117" s="15"/>
      <c r="S117" s="15"/>
      <c r="T117" s="15"/>
      <c r="U117" s="36"/>
      <c r="V117" s="36"/>
      <c r="W117" s="63"/>
      <c r="X117" s="14"/>
      <c r="Y117" s="13"/>
      <c r="Z117" s="14"/>
    </row>
    <row r="118" spans="1:26" ht="14.25" customHeight="1" x14ac:dyDescent="0.25">
      <c r="A118" s="14"/>
      <c r="B118" s="14"/>
      <c r="C118" s="14"/>
      <c r="D118" s="36"/>
      <c r="E118" s="64"/>
      <c r="F118" s="36"/>
      <c r="G118" s="36"/>
      <c r="H118" s="36"/>
      <c r="I118" s="36"/>
      <c r="J118" s="36"/>
      <c r="K118" s="61"/>
      <c r="L118" s="57"/>
      <c r="M118" s="61"/>
      <c r="N118" s="57"/>
      <c r="O118" s="36"/>
      <c r="P118" s="61"/>
      <c r="Q118" s="66"/>
      <c r="R118" s="15"/>
      <c r="S118" s="15"/>
      <c r="T118" s="15"/>
      <c r="U118" s="36"/>
      <c r="V118" s="36"/>
      <c r="W118" s="63"/>
      <c r="X118" s="14"/>
      <c r="Y118" s="13"/>
      <c r="Z118" s="14"/>
    </row>
    <row r="119" spans="1:26" ht="14.25" customHeight="1" x14ac:dyDescent="0.25">
      <c r="A119" s="14"/>
      <c r="B119" s="14"/>
      <c r="C119" s="14"/>
      <c r="D119" s="36"/>
      <c r="E119" s="64"/>
      <c r="F119" s="36"/>
      <c r="G119" s="36"/>
      <c r="H119" s="36"/>
      <c r="I119" s="36"/>
      <c r="J119" s="36"/>
      <c r="K119" s="61"/>
      <c r="L119" s="57"/>
      <c r="M119" s="61"/>
      <c r="N119" s="57"/>
      <c r="O119" s="36"/>
      <c r="P119" s="61"/>
      <c r="Q119" s="66"/>
      <c r="R119" s="15"/>
      <c r="S119" s="15"/>
      <c r="T119" s="15"/>
      <c r="U119" s="36"/>
      <c r="V119" s="36"/>
      <c r="W119" s="63"/>
      <c r="X119" s="14"/>
      <c r="Y119" s="13"/>
      <c r="Z119" s="14"/>
    </row>
    <row r="120" spans="1:26" ht="14.25" customHeight="1" x14ac:dyDescent="0.25">
      <c r="A120" s="14"/>
      <c r="B120" s="14"/>
      <c r="C120" s="14"/>
      <c r="D120" s="36"/>
      <c r="E120" s="64"/>
      <c r="F120" s="36"/>
      <c r="G120" s="36"/>
      <c r="H120" s="36"/>
      <c r="I120" s="36"/>
      <c r="J120" s="36"/>
      <c r="K120" s="61"/>
      <c r="L120" s="57"/>
      <c r="M120" s="61"/>
      <c r="N120" s="57"/>
      <c r="O120" s="36"/>
      <c r="P120" s="61"/>
      <c r="Q120" s="66"/>
      <c r="R120" s="15"/>
      <c r="S120" s="15"/>
      <c r="T120" s="15"/>
      <c r="U120" s="36"/>
      <c r="V120" s="36"/>
      <c r="W120" s="63"/>
      <c r="X120" s="14"/>
      <c r="Y120" s="13"/>
      <c r="Z120" s="14"/>
    </row>
    <row r="121" spans="1:26" ht="14.25" customHeight="1" x14ac:dyDescent="0.25">
      <c r="A121" s="14"/>
      <c r="B121" s="14"/>
      <c r="C121" s="14"/>
      <c r="D121" s="36"/>
      <c r="E121" s="64"/>
      <c r="F121" s="36"/>
      <c r="G121" s="36"/>
      <c r="H121" s="36"/>
      <c r="I121" s="36"/>
      <c r="J121" s="36"/>
      <c r="K121" s="61"/>
      <c r="L121" s="57"/>
      <c r="M121" s="61"/>
      <c r="N121" s="57"/>
      <c r="O121" s="36"/>
      <c r="P121" s="61"/>
      <c r="Q121" s="66"/>
      <c r="R121" s="15"/>
      <c r="S121" s="15"/>
      <c r="T121" s="15"/>
      <c r="U121" s="36"/>
      <c r="V121" s="36"/>
      <c r="W121" s="63"/>
      <c r="X121" s="14"/>
      <c r="Y121" s="13"/>
      <c r="Z121" s="14"/>
    </row>
    <row r="122" spans="1:26" ht="14.25" customHeight="1" x14ac:dyDescent="0.25">
      <c r="A122" s="14"/>
      <c r="B122" s="14"/>
      <c r="C122" s="14"/>
      <c r="D122" s="36"/>
      <c r="E122" s="64"/>
      <c r="F122" s="36"/>
      <c r="G122" s="36"/>
      <c r="H122" s="36"/>
      <c r="I122" s="36"/>
      <c r="J122" s="36"/>
      <c r="K122" s="61"/>
      <c r="L122" s="57"/>
      <c r="M122" s="61"/>
      <c r="N122" s="57"/>
      <c r="O122" s="36"/>
      <c r="P122" s="61"/>
      <c r="Q122" s="66"/>
      <c r="R122" s="15"/>
      <c r="S122" s="15"/>
      <c r="T122" s="15"/>
      <c r="U122" s="36"/>
      <c r="V122" s="36"/>
      <c r="W122" s="63"/>
      <c r="X122" s="14"/>
      <c r="Y122" s="13"/>
      <c r="Z122" s="14"/>
    </row>
    <row r="123" spans="1:26" ht="14.25" customHeight="1" x14ac:dyDescent="0.25">
      <c r="A123" s="14"/>
      <c r="B123" s="14"/>
      <c r="C123" s="14"/>
      <c r="D123" s="36"/>
      <c r="E123" s="64"/>
      <c r="F123" s="36"/>
      <c r="G123" s="36"/>
      <c r="H123" s="36"/>
      <c r="I123" s="36"/>
      <c r="J123" s="36"/>
      <c r="K123" s="61"/>
      <c r="L123" s="57"/>
      <c r="M123" s="61"/>
      <c r="N123" s="57"/>
      <c r="O123" s="36"/>
      <c r="P123" s="61"/>
      <c r="Q123" s="66"/>
      <c r="R123" s="15"/>
      <c r="S123" s="15"/>
      <c r="T123" s="15"/>
      <c r="U123" s="36"/>
      <c r="V123" s="36"/>
      <c r="W123" s="63"/>
      <c r="X123" s="14"/>
      <c r="Y123" s="13"/>
      <c r="Z123" s="14"/>
    </row>
    <row r="124" spans="1:26" ht="14.25" customHeight="1" x14ac:dyDescent="0.25">
      <c r="A124" s="14"/>
      <c r="B124" s="14"/>
      <c r="C124" s="14"/>
      <c r="D124" s="36"/>
      <c r="E124" s="64"/>
      <c r="F124" s="36"/>
      <c r="G124" s="36"/>
      <c r="H124" s="36"/>
      <c r="I124" s="36"/>
      <c r="J124" s="36"/>
      <c r="K124" s="61"/>
      <c r="L124" s="57"/>
      <c r="M124" s="61"/>
      <c r="N124" s="57"/>
      <c r="O124" s="36"/>
      <c r="P124" s="61"/>
      <c r="Q124" s="66"/>
      <c r="R124" s="15"/>
      <c r="S124" s="15"/>
      <c r="T124" s="15"/>
      <c r="U124" s="36"/>
      <c r="V124" s="36"/>
      <c r="W124" s="63"/>
      <c r="X124" s="14"/>
      <c r="Y124" s="13"/>
      <c r="Z124" s="14"/>
    </row>
    <row r="125" spans="1:26" ht="14.25" customHeight="1" x14ac:dyDescent="0.25">
      <c r="A125" s="14"/>
      <c r="B125" s="14"/>
      <c r="C125" s="14"/>
      <c r="D125" s="15"/>
      <c r="E125" s="147"/>
      <c r="F125" s="17"/>
      <c r="G125" s="17"/>
      <c r="H125" s="17"/>
      <c r="I125" s="17"/>
      <c r="J125" s="15"/>
      <c r="K125" s="27"/>
      <c r="L125" s="111"/>
      <c r="M125" s="61"/>
      <c r="N125" s="57"/>
      <c r="O125" s="36"/>
      <c r="P125" s="61"/>
      <c r="Q125" s="66"/>
      <c r="R125" s="15"/>
      <c r="S125" s="15"/>
      <c r="T125" s="15"/>
      <c r="U125" s="15"/>
      <c r="V125" s="15"/>
      <c r="W125" s="15"/>
      <c r="X125" s="14"/>
      <c r="Y125" s="13"/>
      <c r="Z125" s="14"/>
    </row>
    <row r="126" spans="1:26" ht="14.25" customHeight="1" x14ac:dyDescent="0.25">
      <c r="A126" s="14"/>
      <c r="B126" s="14"/>
      <c r="C126" s="14"/>
      <c r="D126" s="36"/>
      <c r="E126" s="64"/>
      <c r="F126" s="36"/>
      <c r="G126" s="36"/>
      <c r="H126" s="36"/>
      <c r="I126" s="36"/>
      <c r="J126" s="36"/>
      <c r="K126" s="61"/>
      <c r="L126" s="111"/>
      <c r="M126" s="61"/>
      <c r="N126" s="57"/>
      <c r="O126" s="36"/>
      <c r="P126" s="61"/>
      <c r="Q126" s="66"/>
      <c r="R126" s="15"/>
      <c r="S126" s="15"/>
      <c r="T126" s="15"/>
      <c r="U126" s="36"/>
      <c r="V126" s="36"/>
      <c r="W126" s="63"/>
      <c r="X126" s="14"/>
      <c r="Y126" s="13"/>
      <c r="Z126" s="14"/>
    </row>
    <row r="127" spans="1:26" ht="14.25" customHeight="1" x14ac:dyDescent="0.25">
      <c r="A127" s="14"/>
      <c r="B127" s="14"/>
      <c r="C127" s="14"/>
      <c r="D127" s="36"/>
      <c r="E127" s="64"/>
      <c r="F127" s="36"/>
      <c r="G127" s="36"/>
      <c r="H127" s="36"/>
      <c r="I127" s="36"/>
      <c r="J127" s="36"/>
      <c r="K127" s="61"/>
      <c r="L127" s="57"/>
      <c r="M127" s="61"/>
      <c r="N127" s="57"/>
      <c r="O127" s="36"/>
      <c r="P127" s="61"/>
      <c r="Q127" s="66"/>
      <c r="R127" s="15"/>
      <c r="S127" s="15"/>
      <c r="T127" s="15"/>
      <c r="U127" s="36"/>
      <c r="V127" s="36"/>
      <c r="W127" s="63"/>
      <c r="X127" s="14"/>
      <c r="Y127" s="13"/>
      <c r="Z127" s="14"/>
    </row>
    <row r="128" spans="1:26" ht="14.25" customHeight="1" x14ac:dyDescent="0.25">
      <c r="A128" s="14"/>
      <c r="B128" s="14"/>
      <c r="C128" s="14"/>
      <c r="D128" s="36"/>
      <c r="E128" s="64"/>
      <c r="F128" s="36"/>
      <c r="G128" s="36"/>
      <c r="H128" s="36"/>
      <c r="I128" s="36"/>
      <c r="J128" s="36"/>
      <c r="K128" s="61"/>
      <c r="L128" s="57"/>
      <c r="M128" s="61"/>
      <c r="N128" s="57"/>
      <c r="O128" s="36"/>
      <c r="P128" s="61"/>
      <c r="Q128" s="66"/>
      <c r="R128" s="15"/>
      <c r="S128" s="15"/>
      <c r="T128" s="15"/>
      <c r="U128" s="36"/>
      <c r="V128" s="36"/>
      <c r="W128" s="63"/>
      <c r="X128" s="14"/>
      <c r="Y128" s="13"/>
      <c r="Z128" s="14"/>
    </row>
    <row r="129" spans="1:26" ht="14.25" customHeight="1" x14ac:dyDescent="0.25">
      <c r="A129" s="14"/>
      <c r="B129" s="14"/>
      <c r="C129" s="14"/>
      <c r="D129" s="36"/>
      <c r="E129" s="64"/>
      <c r="F129" s="36"/>
      <c r="G129" s="36"/>
      <c r="H129" s="36"/>
      <c r="I129" s="36"/>
      <c r="J129" s="36"/>
      <c r="K129" s="61"/>
      <c r="L129" s="57"/>
      <c r="M129" s="61"/>
      <c r="N129" s="57"/>
      <c r="O129" s="36"/>
      <c r="P129" s="61"/>
      <c r="Q129" s="66"/>
      <c r="R129" s="15"/>
      <c r="S129" s="15"/>
      <c r="T129" s="15"/>
      <c r="U129" s="36"/>
      <c r="V129" s="36"/>
      <c r="W129" s="63"/>
      <c r="X129" s="14"/>
      <c r="Y129" s="13"/>
      <c r="Z129" s="14"/>
    </row>
    <row r="130" spans="1:26" ht="14.25" customHeight="1" x14ac:dyDescent="0.25">
      <c r="A130" s="14"/>
      <c r="B130" s="14"/>
      <c r="C130" s="14"/>
      <c r="D130" s="36"/>
      <c r="E130" s="64"/>
      <c r="F130" s="36"/>
      <c r="G130" s="36"/>
      <c r="H130" s="36"/>
      <c r="I130" s="36"/>
      <c r="J130" s="36"/>
      <c r="K130" s="61"/>
      <c r="L130" s="57"/>
      <c r="M130" s="61"/>
      <c r="N130" s="57"/>
      <c r="O130" s="36"/>
      <c r="P130" s="61"/>
      <c r="Q130" s="66"/>
      <c r="R130" s="15"/>
      <c r="S130" s="15"/>
      <c r="T130" s="15"/>
      <c r="U130" s="36"/>
      <c r="V130" s="36"/>
      <c r="W130" s="63"/>
      <c r="X130" s="14"/>
      <c r="Y130" s="13"/>
      <c r="Z130" s="14"/>
    </row>
    <row r="131" spans="1:26" ht="14.25" customHeight="1" x14ac:dyDescent="0.25">
      <c r="A131" s="14"/>
      <c r="B131" s="14"/>
      <c r="C131" s="14"/>
      <c r="D131" s="36"/>
      <c r="E131" s="64"/>
      <c r="F131" s="36"/>
      <c r="G131" s="36"/>
      <c r="H131" s="36"/>
      <c r="I131" s="36"/>
      <c r="J131" s="36"/>
      <c r="K131" s="61"/>
      <c r="L131" s="57"/>
      <c r="M131" s="61"/>
      <c r="N131" s="57"/>
      <c r="O131" s="36"/>
      <c r="P131" s="61"/>
      <c r="Q131" s="66"/>
      <c r="R131" s="15"/>
      <c r="S131" s="15"/>
      <c r="T131" s="15"/>
      <c r="U131" s="36"/>
      <c r="V131" s="36"/>
      <c r="W131" s="63"/>
      <c r="X131" s="14"/>
      <c r="Y131" s="13"/>
      <c r="Z131" s="14"/>
    </row>
    <row r="132" spans="1:26" ht="14.25" customHeight="1" x14ac:dyDescent="0.25">
      <c r="A132" s="14"/>
      <c r="B132" s="14"/>
      <c r="C132" s="14"/>
      <c r="D132" s="36"/>
      <c r="E132" s="64"/>
      <c r="F132" s="36"/>
      <c r="G132" s="36"/>
      <c r="H132" s="36"/>
      <c r="I132" s="36"/>
      <c r="J132" s="36"/>
      <c r="K132" s="61"/>
      <c r="L132" s="57"/>
      <c r="M132" s="61"/>
      <c r="N132" s="57"/>
      <c r="O132" s="36"/>
      <c r="P132" s="61"/>
      <c r="Q132" s="66"/>
      <c r="R132" s="15"/>
      <c r="S132" s="15"/>
      <c r="T132" s="15"/>
      <c r="U132" s="36"/>
      <c r="V132" s="36"/>
      <c r="W132" s="63"/>
      <c r="X132" s="14"/>
      <c r="Y132" s="13"/>
      <c r="Z132" s="14"/>
    </row>
    <row r="133" spans="1:26" ht="14.25" customHeight="1" x14ac:dyDescent="0.25">
      <c r="A133" s="14"/>
      <c r="B133" s="14"/>
      <c r="C133" s="14"/>
      <c r="D133" s="36"/>
      <c r="E133" s="64"/>
      <c r="F133" s="36"/>
      <c r="G133" s="36"/>
      <c r="H133" s="36"/>
      <c r="I133" s="36"/>
      <c r="J133" s="36"/>
      <c r="K133" s="61"/>
      <c r="L133" s="57"/>
      <c r="M133" s="61"/>
      <c r="N133" s="57"/>
      <c r="O133" s="36"/>
      <c r="P133" s="61"/>
      <c r="Q133" s="66"/>
      <c r="R133" s="15"/>
      <c r="S133" s="15"/>
      <c r="T133" s="15"/>
      <c r="U133" s="36"/>
      <c r="V133" s="36"/>
      <c r="W133" s="63"/>
      <c r="X133" s="14"/>
      <c r="Y133" s="13"/>
      <c r="Z133" s="14"/>
    </row>
    <row r="134" spans="1:26" ht="14.25" customHeight="1" x14ac:dyDescent="0.25">
      <c r="A134" s="14"/>
      <c r="B134" s="14"/>
      <c r="C134" s="14"/>
      <c r="D134" s="36"/>
      <c r="E134" s="64"/>
      <c r="F134" s="36"/>
      <c r="G134" s="36"/>
      <c r="H134" s="36"/>
      <c r="I134" s="36"/>
      <c r="J134" s="36"/>
      <c r="K134" s="61"/>
      <c r="L134" s="57"/>
      <c r="M134" s="61"/>
      <c r="N134" s="57"/>
      <c r="O134" s="36"/>
      <c r="P134" s="61"/>
      <c r="Q134" s="66"/>
      <c r="R134" s="15"/>
      <c r="S134" s="15"/>
      <c r="T134" s="15"/>
      <c r="U134" s="36"/>
      <c r="V134" s="36"/>
      <c r="W134" s="63"/>
      <c r="X134" s="14"/>
      <c r="Y134" s="13"/>
      <c r="Z134" s="14"/>
    </row>
    <row r="135" spans="1:26" ht="14.25" customHeight="1" x14ac:dyDescent="0.25">
      <c r="A135" s="14"/>
      <c r="B135" s="14"/>
      <c r="C135" s="14"/>
      <c r="D135" s="36"/>
      <c r="E135" s="64"/>
      <c r="F135" s="36"/>
      <c r="G135" s="36"/>
      <c r="H135" s="36"/>
      <c r="I135" s="36"/>
      <c r="J135" s="36"/>
      <c r="K135" s="61"/>
      <c r="L135" s="57"/>
      <c r="M135" s="61"/>
      <c r="N135" s="57"/>
      <c r="O135" s="36"/>
      <c r="P135" s="61"/>
      <c r="Q135" s="66"/>
      <c r="R135" s="15"/>
      <c r="S135" s="15"/>
      <c r="T135" s="15"/>
      <c r="U135" s="36"/>
      <c r="V135" s="36"/>
      <c r="W135" s="63"/>
      <c r="X135" s="14"/>
      <c r="Y135" s="13"/>
      <c r="Z135" s="14"/>
    </row>
    <row r="136" spans="1:26" ht="14.25" customHeight="1" x14ac:dyDescent="0.25">
      <c r="A136" s="14"/>
      <c r="B136" s="14"/>
      <c r="C136" s="14"/>
      <c r="D136" s="36"/>
      <c r="E136" s="64"/>
      <c r="F136" s="36"/>
      <c r="G136" s="36"/>
      <c r="H136" s="36"/>
      <c r="I136" s="36"/>
      <c r="J136" s="36"/>
      <c r="K136" s="61"/>
      <c r="L136" s="57"/>
      <c r="M136" s="61"/>
      <c r="N136" s="57"/>
      <c r="O136" s="36"/>
      <c r="P136" s="61"/>
      <c r="Q136" s="66"/>
      <c r="R136" s="15"/>
      <c r="S136" s="15"/>
      <c r="T136" s="15"/>
      <c r="U136" s="36"/>
      <c r="V136" s="36"/>
      <c r="W136" s="63"/>
      <c r="X136" s="14"/>
      <c r="Y136" s="13"/>
      <c r="Z136" s="14"/>
    </row>
    <row r="137" spans="1:26" ht="14.25" customHeight="1" x14ac:dyDescent="0.25">
      <c r="A137" s="14"/>
      <c r="B137" s="14"/>
      <c r="C137" s="14"/>
      <c r="D137" s="36"/>
      <c r="E137" s="64"/>
      <c r="F137" s="36"/>
      <c r="G137" s="36"/>
      <c r="H137" s="36"/>
      <c r="I137" s="36"/>
      <c r="J137" s="36"/>
      <c r="K137" s="61"/>
      <c r="L137" s="57"/>
      <c r="M137" s="61"/>
      <c r="N137" s="57"/>
      <c r="O137" s="36"/>
      <c r="P137" s="61"/>
      <c r="Q137" s="66"/>
      <c r="R137" s="15"/>
      <c r="S137" s="15"/>
      <c r="T137" s="15"/>
      <c r="U137" s="36"/>
      <c r="V137" s="36"/>
      <c r="W137" s="63"/>
      <c r="X137" s="14"/>
      <c r="Y137" s="13"/>
      <c r="Z137" s="14"/>
    </row>
    <row r="138" spans="1:26" ht="14.25" customHeight="1" x14ac:dyDescent="0.25">
      <c r="A138" s="14"/>
      <c r="B138" s="14"/>
      <c r="C138" s="14"/>
      <c r="D138" s="36"/>
      <c r="E138" s="64"/>
      <c r="F138" s="36"/>
      <c r="G138" s="36"/>
      <c r="H138" s="36"/>
      <c r="I138" s="36"/>
      <c r="J138" s="36"/>
      <c r="K138" s="61"/>
      <c r="L138" s="57"/>
      <c r="M138" s="61"/>
      <c r="N138" s="57"/>
      <c r="O138" s="36"/>
      <c r="P138" s="61"/>
      <c r="Q138" s="66"/>
      <c r="R138" s="15"/>
      <c r="S138" s="15"/>
      <c r="T138" s="15"/>
      <c r="U138" s="36"/>
      <c r="V138" s="36"/>
      <c r="W138" s="63"/>
      <c r="X138" s="14"/>
      <c r="Y138" s="13"/>
      <c r="Z138" s="14"/>
    </row>
    <row r="139" spans="1:26" ht="14.25" customHeight="1" x14ac:dyDescent="0.25">
      <c r="A139" s="14"/>
      <c r="B139" s="14"/>
      <c r="C139" s="14"/>
      <c r="D139" s="36"/>
      <c r="E139" s="64"/>
      <c r="F139" s="36"/>
      <c r="G139" s="36"/>
      <c r="H139" s="36"/>
      <c r="I139" s="36"/>
      <c r="J139" s="36"/>
      <c r="K139" s="61"/>
      <c r="L139" s="57"/>
      <c r="M139" s="61"/>
      <c r="N139" s="57"/>
      <c r="O139" s="36"/>
      <c r="P139" s="61"/>
      <c r="Q139" s="66"/>
      <c r="R139" s="15"/>
      <c r="S139" s="15"/>
      <c r="T139" s="15"/>
      <c r="U139" s="36"/>
      <c r="V139" s="36"/>
      <c r="W139" s="63"/>
      <c r="X139" s="14"/>
      <c r="Y139" s="13"/>
      <c r="Z139" s="14"/>
    </row>
    <row r="140" spans="1:26" ht="14.25" customHeight="1" x14ac:dyDescent="0.25">
      <c r="A140" s="14"/>
      <c r="B140" s="14"/>
      <c r="C140" s="14"/>
      <c r="D140" s="36"/>
      <c r="E140" s="64"/>
      <c r="F140" s="36"/>
      <c r="G140" s="36"/>
      <c r="H140" s="36"/>
      <c r="I140" s="36"/>
      <c r="J140" s="36"/>
      <c r="K140" s="61"/>
      <c r="L140" s="57"/>
      <c r="M140" s="61"/>
      <c r="N140" s="57"/>
      <c r="O140" s="36"/>
      <c r="P140" s="61"/>
      <c r="Q140" s="66"/>
      <c r="R140" s="15"/>
      <c r="S140" s="15"/>
      <c r="T140" s="15"/>
      <c r="U140" s="36"/>
      <c r="V140" s="36"/>
      <c r="W140" s="63"/>
      <c r="X140" s="14"/>
      <c r="Y140" s="13"/>
      <c r="Z140" s="14"/>
    </row>
    <row r="141" spans="1:26" ht="14.25" customHeight="1" x14ac:dyDescent="0.25">
      <c r="A141" s="14"/>
      <c r="B141" s="14"/>
      <c r="C141" s="14"/>
      <c r="D141" s="36"/>
      <c r="E141" s="64"/>
      <c r="F141" s="36"/>
      <c r="G141" s="36"/>
      <c r="H141" s="36"/>
      <c r="I141" s="36"/>
      <c r="J141" s="36"/>
      <c r="K141" s="61"/>
      <c r="L141" s="57"/>
      <c r="M141" s="61"/>
      <c r="N141" s="57"/>
      <c r="O141" s="36"/>
      <c r="P141" s="61"/>
      <c r="Q141" s="66"/>
      <c r="R141" s="15"/>
      <c r="S141" s="15"/>
      <c r="T141" s="15"/>
      <c r="U141" s="36"/>
      <c r="V141" s="36"/>
      <c r="W141" s="63"/>
      <c r="X141" s="14"/>
      <c r="Y141" s="13"/>
      <c r="Z141" s="14"/>
    </row>
    <row r="142" spans="1:26" ht="14.25" customHeight="1" x14ac:dyDescent="0.25">
      <c r="A142" s="14"/>
      <c r="B142" s="14"/>
      <c r="C142" s="14"/>
      <c r="D142" s="36"/>
      <c r="E142" s="64"/>
      <c r="F142" s="36"/>
      <c r="G142" s="36"/>
      <c r="H142" s="36"/>
      <c r="I142" s="36"/>
      <c r="J142" s="36"/>
      <c r="K142" s="61"/>
      <c r="L142" s="57"/>
      <c r="M142" s="61"/>
      <c r="N142" s="57"/>
      <c r="O142" s="36"/>
      <c r="P142" s="61"/>
      <c r="Q142" s="66"/>
      <c r="R142" s="15"/>
      <c r="S142" s="15"/>
      <c r="T142" s="15"/>
      <c r="U142" s="36"/>
      <c r="V142" s="36"/>
      <c r="W142" s="63"/>
      <c r="X142" s="14"/>
      <c r="Y142" s="13"/>
      <c r="Z142" s="14"/>
    </row>
    <row r="143" spans="1:26" ht="14.25" customHeight="1" x14ac:dyDescent="0.25">
      <c r="A143" s="14"/>
      <c r="B143" s="14"/>
      <c r="C143" s="14"/>
      <c r="D143" s="36"/>
      <c r="E143" s="64"/>
      <c r="F143" s="36"/>
      <c r="G143" s="36"/>
      <c r="H143" s="36"/>
      <c r="I143" s="36"/>
      <c r="J143" s="36"/>
      <c r="K143" s="61"/>
      <c r="L143" s="57"/>
      <c r="M143" s="61"/>
      <c r="N143" s="57"/>
      <c r="O143" s="36"/>
      <c r="P143" s="61"/>
      <c r="Q143" s="66"/>
      <c r="R143" s="15"/>
      <c r="S143" s="15"/>
      <c r="T143" s="15"/>
      <c r="U143" s="36"/>
      <c r="V143" s="36"/>
      <c r="W143" s="63"/>
      <c r="X143" s="14"/>
      <c r="Y143" s="13"/>
      <c r="Z143" s="14"/>
    </row>
    <row r="144" spans="1:26" ht="14.25" customHeight="1" x14ac:dyDescent="0.25">
      <c r="A144" s="14"/>
      <c r="B144" s="14"/>
      <c r="C144" s="14"/>
      <c r="D144" s="36"/>
      <c r="E144" s="64"/>
      <c r="F144" s="36"/>
      <c r="G144" s="36"/>
      <c r="H144" s="36"/>
      <c r="I144" s="36"/>
      <c r="J144" s="36"/>
      <c r="K144" s="61"/>
      <c r="L144" s="57"/>
      <c r="M144" s="61"/>
      <c r="N144" s="57"/>
      <c r="O144" s="36"/>
      <c r="P144" s="61"/>
      <c r="Q144" s="66"/>
      <c r="R144" s="15"/>
      <c r="S144" s="15"/>
      <c r="T144" s="15"/>
      <c r="U144" s="36"/>
      <c r="V144" s="36"/>
      <c r="W144" s="63"/>
      <c r="X144" s="14"/>
      <c r="Y144" s="13"/>
      <c r="Z144" s="14"/>
    </row>
    <row r="145" spans="1:26" ht="14.25" customHeight="1" x14ac:dyDescent="0.25">
      <c r="A145" s="14"/>
      <c r="B145" s="14"/>
      <c r="C145" s="14"/>
      <c r="D145" s="36"/>
      <c r="E145" s="64"/>
      <c r="F145" s="36"/>
      <c r="G145" s="36"/>
      <c r="H145" s="36"/>
      <c r="I145" s="36"/>
      <c r="J145" s="36"/>
      <c r="K145" s="61"/>
      <c r="L145" s="57"/>
      <c r="M145" s="61"/>
      <c r="N145" s="57"/>
      <c r="O145" s="36"/>
      <c r="P145" s="61"/>
      <c r="Q145" s="66"/>
      <c r="R145" s="15"/>
      <c r="S145" s="15"/>
      <c r="T145" s="15"/>
      <c r="U145" s="36"/>
      <c r="V145" s="36"/>
      <c r="W145" s="63"/>
      <c r="X145" s="14"/>
      <c r="Y145" s="13"/>
      <c r="Z145" s="14"/>
    </row>
    <row r="146" spans="1:26" ht="14.25" customHeight="1" x14ac:dyDescent="0.25">
      <c r="A146" s="14"/>
      <c r="B146" s="14"/>
      <c r="C146" s="14"/>
      <c r="D146" s="36"/>
      <c r="E146" s="64"/>
      <c r="F146" s="36"/>
      <c r="G146" s="36"/>
      <c r="H146" s="36"/>
      <c r="I146" s="36"/>
      <c r="J146" s="36"/>
      <c r="K146" s="61"/>
      <c r="L146" s="57"/>
      <c r="M146" s="61"/>
      <c r="N146" s="57"/>
      <c r="O146" s="36"/>
      <c r="P146" s="61"/>
      <c r="Q146" s="66"/>
      <c r="R146" s="15"/>
      <c r="S146" s="15"/>
      <c r="T146" s="15"/>
      <c r="U146" s="36"/>
      <c r="V146" s="36"/>
      <c r="W146" s="63"/>
      <c r="X146" s="14"/>
      <c r="Y146" s="13"/>
      <c r="Z146" s="14"/>
    </row>
    <row r="147" spans="1:26" ht="14.25" customHeight="1" x14ac:dyDescent="0.25">
      <c r="A147" s="14"/>
      <c r="B147" s="14"/>
      <c r="C147" s="14"/>
      <c r="D147" s="36"/>
      <c r="E147" s="64"/>
      <c r="F147" s="36"/>
      <c r="G147" s="36"/>
      <c r="H147" s="36"/>
      <c r="I147" s="36"/>
      <c r="J147" s="36"/>
      <c r="K147" s="61"/>
      <c r="L147" s="57"/>
      <c r="M147" s="61"/>
      <c r="N147" s="57"/>
      <c r="O147" s="36"/>
      <c r="P147" s="61"/>
      <c r="Q147" s="66"/>
      <c r="R147" s="15"/>
      <c r="S147" s="15"/>
      <c r="T147" s="15"/>
      <c r="U147" s="36"/>
      <c r="V147" s="36"/>
      <c r="W147" s="63"/>
      <c r="X147" s="14"/>
      <c r="Y147" s="13"/>
      <c r="Z147" s="14"/>
    </row>
    <row r="148" spans="1:26" ht="14.25" customHeight="1" x14ac:dyDescent="0.25">
      <c r="A148" s="14"/>
      <c r="B148" s="14"/>
      <c r="C148" s="14"/>
      <c r="D148" s="36"/>
      <c r="E148" s="64"/>
      <c r="F148" s="36"/>
      <c r="G148" s="36"/>
      <c r="H148" s="36"/>
      <c r="I148" s="36"/>
      <c r="J148" s="36"/>
      <c r="K148" s="61"/>
      <c r="L148" s="57"/>
      <c r="M148" s="61"/>
      <c r="N148" s="57"/>
      <c r="O148" s="36"/>
      <c r="P148" s="61"/>
      <c r="Q148" s="66"/>
      <c r="R148" s="15"/>
      <c r="S148" s="15"/>
      <c r="T148" s="15"/>
      <c r="U148" s="36"/>
      <c r="V148" s="36"/>
      <c r="W148" s="63"/>
      <c r="X148" s="14"/>
      <c r="Y148" s="13"/>
      <c r="Z148" s="14"/>
    </row>
    <row r="149" spans="1:26" ht="14.25" customHeight="1" x14ac:dyDescent="0.25">
      <c r="A149" s="14"/>
      <c r="B149" s="14"/>
      <c r="C149" s="14"/>
      <c r="D149" s="36"/>
      <c r="E149" s="64"/>
      <c r="F149" s="36"/>
      <c r="G149" s="36"/>
      <c r="H149" s="36"/>
      <c r="I149" s="36"/>
      <c r="J149" s="36"/>
      <c r="K149" s="61"/>
      <c r="L149" s="57"/>
      <c r="M149" s="61"/>
      <c r="N149" s="57"/>
      <c r="O149" s="36"/>
      <c r="P149" s="61"/>
      <c r="Q149" s="66"/>
      <c r="R149" s="15"/>
      <c r="S149" s="15"/>
      <c r="T149" s="15"/>
      <c r="U149" s="36"/>
      <c r="V149" s="36"/>
      <c r="W149" s="63"/>
      <c r="X149" s="14"/>
      <c r="Y149" s="13"/>
      <c r="Z149" s="14"/>
    </row>
    <row r="150" spans="1:26" ht="14.25" customHeight="1" x14ac:dyDescent="0.25">
      <c r="A150" s="14"/>
      <c r="B150" s="14"/>
      <c r="C150" s="14"/>
      <c r="D150" s="36"/>
      <c r="E150" s="64"/>
      <c r="F150" s="36"/>
      <c r="G150" s="36"/>
      <c r="H150" s="36"/>
      <c r="I150" s="36"/>
      <c r="J150" s="36"/>
      <c r="K150" s="61"/>
      <c r="L150" s="57"/>
      <c r="M150" s="61"/>
      <c r="N150" s="57"/>
      <c r="O150" s="36"/>
      <c r="P150" s="61"/>
      <c r="Q150" s="66"/>
      <c r="R150" s="15"/>
      <c r="S150" s="15"/>
      <c r="T150" s="15"/>
      <c r="U150" s="36"/>
      <c r="V150" s="36"/>
      <c r="W150" s="114"/>
      <c r="X150" s="14"/>
      <c r="Y150" s="13"/>
      <c r="Z150" s="14"/>
    </row>
    <row r="151" spans="1:26" ht="14.25" customHeight="1" x14ac:dyDescent="0.25">
      <c r="A151" s="14"/>
      <c r="B151" s="14"/>
      <c r="C151" s="14"/>
      <c r="D151" s="36"/>
      <c r="E151" s="64"/>
      <c r="F151" s="36"/>
      <c r="G151" s="36"/>
      <c r="H151" s="36"/>
      <c r="I151" s="36"/>
      <c r="J151" s="36"/>
      <c r="K151" s="61"/>
      <c r="L151" s="57"/>
      <c r="M151" s="61"/>
      <c r="N151" s="57"/>
      <c r="O151" s="36"/>
      <c r="P151" s="61"/>
      <c r="Q151" s="66"/>
      <c r="R151" s="15"/>
      <c r="S151" s="15"/>
      <c r="T151" s="15"/>
      <c r="U151" s="36"/>
      <c r="V151" s="36"/>
      <c r="W151" s="63"/>
      <c r="X151" s="14"/>
      <c r="Y151" s="13"/>
      <c r="Z151" s="14"/>
    </row>
    <row r="152" spans="1:26" ht="14.25" customHeight="1" x14ac:dyDescent="0.25">
      <c r="A152" s="14"/>
      <c r="B152" s="14"/>
      <c r="C152" s="14"/>
      <c r="D152" s="36"/>
      <c r="E152" s="64"/>
      <c r="F152" s="36"/>
      <c r="G152" s="36"/>
      <c r="H152" s="36"/>
      <c r="I152" s="36"/>
      <c r="J152" s="36"/>
      <c r="K152" s="61"/>
      <c r="L152" s="57"/>
      <c r="M152" s="61"/>
      <c r="N152" s="57"/>
      <c r="O152" s="36"/>
      <c r="P152" s="61"/>
      <c r="Q152" s="66"/>
      <c r="R152" s="15"/>
      <c r="S152" s="15"/>
      <c r="T152" s="15"/>
      <c r="U152" s="36"/>
      <c r="V152" s="36"/>
      <c r="W152" s="63"/>
      <c r="X152" s="14"/>
      <c r="Y152" s="13"/>
      <c r="Z152" s="14"/>
    </row>
    <row r="153" spans="1:26" ht="14.25" customHeight="1" x14ac:dyDescent="0.25">
      <c r="A153" s="14"/>
      <c r="B153" s="14"/>
      <c r="C153" s="14"/>
      <c r="D153" s="36"/>
      <c r="E153" s="64"/>
      <c r="F153" s="36"/>
      <c r="G153" s="36"/>
      <c r="H153" s="36"/>
      <c r="I153" s="36"/>
      <c r="J153" s="36"/>
      <c r="K153" s="61"/>
      <c r="L153" s="57"/>
      <c r="M153" s="61"/>
      <c r="N153" s="57"/>
      <c r="O153" s="36"/>
      <c r="P153" s="61"/>
      <c r="Q153" s="66"/>
      <c r="R153" s="15"/>
      <c r="S153" s="15"/>
      <c r="T153" s="15"/>
      <c r="U153" s="36"/>
      <c r="V153" s="36"/>
      <c r="W153" s="63"/>
      <c r="X153" s="14"/>
      <c r="Y153" s="13"/>
      <c r="Z153" s="14"/>
    </row>
    <row r="154" spans="1:26" ht="14.25" customHeight="1" x14ac:dyDescent="0.25">
      <c r="A154" s="14"/>
      <c r="B154" s="14"/>
      <c r="C154" s="14"/>
      <c r="D154" s="36"/>
      <c r="E154" s="64"/>
      <c r="F154" s="36"/>
      <c r="G154" s="36"/>
      <c r="H154" s="36"/>
      <c r="I154" s="36"/>
      <c r="J154" s="36"/>
      <c r="K154" s="61"/>
      <c r="L154" s="57"/>
      <c r="M154" s="61"/>
      <c r="N154" s="57"/>
      <c r="O154" s="36"/>
      <c r="P154" s="61"/>
      <c r="Q154" s="66"/>
      <c r="R154" s="15"/>
      <c r="S154" s="15"/>
      <c r="T154" s="15"/>
      <c r="U154" s="36"/>
      <c r="V154" s="36"/>
      <c r="W154" s="63"/>
      <c r="X154" s="14"/>
      <c r="Y154" s="13"/>
      <c r="Z154" s="14"/>
    </row>
    <row r="155" spans="1:26" ht="14.25" customHeight="1" x14ac:dyDescent="0.25">
      <c r="A155" s="14"/>
      <c r="B155" s="14"/>
      <c r="C155" s="14"/>
      <c r="D155" s="36"/>
      <c r="E155" s="64"/>
      <c r="F155" s="36"/>
      <c r="G155" s="36"/>
      <c r="H155" s="36"/>
      <c r="I155" s="36"/>
      <c r="J155" s="36"/>
      <c r="K155" s="61"/>
      <c r="L155" s="57"/>
      <c r="M155" s="61"/>
      <c r="N155" s="57"/>
      <c r="O155" s="36"/>
      <c r="P155" s="61"/>
      <c r="Q155" s="66"/>
      <c r="R155" s="15"/>
      <c r="S155" s="15"/>
      <c r="T155" s="15"/>
      <c r="U155" s="36"/>
      <c r="V155" s="36"/>
      <c r="W155" s="63"/>
      <c r="X155" s="14"/>
      <c r="Y155" s="13"/>
      <c r="Z155" s="14"/>
    </row>
    <row r="156" spans="1:26" ht="14.25" customHeight="1" x14ac:dyDescent="0.25">
      <c r="A156" s="14"/>
      <c r="B156" s="14"/>
      <c r="C156" s="14"/>
      <c r="D156" s="36"/>
      <c r="E156" s="64"/>
      <c r="F156" s="36"/>
      <c r="G156" s="36"/>
      <c r="H156" s="36"/>
      <c r="I156" s="36"/>
      <c r="J156" s="36"/>
      <c r="K156" s="61"/>
      <c r="L156" s="57"/>
      <c r="M156" s="61"/>
      <c r="N156" s="57"/>
      <c r="O156" s="36"/>
      <c r="P156" s="61"/>
      <c r="Q156" s="66"/>
      <c r="R156" s="15"/>
      <c r="S156" s="15"/>
      <c r="T156" s="15"/>
      <c r="U156" s="36"/>
      <c r="V156" s="36"/>
      <c r="W156" s="63"/>
      <c r="X156" s="14"/>
      <c r="Y156" s="13"/>
      <c r="Z156" s="14"/>
    </row>
    <row r="157" spans="1:26" ht="14.25" customHeight="1" x14ac:dyDescent="0.25">
      <c r="A157" s="14"/>
      <c r="B157" s="14"/>
      <c r="C157" s="14"/>
      <c r="D157" s="36"/>
      <c r="E157" s="64"/>
      <c r="F157" s="36"/>
      <c r="G157" s="36"/>
      <c r="H157" s="36"/>
      <c r="I157" s="36"/>
      <c r="J157" s="36"/>
      <c r="K157" s="61"/>
      <c r="L157" s="57"/>
      <c r="M157" s="61"/>
      <c r="N157" s="57"/>
      <c r="O157" s="36"/>
      <c r="P157" s="61"/>
      <c r="Q157" s="66"/>
      <c r="R157" s="15"/>
      <c r="S157" s="15"/>
      <c r="T157" s="15"/>
      <c r="U157" s="36"/>
      <c r="V157" s="36"/>
      <c r="W157" s="63"/>
      <c r="X157" s="14"/>
      <c r="Y157" s="13"/>
      <c r="Z157" s="14"/>
    </row>
    <row r="158" spans="1:26" ht="14.25" customHeight="1" x14ac:dyDescent="0.25">
      <c r="A158" s="14"/>
      <c r="B158" s="14"/>
      <c r="C158" s="14"/>
      <c r="D158" s="36"/>
      <c r="E158" s="64"/>
      <c r="F158" s="36"/>
      <c r="G158" s="36"/>
      <c r="H158" s="36"/>
      <c r="I158" s="36"/>
      <c r="J158" s="36"/>
      <c r="K158" s="61"/>
      <c r="L158" s="57"/>
      <c r="M158" s="61"/>
      <c r="N158" s="57"/>
      <c r="O158" s="36"/>
      <c r="P158" s="61"/>
      <c r="Q158" s="66"/>
      <c r="R158" s="15"/>
      <c r="S158" s="15"/>
      <c r="T158" s="15"/>
      <c r="U158" s="36"/>
      <c r="V158" s="36"/>
      <c r="W158" s="63"/>
      <c r="X158" s="14"/>
      <c r="Y158" s="13"/>
      <c r="Z158" s="14"/>
    </row>
    <row r="159" spans="1:26" ht="14.25" customHeight="1" x14ac:dyDescent="0.25">
      <c r="A159" s="14"/>
      <c r="B159" s="14"/>
      <c r="C159" s="14"/>
      <c r="D159" s="36"/>
      <c r="E159" s="64"/>
      <c r="F159" s="36"/>
      <c r="G159" s="36"/>
      <c r="H159" s="36"/>
      <c r="I159" s="36"/>
      <c r="J159" s="36"/>
      <c r="K159" s="61"/>
      <c r="L159" s="57"/>
      <c r="M159" s="61"/>
      <c r="N159" s="57"/>
      <c r="O159" s="36"/>
      <c r="P159" s="61"/>
      <c r="Q159" s="66"/>
      <c r="R159" s="15"/>
      <c r="S159" s="15"/>
      <c r="T159" s="15"/>
      <c r="U159" s="36"/>
      <c r="V159" s="36"/>
      <c r="W159" s="63"/>
      <c r="X159" s="14"/>
      <c r="Y159" s="13"/>
      <c r="Z159" s="14"/>
    </row>
    <row r="160" spans="1:26" ht="14.25" customHeight="1" x14ac:dyDescent="0.25">
      <c r="A160" s="14"/>
      <c r="B160" s="14"/>
      <c r="C160" s="14"/>
      <c r="D160" s="36"/>
      <c r="E160" s="64"/>
      <c r="F160" s="36"/>
      <c r="G160" s="36"/>
      <c r="H160" s="36"/>
      <c r="I160" s="36"/>
      <c r="J160" s="36"/>
      <c r="K160" s="61"/>
      <c r="L160" s="57"/>
      <c r="M160" s="61"/>
      <c r="N160" s="57"/>
      <c r="O160" s="36"/>
      <c r="P160" s="61"/>
      <c r="Q160" s="66"/>
      <c r="R160" s="15"/>
      <c r="S160" s="15"/>
      <c r="T160" s="15"/>
      <c r="U160" s="36"/>
      <c r="V160" s="36"/>
      <c r="W160" s="63"/>
      <c r="X160" s="14"/>
      <c r="Y160" s="13"/>
      <c r="Z160" s="14"/>
    </row>
    <row r="161" spans="1:26" ht="14.25" customHeight="1" x14ac:dyDescent="0.25">
      <c r="A161" s="14"/>
      <c r="B161" s="14"/>
      <c r="C161" s="14"/>
      <c r="D161" s="36"/>
      <c r="E161" s="64"/>
      <c r="F161" s="36"/>
      <c r="G161" s="36"/>
      <c r="H161" s="36"/>
      <c r="I161" s="36"/>
      <c r="J161" s="36"/>
      <c r="K161" s="61"/>
      <c r="L161" s="57"/>
      <c r="M161" s="61"/>
      <c r="N161" s="57"/>
      <c r="O161" s="36"/>
      <c r="P161" s="61"/>
      <c r="Q161" s="66"/>
      <c r="R161" s="15"/>
      <c r="S161" s="15"/>
      <c r="T161" s="15"/>
      <c r="U161" s="36"/>
      <c r="V161" s="36"/>
      <c r="W161" s="63"/>
      <c r="X161" s="14"/>
      <c r="Y161" s="13"/>
      <c r="Z161" s="14"/>
    </row>
    <row r="162" spans="1:26" ht="14.25" customHeight="1" x14ac:dyDescent="0.25">
      <c r="A162" s="14"/>
      <c r="B162" s="14"/>
      <c r="C162" s="14"/>
      <c r="D162" s="36"/>
      <c r="E162" s="64"/>
      <c r="F162" s="36"/>
      <c r="G162" s="36"/>
      <c r="H162" s="36"/>
      <c r="I162" s="36"/>
      <c r="J162" s="36"/>
      <c r="K162" s="61"/>
      <c r="L162" s="57"/>
      <c r="M162" s="61"/>
      <c r="N162" s="57"/>
      <c r="O162" s="36"/>
      <c r="P162" s="61"/>
      <c r="Q162" s="66"/>
      <c r="R162" s="15"/>
      <c r="S162" s="15"/>
      <c r="T162" s="15"/>
      <c r="U162" s="36"/>
      <c r="V162" s="36"/>
      <c r="W162" s="63"/>
      <c r="X162" s="14"/>
      <c r="Y162" s="13"/>
      <c r="Z162" s="14"/>
    </row>
    <row r="163" spans="1:26" ht="14.25" customHeight="1" x14ac:dyDescent="0.25">
      <c r="A163" s="14"/>
      <c r="B163" s="14"/>
      <c r="C163" s="14"/>
      <c r="D163" s="36"/>
      <c r="E163" s="64"/>
      <c r="F163" s="36"/>
      <c r="G163" s="36"/>
      <c r="H163" s="36"/>
      <c r="I163" s="36"/>
      <c r="J163" s="36"/>
      <c r="K163" s="61"/>
      <c r="L163" s="57"/>
      <c r="M163" s="61"/>
      <c r="N163" s="57"/>
      <c r="O163" s="36"/>
      <c r="P163" s="61"/>
      <c r="Q163" s="66"/>
      <c r="R163" s="15"/>
      <c r="S163" s="15"/>
      <c r="T163" s="15"/>
      <c r="U163" s="36"/>
      <c r="V163" s="36"/>
      <c r="W163" s="63"/>
      <c r="X163" s="14"/>
      <c r="Y163" s="13"/>
      <c r="Z163" s="14"/>
    </row>
    <row r="164" spans="1:26" ht="14.25" customHeight="1" x14ac:dyDescent="0.25">
      <c r="A164" s="14"/>
      <c r="B164" s="14"/>
      <c r="C164" s="14"/>
      <c r="D164" s="36"/>
      <c r="E164" s="64"/>
      <c r="F164" s="36"/>
      <c r="G164" s="36"/>
      <c r="H164" s="36"/>
      <c r="I164" s="36"/>
      <c r="J164" s="36"/>
      <c r="K164" s="61"/>
      <c r="L164" s="57"/>
      <c r="M164" s="61"/>
      <c r="N164" s="57"/>
      <c r="O164" s="36"/>
      <c r="P164" s="61"/>
      <c r="Q164" s="66"/>
      <c r="R164" s="15"/>
      <c r="S164" s="15"/>
      <c r="T164" s="15"/>
      <c r="U164" s="36"/>
      <c r="V164" s="36"/>
      <c r="W164" s="63"/>
      <c r="X164" s="14"/>
      <c r="Y164" s="13"/>
      <c r="Z164" s="14"/>
    </row>
    <row r="165" spans="1:26" ht="14.25" customHeight="1" x14ac:dyDescent="0.25">
      <c r="A165" s="14"/>
      <c r="B165" s="14"/>
      <c r="C165" s="14"/>
      <c r="D165" s="36"/>
      <c r="E165" s="64"/>
      <c r="F165" s="36"/>
      <c r="G165" s="36"/>
      <c r="H165" s="36"/>
      <c r="I165" s="36"/>
      <c r="J165" s="36"/>
      <c r="K165" s="61"/>
      <c r="L165" s="57"/>
      <c r="M165" s="61"/>
      <c r="N165" s="57"/>
      <c r="O165" s="36"/>
      <c r="P165" s="61"/>
      <c r="Q165" s="66"/>
      <c r="R165" s="15"/>
      <c r="S165" s="15"/>
      <c r="T165" s="15"/>
      <c r="U165" s="36"/>
      <c r="V165" s="36"/>
      <c r="W165" s="63"/>
      <c r="X165" s="14"/>
      <c r="Y165" s="13"/>
      <c r="Z165" s="14"/>
    </row>
    <row r="166" spans="1:26" ht="14.25" customHeight="1" x14ac:dyDescent="0.25">
      <c r="A166" s="14"/>
      <c r="B166" s="14"/>
      <c r="C166" s="14"/>
      <c r="D166" s="36"/>
      <c r="E166" s="64"/>
      <c r="F166" s="36"/>
      <c r="G166" s="36"/>
      <c r="H166" s="36"/>
      <c r="I166" s="36"/>
      <c r="J166" s="36"/>
      <c r="K166" s="61"/>
      <c r="L166" s="57"/>
      <c r="M166" s="61"/>
      <c r="N166" s="57"/>
      <c r="O166" s="36"/>
      <c r="P166" s="61"/>
      <c r="Q166" s="66"/>
      <c r="R166" s="15"/>
      <c r="S166" s="15"/>
      <c r="T166" s="15"/>
      <c r="U166" s="36"/>
      <c r="V166" s="36"/>
      <c r="W166" s="63"/>
      <c r="X166" s="14"/>
      <c r="Y166" s="13"/>
      <c r="Z166" s="14"/>
    </row>
    <row r="167" spans="1:26" ht="14.25" customHeight="1" x14ac:dyDescent="0.25">
      <c r="A167" s="14"/>
      <c r="B167" s="14"/>
      <c r="C167" s="14"/>
      <c r="D167" s="36"/>
      <c r="E167" s="64"/>
      <c r="F167" s="36"/>
      <c r="G167" s="36"/>
      <c r="H167" s="36"/>
      <c r="I167" s="36"/>
      <c r="J167" s="36"/>
      <c r="K167" s="61"/>
      <c r="L167" s="57"/>
      <c r="M167" s="61"/>
      <c r="N167" s="57"/>
      <c r="O167" s="36"/>
      <c r="P167" s="61"/>
      <c r="Q167" s="66"/>
      <c r="R167" s="15"/>
      <c r="S167" s="15"/>
      <c r="T167" s="15"/>
      <c r="U167" s="36"/>
      <c r="V167" s="36"/>
      <c r="W167" s="63"/>
      <c r="X167" s="14"/>
      <c r="Y167" s="13"/>
      <c r="Z167" s="14"/>
    </row>
    <row r="168" spans="1:26" ht="14.25" customHeight="1" x14ac:dyDescent="0.25">
      <c r="A168" s="14"/>
      <c r="B168" s="14"/>
      <c r="C168" s="14"/>
      <c r="D168" s="36"/>
      <c r="E168" s="64"/>
      <c r="F168" s="36"/>
      <c r="G168" s="36"/>
      <c r="H168" s="36"/>
      <c r="I168" s="36"/>
      <c r="J168" s="36"/>
      <c r="K168" s="61"/>
      <c r="L168" s="57"/>
      <c r="M168" s="61"/>
      <c r="N168" s="57"/>
      <c r="O168" s="36"/>
      <c r="P168" s="61"/>
      <c r="Q168" s="66"/>
      <c r="R168" s="15"/>
      <c r="S168" s="15"/>
      <c r="T168" s="15"/>
      <c r="U168" s="36"/>
      <c r="V168" s="36"/>
      <c r="W168" s="63"/>
      <c r="X168" s="14"/>
      <c r="Y168" s="13"/>
      <c r="Z168" s="14"/>
    </row>
    <row r="169" spans="1:26" ht="14.25" customHeight="1" x14ac:dyDescent="0.25">
      <c r="A169" s="14"/>
      <c r="B169" s="14"/>
      <c r="C169" s="14"/>
      <c r="D169" s="36"/>
      <c r="E169" s="64"/>
      <c r="F169" s="36"/>
      <c r="G169" s="36"/>
      <c r="H169" s="36"/>
      <c r="I169" s="36"/>
      <c r="J169" s="36"/>
      <c r="K169" s="61"/>
      <c r="L169" s="57"/>
      <c r="M169" s="61"/>
      <c r="N169" s="57"/>
      <c r="O169" s="36"/>
      <c r="P169" s="61"/>
      <c r="Q169" s="66"/>
      <c r="R169" s="15"/>
      <c r="S169" s="15"/>
      <c r="T169" s="15"/>
      <c r="U169" s="36"/>
      <c r="V169" s="36"/>
      <c r="W169" s="63"/>
      <c r="X169" s="14"/>
      <c r="Y169" s="13"/>
      <c r="Z169" s="14"/>
    </row>
    <row r="170" spans="1:26" ht="14.25" customHeight="1" x14ac:dyDescent="0.25">
      <c r="A170" s="14"/>
      <c r="B170" s="14"/>
      <c r="C170" s="14"/>
      <c r="D170" s="36"/>
      <c r="E170" s="64"/>
      <c r="F170" s="36"/>
      <c r="G170" s="36"/>
      <c r="H170" s="36"/>
      <c r="I170" s="36"/>
      <c r="J170" s="36"/>
      <c r="K170" s="61"/>
      <c r="L170" s="57"/>
      <c r="M170" s="61"/>
      <c r="N170" s="57"/>
      <c r="O170" s="36"/>
      <c r="P170" s="61"/>
      <c r="Q170" s="66"/>
      <c r="R170" s="15"/>
      <c r="S170" s="15"/>
      <c r="T170" s="15"/>
      <c r="U170" s="36"/>
      <c r="V170" s="36"/>
      <c r="W170" s="63"/>
      <c r="X170" s="14"/>
      <c r="Y170" s="13"/>
      <c r="Z170" s="14"/>
    </row>
    <row r="171" spans="1:26" ht="14.25" customHeight="1" x14ac:dyDescent="0.25">
      <c r="A171" s="14"/>
      <c r="B171" s="14"/>
      <c r="C171" s="14"/>
      <c r="D171" s="36"/>
      <c r="E171" s="64"/>
      <c r="F171" s="36"/>
      <c r="G171" s="36"/>
      <c r="H171" s="36"/>
      <c r="I171" s="36"/>
      <c r="J171" s="36"/>
      <c r="K171" s="61"/>
      <c r="L171" s="57"/>
      <c r="M171" s="61"/>
      <c r="N171" s="57"/>
      <c r="O171" s="36"/>
      <c r="P171" s="61"/>
      <c r="Q171" s="66"/>
      <c r="R171" s="15"/>
      <c r="S171" s="15"/>
      <c r="T171" s="15"/>
      <c r="U171" s="36"/>
      <c r="V171" s="36"/>
      <c r="W171" s="63"/>
      <c r="X171" s="14"/>
      <c r="Y171" s="13"/>
      <c r="Z171" s="14"/>
    </row>
    <row r="172" spans="1:26" ht="14.25" customHeight="1" x14ac:dyDescent="0.25">
      <c r="A172" s="14"/>
      <c r="B172" s="14"/>
      <c r="C172" s="14"/>
      <c r="D172" s="36"/>
      <c r="E172" s="64"/>
      <c r="F172" s="36"/>
      <c r="G172" s="36"/>
      <c r="H172" s="36"/>
      <c r="I172" s="36"/>
      <c r="J172" s="36"/>
      <c r="K172" s="61"/>
      <c r="L172" s="36"/>
      <c r="M172" s="61"/>
      <c r="N172" s="57"/>
      <c r="O172" s="36"/>
      <c r="P172" s="61"/>
      <c r="Q172" s="66"/>
      <c r="R172" s="15"/>
      <c r="S172" s="15"/>
      <c r="T172" s="15"/>
      <c r="U172" s="36"/>
      <c r="V172" s="36"/>
      <c r="W172" s="63"/>
      <c r="X172" s="14"/>
      <c r="Y172" s="13"/>
      <c r="Z172" s="14"/>
    </row>
    <row r="173" spans="1:26" ht="14.25" customHeight="1" x14ac:dyDescent="0.25">
      <c r="A173" s="14"/>
      <c r="B173" s="14"/>
      <c r="C173" s="14"/>
      <c r="D173" s="36"/>
      <c r="E173" s="64"/>
      <c r="F173" s="36"/>
      <c r="G173" s="36"/>
      <c r="H173" s="36"/>
      <c r="I173" s="36"/>
      <c r="J173" s="36"/>
      <c r="K173" s="61"/>
      <c r="L173" s="36"/>
      <c r="M173" s="61"/>
      <c r="N173" s="57"/>
      <c r="O173" s="36"/>
      <c r="P173" s="61"/>
      <c r="Q173" s="66"/>
      <c r="R173" s="15"/>
      <c r="S173" s="15"/>
      <c r="T173" s="15"/>
      <c r="U173" s="36"/>
      <c r="V173" s="36"/>
      <c r="W173" s="63"/>
      <c r="X173" s="14"/>
      <c r="Y173" s="13"/>
      <c r="Z173" s="14"/>
    </row>
    <row r="174" spans="1:26" ht="14.25" customHeight="1" x14ac:dyDescent="0.25">
      <c r="A174" s="14"/>
      <c r="B174" s="14"/>
      <c r="C174" s="14"/>
      <c r="D174" s="36"/>
      <c r="E174" s="64"/>
      <c r="F174" s="36"/>
      <c r="G174" s="36"/>
      <c r="H174" s="36"/>
      <c r="I174" s="36"/>
      <c r="J174" s="36"/>
      <c r="K174" s="61"/>
      <c r="L174" s="36"/>
      <c r="M174" s="61"/>
      <c r="N174" s="57"/>
      <c r="O174" s="36"/>
      <c r="P174" s="61"/>
      <c r="Q174" s="66"/>
      <c r="R174" s="15"/>
      <c r="S174" s="15"/>
      <c r="T174" s="15"/>
      <c r="U174" s="36"/>
      <c r="V174" s="36"/>
      <c r="W174" s="63"/>
      <c r="X174" s="14"/>
      <c r="Y174" s="13"/>
      <c r="Z174" s="14"/>
    </row>
    <row r="175" spans="1:26" ht="14.25" customHeight="1" x14ac:dyDescent="0.25">
      <c r="A175" s="14"/>
      <c r="B175" s="14"/>
      <c r="C175" s="14"/>
      <c r="D175" s="36"/>
      <c r="E175" s="64"/>
      <c r="F175" s="36"/>
      <c r="G175" s="36"/>
      <c r="H175" s="36"/>
      <c r="I175" s="36"/>
      <c r="J175" s="36"/>
      <c r="K175" s="61"/>
      <c r="L175" s="36"/>
      <c r="M175" s="61"/>
      <c r="N175" s="57"/>
      <c r="O175" s="36"/>
      <c r="P175" s="61"/>
      <c r="Q175" s="66"/>
      <c r="R175" s="15"/>
      <c r="S175" s="15"/>
      <c r="T175" s="15"/>
      <c r="U175" s="36"/>
      <c r="V175" s="36"/>
      <c r="W175" s="63"/>
      <c r="X175" s="14"/>
      <c r="Y175" s="13"/>
      <c r="Z175" s="14"/>
    </row>
    <row r="176" spans="1:26" ht="14.25" customHeight="1" x14ac:dyDescent="0.25">
      <c r="A176" s="14"/>
      <c r="B176" s="14"/>
      <c r="C176" s="14"/>
      <c r="D176" s="36"/>
      <c r="E176" s="64"/>
      <c r="F176" s="36"/>
      <c r="G176" s="36"/>
      <c r="H176" s="36"/>
      <c r="I176" s="36"/>
      <c r="J176" s="36"/>
      <c r="K176" s="61"/>
      <c r="L176" s="36"/>
      <c r="M176" s="61"/>
      <c r="N176" s="57"/>
      <c r="O176" s="36"/>
      <c r="P176" s="61"/>
      <c r="Q176" s="66"/>
      <c r="R176" s="15"/>
      <c r="S176" s="15"/>
      <c r="T176" s="15"/>
      <c r="U176" s="36"/>
      <c r="V176" s="36"/>
      <c r="W176" s="63"/>
      <c r="X176" s="14"/>
      <c r="Y176" s="13"/>
      <c r="Z176" s="14"/>
    </row>
    <row r="177" spans="1:26" ht="14.25" customHeight="1" x14ac:dyDescent="0.25">
      <c r="A177" s="14"/>
      <c r="B177" s="14"/>
      <c r="C177" s="14"/>
      <c r="D177" s="36"/>
      <c r="E177" s="64"/>
      <c r="F177" s="36"/>
      <c r="G177" s="36"/>
      <c r="H177" s="36"/>
      <c r="I177" s="36"/>
      <c r="J177" s="36"/>
      <c r="K177" s="61"/>
      <c r="L177" s="36"/>
      <c r="M177" s="61"/>
      <c r="N177" s="57"/>
      <c r="O177" s="36"/>
      <c r="P177" s="61"/>
      <c r="Q177" s="66"/>
      <c r="R177" s="15"/>
      <c r="S177" s="15"/>
      <c r="T177" s="15"/>
      <c r="U177" s="36"/>
      <c r="V177" s="36"/>
      <c r="W177" s="63"/>
      <c r="X177" s="14"/>
      <c r="Y177" s="13"/>
      <c r="Z177" s="14"/>
    </row>
    <row r="178" spans="1:26" ht="14.25" customHeight="1" x14ac:dyDescent="0.25">
      <c r="A178" s="14"/>
      <c r="B178" s="14"/>
      <c r="C178" s="14"/>
      <c r="D178" s="36"/>
      <c r="E178" s="64"/>
      <c r="F178" s="36"/>
      <c r="G178" s="36"/>
      <c r="H178" s="36"/>
      <c r="I178" s="36"/>
      <c r="J178" s="36"/>
      <c r="K178" s="61"/>
      <c r="L178" s="36"/>
      <c r="M178" s="61"/>
      <c r="N178" s="57"/>
      <c r="O178" s="36"/>
      <c r="P178" s="61"/>
      <c r="Q178" s="66"/>
      <c r="R178" s="15"/>
      <c r="S178" s="15"/>
      <c r="T178" s="15"/>
      <c r="U178" s="36"/>
      <c r="V178" s="36"/>
      <c r="W178" s="63"/>
      <c r="X178" s="14"/>
      <c r="Y178" s="13"/>
      <c r="Z178" s="14"/>
    </row>
    <row r="179" spans="1:26" ht="14.25" customHeight="1" x14ac:dyDescent="0.25">
      <c r="A179" s="14"/>
      <c r="B179" s="14"/>
      <c r="C179" s="14"/>
      <c r="D179" s="36"/>
      <c r="E179" s="64"/>
      <c r="F179" s="36"/>
      <c r="G179" s="36"/>
      <c r="H179" s="36"/>
      <c r="I179" s="36"/>
      <c r="J179" s="36"/>
      <c r="K179" s="61"/>
      <c r="L179" s="36"/>
      <c r="M179" s="61"/>
      <c r="N179" s="57"/>
      <c r="O179" s="36"/>
      <c r="P179" s="61"/>
      <c r="Q179" s="66"/>
      <c r="R179" s="15"/>
      <c r="S179" s="15"/>
      <c r="T179" s="15"/>
      <c r="U179" s="36"/>
      <c r="V179" s="36"/>
      <c r="W179" s="63"/>
      <c r="X179" s="14"/>
      <c r="Y179" s="13"/>
      <c r="Z179" s="14"/>
    </row>
    <row r="180" spans="1:26" ht="14.25" customHeight="1" x14ac:dyDescent="0.25">
      <c r="A180" s="14"/>
      <c r="B180" s="14"/>
      <c r="C180" s="14"/>
      <c r="D180" s="36"/>
      <c r="E180" s="64"/>
      <c r="F180" s="36"/>
      <c r="G180" s="36"/>
      <c r="H180" s="36"/>
      <c r="I180" s="36"/>
      <c r="J180" s="36"/>
      <c r="K180" s="61"/>
      <c r="L180" s="36"/>
      <c r="M180" s="61"/>
      <c r="N180" s="57"/>
      <c r="O180" s="36"/>
      <c r="P180" s="61"/>
      <c r="Q180" s="66"/>
      <c r="R180" s="15"/>
      <c r="S180" s="15"/>
      <c r="T180" s="15"/>
      <c r="U180" s="36"/>
      <c r="V180" s="36"/>
      <c r="W180" s="63"/>
      <c r="X180" s="14"/>
      <c r="Y180" s="13"/>
      <c r="Z180" s="14"/>
    </row>
    <row r="181" spans="1:26" ht="14.25" customHeight="1" x14ac:dyDescent="0.25">
      <c r="A181" s="14"/>
      <c r="B181" s="14"/>
      <c r="C181" s="14"/>
      <c r="D181" s="36"/>
      <c r="E181" s="64"/>
      <c r="F181" s="36"/>
      <c r="G181" s="36"/>
      <c r="H181" s="36"/>
      <c r="I181" s="36"/>
      <c r="J181" s="36"/>
      <c r="K181" s="61"/>
      <c r="L181" s="36"/>
      <c r="M181" s="61"/>
      <c r="N181" s="57"/>
      <c r="O181" s="36"/>
      <c r="P181" s="61"/>
      <c r="Q181" s="66"/>
      <c r="R181" s="15"/>
      <c r="S181" s="15"/>
      <c r="T181" s="15"/>
      <c r="U181" s="36"/>
      <c r="V181" s="36"/>
      <c r="W181" s="63"/>
      <c r="X181" s="14"/>
      <c r="Y181" s="13"/>
      <c r="Z181" s="14"/>
    </row>
    <row r="182" spans="1:26" ht="14.25" customHeight="1" x14ac:dyDescent="0.25">
      <c r="A182" s="14"/>
      <c r="B182" s="14"/>
      <c r="C182" s="14"/>
      <c r="D182" s="36"/>
      <c r="E182" s="64"/>
      <c r="F182" s="36"/>
      <c r="G182" s="36"/>
      <c r="H182" s="36"/>
      <c r="I182" s="36"/>
      <c r="J182" s="36"/>
      <c r="K182" s="61"/>
      <c r="L182" s="36"/>
      <c r="M182" s="61"/>
      <c r="N182" s="57"/>
      <c r="O182" s="36"/>
      <c r="P182" s="61"/>
      <c r="Q182" s="66"/>
      <c r="R182" s="15"/>
      <c r="S182" s="15"/>
      <c r="T182" s="15"/>
      <c r="U182" s="36"/>
      <c r="V182" s="36"/>
      <c r="W182" s="63"/>
      <c r="X182" s="14"/>
      <c r="Y182" s="13"/>
      <c r="Z182" s="14"/>
    </row>
    <row r="183" spans="1:26" ht="14.25" customHeight="1" x14ac:dyDescent="0.25">
      <c r="A183" s="14"/>
      <c r="B183" s="14"/>
      <c r="C183" s="14"/>
      <c r="D183" s="36"/>
      <c r="E183" s="64"/>
      <c r="F183" s="36"/>
      <c r="G183" s="36"/>
      <c r="H183" s="36"/>
      <c r="I183" s="36"/>
      <c r="J183" s="36"/>
      <c r="K183" s="61"/>
      <c r="L183" s="36"/>
      <c r="M183" s="61"/>
      <c r="N183" s="57"/>
      <c r="O183" s="36"/>
      <c r="P183" s="61"/>
      <c r="Q183" s="66"/>
      <c r="R183" s="15"/>
      <c r="S183" s="15"/>
      <c r="T183" s="15"/>
      <c r="U183" s="36"/>
      <c r="V183" s="36"/>
      <c r="W183" s="63"/>
      <c r="X183" s="14"/>
      <c r="Y183" s="13"/>
      <c r="Z183" s="14"/>
    </row>
    <row r="184" spans="1:26" ht="14.25" customHeight="1" x14ac:dyDescent="0.25">
      <c r="A184" s="14"/>
      <c r="B184" s="14"/>
      <c r="C184" s="14"/>
      <c r="D184" s="36"/>
      <c r="E184" s="64"/>
      <c r="F184" s="36"/>
      <c r="G184" s="36"/>
      <c r="H184" s="36"/>
      <c r="I184" s="36"/>
      <c r="J184" s="36"/>
      <c r="K184" s="61"/>
      <c r="L184" s="36"/>
      <c r="M184" s="61"/>
      <c r="N184" s="57"/>
      <c r="O184" s="36"/>
      <c r="P184" s="61"/>
      <c r="Q184" s="66"/>
      <c r="R184" s="15"/>
      <c r="S184" s="15"/>
      <c r="T184" s="15"/>
      <c r="U184" s="36"/>
      <c r="V184" s="36"/>
      <c r="W184" s="63"/>
      <c r="X184" s="14"/>
      <c r="Y184" s="13"/>
      <c r="Z184" s="14"/>
    </row>
    <row r="185" spans="1:26" ht="14.25" customHeight="1" x14ac:dyDescent="0.25">
      <c r="A185" s="14"/>
      <c r="B185" s="14"/>
      <c r="C185" s="14"/>
      <c r="D185" s="36"/>
      <c r="E185" s="64"/>
      <c r="F185" s="36"/>
      <c r="G185" s="36"/>
      <c r="H185" s="36"/>
      <c r="I185" s="36"/>
      <c r="J185" s="36"/>
      <c r="K185" s="61"/>
      <c r="L185" s="36"/>
      <c r="M185" s="61"/>
      <c r="N185" s="57"/>
      <c r="O185" s="36"/>
      <c r="P185" s="61"/>
      <c r="Q185" s="66"/>
      <c r="R185" s="15"/>
      <c r="S185" s="15"/>
      <c r="T185" s="15"/>
      <c r="U185" s="36"/>
      <c r="V185" s="36"/>
      <c r="W185" s="63"/>
      <c r="X185" s="14"/>
      <c r="Y185" s="13"/>
      <c r="Z185" s="14"/>
    </row>
    <row r="186" spans="1:26" ht="14.25" customHeight="1" x14ac:dyDescent="0.25">
      <c r="A186" s="14"/>
      <c r="B186" s="14"/>
      <c r="C186" s="14"/>
      <c r="D186" s="36"/>
      <c r="E186" s="64"/>
      <c r="F186" s="36"/>
      <c r="G186" s="36"/>
      <c r="H186" s="36"/>
      <c r="I186" s="36"/>
      <c r="J186" s="36"/>
      <c r="K186" s="61"/>
      <c r="L186" s="36"/>
      <c r="M186" s="61"/>
      <c r="N186" s="57"/>
      <c r="O186" s="36"/>
      <c r="P186" s="61"/>
      <c r="Q186" s="66"/>
      <c r="R186" s="15"/>
      <c r="S186" s="15"/>
      <c r="T186" s="15"/>
      <c r="U186" s="36"/>
      <c r="V186" s="36"/>
      <c r="W186" s="63"/>
      <c r="X186" s="14"/>
      <c r="Y186" s="13"/>
      <c r="Z186" s="14"/>
    </row>
    <row r="187" spans="1:26" ht="14.25" customHeight="1" x14ac:dyDescent="0.25">
      <c r="A187" s="14"/>
      <c r="B187" s="14"/>
      <c r="C187" s="14"/>
      <c r="D187" s="36"/>
      <c r="E187" s="64"/>
      <c r="F187" s="36"/>
      <c r="G187" s="36"/>
      <c r="H187" s="36"/>
      <c r="I187" s="36"/>
      <c r="J187" s="36"/>
      <c r="K187" s="61"/>
      <c r="L187" s="36"/>
      <c r="M187" s="61"/>
      <c r="N187" s="57"/>
      <c r="O187" s="36"/>
      <c r="P187" s="61"/>
      <c r="Q187" s="66"/>
      <c r="R187" s="15"/>
      <c r="S187" s="15"/>
      <c r="T187" s="15"/>
      <c r="U187" s="36"/>
      <c r="V187" s="36"/>
      <c r="W187" s="63"/>
      <c r="X187" s="14"/>
      <c r="Y187" s="13"/>
      <c r="Z187" s="14"/>
    </row>
    <row r="188" spans="1:26" ht="14.25" customHeight="1" x14ac:dyDescent="0.25">
      <c r="A188" s="14"/>
      <c r="B188" s="14"/>
      <c r="C188" s="14"/>
      <c r="D188" s="36"/>
      <c r="E188" s="64"/>
      <c r="F188" s="36"/>
      <c r="G188" s="36"/>
      <c r="H188" s="36"/>
      <c r="I188" s="36"/>
      <c r="J188" s="36"/>
      <c r="K188" s="61"/>
      <c r="L188" s="36"/>
      <c r="M188" s="61"/>
      <c r="N188" s="57"/>
      <c r="O188" s="36"/>
      <c r="P188" s="61"/>
      <c r="Q188" s="66"/>
      <c r="R188" s="15"/>
      <c r="S188" s="15"/>
      <c r="T188" s="15"/>
      <c r="U188" s="36"/>
      <c r="V188" s="36"/>
      <c r="W188" s="63"/>
      <c r="X188" s="14"/>
      <c r="Y188" s="13"/>
      <c r="Z188" s="14"/>
    </row>
    <row r="189" spans="1:26" ht="14.25" customHeight="1" x14ac:dyDescent="0.25">
      <c r="A189" s="14"/>
      <c r="B189" s="14"/>
      <c r="C189" s="14"/>
      <c r="D189" s="36"/>
      <c r="E189" s="64"/>
      <c r="F189" s="36"/>
      <c r="G189" s="36"/>
      <c r="H189" s="36"/>
      <c r="I189" s="36"/>
      <c r="J189" s="36"/>
      <c r="K189" s="61"/>
      <c r="L189" s="36"/>
      <c r="M189" s="61"/>
      <c r="N189" s="57"/>
      <c r="O189" s="36"/>
      <c r="P189" s="61"/>
      <c r="Q189" s="66"/>
      <c r="R189" s="15"/>
      <c r="S189" s="15"/>
      <c r="T189" s="15"/>
      <c r="U189" s="36"/>
      <c r="V189" s="36"/>
      <c r="W189" s="63"/>
      <c r="X189" s="14"/>
      <c r="Y189" s="13"/>
      <c r="Z189" s="14"/>
    </row>
    <row r="190" spans="1:26" ht="14.25" customHeight="1" x14ac:dyDescent="0.25">
      <c r="A190" s="14"/>
      <c r="B190" s="14"/>
      <c r="C190" s="14"/>
      <c r="D190" s="36"/>
      <c r="E190" s="64"/>
      <c r="F190" s="36"/>
      <c r="G190" s="36"/>
      <c r="H190" s="36"/>
      <c r="I190" s="36"/>
      <c r="J190" s="36"/>
      <c r="K190" s="61"/>
      <c r="L190" s="36"/>
      <c r="M190" s="61"/>
      <c r="N190" s="57"/>
      <c r="O190" s="36"/>
      <c r="P190" s="61"/>
      <c r="Q190" s="66"/>
      <c r="R190" s="15"/>
      <c r="S190" s="15"/>
      <c r="T190" s="15"/>
      <c r="U190" s="36"/>
      <c r="V190" s="36"/>
      <c r="W190" s="63"/>
      <c r="X190" s="14"/>
      <c r="Y190" s="13"/>
      <c r="Z190" s="14"/>
    </row>
    <row r="191" spans="1:26" ht="14.25" customHeight="1" x14ac:dyDescent="0.25">
      <c r="A191" s="14"/>
      <c r="B191" s="14"/>
      <c r="C191" s="14"/>
      <c r="D191" s="36"/>
      <c r="E191" s="64"/>
      <c r="F191" s="36"/>
      <c r="G191" s="36"/>
      <c r="H191" s="36"/>
      <c r="I191" s="36"/>
      <c r="J191" s="36"/>
      <c r="K191" s="61"/>
      <c r="L191" s="36"/>
      <c r="M191" s="61"/>
      <c r="N191" s="57"/>
      <c r="O191" s="36"/>
      <c r="P191" s="61"/>
      <c r="Q191" s="66"/>
      <c r="R191" s="15"/>
      <c r="S191" s="15"/>
      <c r="T191" s="15"/>
      <c r="U191" s="36"/>
      <c r="V191" s="36"/>
      <c r="W191" s="63"/>
      <c r="X191" s="14"/>
      <c r="Y191" s="13"/>
      <c r="Z191" s="14"/>
    </row>
    <row r="192" spans="1:26" ht="14.25" customHeight="1" x14ac:dyDescent="0.25">
      <c r="A192" s="14"/>
      <c r="B192" s="14"/>
      <c r="C192" s="14"/>
      <c r="D192" s="36"/>
      <c r="E192" s="64"/>
      <c r="F192" s="36"/>
      <c r="G192" s="36"/>
      <c r="H192" s="36"/>
      <c r="I192" s="36"/>
      <c r="J192" s="36"/>
      <c r="K192" s="61"/>
      <c r="L192" s="36"/>
      <c r="M192" s="61"/>
      <c r="N192" s="57"/>
      <c r="O192" s="36"/>
      <c r="P192" s="61"/>
      <c r="Q192" s="66"/>
      <c r="R192" s="15"/>
      <c r="S192" s="15"/>
      <c r="T192" s="15"/>
      <c r="U192" s="36"/>
      <c r="V192" s="36"/>
      <c r="W192" s="63"/>
      <c r="X192" s="14"/>
      <c r="Y192" s="13"/>
      <c r="Z192" s="14"/>
    </row>
    <row r="193" spans="1:26" ht="14.25" customHeight="1" x14ac:dyDescent="0.25">
      <c r="A193" s="14"/>
      <c r="B193" s="14"/>
      <c r="C193" s="14"/>
      <c r="D193" s="36"/>
      <c r="E193" s="64"/>
      <c r="F193" s="36"/>
      <c r="G193" s="36"/>
      <c r="H193" s="36"/>
      <c r="I193" s="36"/>
      <c r="J193" s="36"/>
      <c r="K193" s="61"/>
      <c r="L193" s="36"/>
      <c r="M193" s="61"/>
      <c r="N193" s="57"/>
      <c r="O193" s="36"/>
      <c r="P193" s="61"/>
      <c r="Q193" s="66"/>
      <c r="R193" s="15"/>
      <c r="S193" s="15"/>
      <c r="T193" s="15"/>
      <c r="U193" s="36"/>
      <c r="V193" s="36"/>
      <c r="W193" s="63"/>
      <c r="X193" s="14"/>
      <c r="Y193" s="13"/>
      <c r="Z193" s="14"/>
    </row>
    <row r="194" spans="1:26" ht="14.25" customHeight="1" x14ac:dyDescent="0.25">
      <c r="A194" s="14"/>
      <c r="B194" s="14"/>
      <c r="C194" s="14"/>
      <c r="D194" s="36"/>
      <c r="E194" s="64"/>
      <c r="F194" s="36"/>
      <c r="G194" s="36"/>
      <c r="H194" s="36"/>
      <c r="I194" s="36"/>
      <c r="J194" s="36"/>
      <c r="K194" s="61"/>
      <c r="L194" s="36"/>
      <c r="M194" s="61"/>
      <c r="N194" s="57"/>
      <c r="O194" s="36"/>
      <c r="P194" s="61"/>
      <c r="Q194" s="66"/>
      <c r="R194" s="15"/>
      <c r="S194" s="15"/>
      <c r="T194" s="15"/>
      <c r="U194" s="36"/>
      <c r="V194" s="36"/>
      <c r="W194" s="63"/>
      <c r="X194" s="14"/>
      <c r="Y194" s="13"/>
      <c r="Z194" s="14"/>
    </row>
    <row r="195" spans="1:26" ht="14.25" customHeight="1" x14ac:dyDescent="0.25">
      <c r="A195" s="14"/>
      <c r="B195" s="14"/>
      <c r="C195" s="14"/>
      <c r="D195" s="36"/>
      <c r="E195" s="64"/>
      <c r="F195" s="36"/>
      <c r="G195" s="36"/>
      <c r="H195" s="36"/>
      <c r="I195" s="36"/>
      <c r="J195" s="36"/>
      <c r="K195" s="61"/>
      <c r="L195" s="36"/>
      <c r="M195" s="61"/>
      <c r="N195" s="57"/>
      <c r="O195" s="36"/>
      <c r="P195" s="61"/>
      <c r="Q195" s="66"/>
      <c r="R195" s="15"/>
      <c r="S195" s="15"/>
      <c r="T195" s="15"/>
      <c r="U195" s="36"/>
      <c r="V195" s="36"/>
      <c r="W195" s="63"/>
      <c r="X195" s="14"/>
      <c r="Y195" s="13"/>
      <c r="Z195" s="14"/>
    </row>
    <row r="196" spans="1:26" ht="14.25" customHeight="1" x14ac:dyDescent="0.25">
      <c r="A196" s="14"/>
      <c r="B196" s="14"/>
      <c r="C196" s="14"/>
      <c r="D196" s="36"/>
      <c r="E196" s="64"/>
      <c r="F196" s="36"/>
      <c r="G196" s="36"/>
      <c r="H196" s="36"/>
      <c r="I196" s="36"/>
      <c r="J196" s="36"/>
      <c r="K196" s="61"/>
      <c r="L196" s="36"/>
      <c r="M196" s="61"/>
      <c r="N196" s="57"/>
      <c r="O196" s="36"/>
      <c r="P196" s="61"/>
      <c r="Q196" s="66"/>
      <c r="R196" s="15"/>
      <c r="S196" s="15"/>
      <c r="T196" s="15"/>
      <c r="U196" s="36"/>
      <c r="V196" s="36"/>
      <c r="W196" s="63"/>
      <c r="X196" s="14"/>
      <c r="Y196" s="13"/>
      <c r="Z196" s="14"/>
    </row>
    <row r="197" spans="1:26" ht="14.25" customHeight="1" x14ac:dyDescent="0.25">
      <c r="A197" s="14"/>
      <c r="B197" s="14"/>
      <c r="C197" s="14"/>
      <c r="D197" s="36"/>
      <c r="E197" s="64"/>
      <c r="F197" s="36"/>
      <c r="G197" s="36"/>
      <c r="H197" s="36"/>
      <c r="I197" s="36"/>
      <c r="J197" s="36"/>
      <c r="K197" s="61"/>
      <c r="L197" s="36"/>
      <c r="M197" s="61"/>
      <c r="N197" s="57"/>
      <c r="O197" s="36"/>
      <c r="P197" s="61"/>
      <c r="Q197" s="66"/>
      <c r="R197" s="15"/>
      <c r="S197" s="15"/>
      <c r="T197" s="15"/>
      <c r="U197" s="36"/>
      <c r="V197" s="36"/>
      <c r="W197" s="63"/>
      <c r="X197" s="14"/>
      <c r="Y197" s="13"/>
      <c r="Z197" s="14"/>
    </row>
    <row r="198" spans="1:26" ht="14.25" customHeight="1" x14ac:dyDescent="0.25">
      <c r="A198" s="14"/>
      <c r="B198" s="14"/>
      <c r="C198" s="14"/>
      <c r="D198" s="36"/>
      <c r="E198" s="64"/>
      <c r="F198" s="36"/>
      <c r="G198" s="36"/>
      <c r="H198" s="36"/>
      <c r="I198" s="36"/>
      <c r="J198" s="36"/>
      <c r="K198" s="61"/>
      <c r="L198" s="36"/>
      <c r="M198" s="61"/>
      <c r="N198" s="57"/>
      <c r="O198" s="36"/>
      <c r="P198" s="61"/>
      <c r="Q198" s="66"/>
      <c r="R198" s="15"/>
      <c r="S198" s="15"/>
      <c r="T198" s="15"/>
      <c r="U198" s="36"/>
      <c r="V198" s="36"/>
      <c r="W198" s="63"/>
      <c r="X198" s="14"/>
      <c r="Y198" s="13"/>
      <c r="Z198" s="14"/>
    </row>
    <row r="199" spans="1:26" ht="14.25" customHeight="1" x14ac:dyDescent="0.25">
      <c r="A199" s="14"/>
      <c r="B199" s="14"/>
      <c r="C199" s="14"/>
      <c r="D199" s="36"/>
      <c r="E199" s="64"/>
      <c r="F199" s="36"/>
      <c r="G199" s="36"/>
      <c r="H199" s="36"/>
      <c r="I199" s="36"/>
      <c r="J199" s="36"/>
      <c r="K199" s="61"/>
      <c r="L199" s="57"/>
      <c r="M199" s="61"/>
      <c r="N199" s="57"/>
      <c r="O199" s="36"/>
      <c r="P199" s="61"/>
      <c r="Q199" s="66"/>
      <c r="R199" s="15"/>
      <c r="S199" s="15"/>
      <c r="T199" s="15"/>
      <c r="U199" s="36"/>
      <c r="V199" s="36"/>
      <c r="W199" s="114"/>
      <c r="X199" s="14"/>
      <c r="Y199" s="13"/>
      <c r="Z199" s="14"/>
    </row>
    <row r="200" spans="1:26" ht="14.25" customHeight="1" x14ac:dyDescent="0.25">
      <c r="A200" s="14"/>
      <c r="B200" s="14"/>
      <c r="C200" s="14"/>
      <c r="D200" s="36"/>
      <c r="E200" s="64"/>
      <c r="F200" s="36"/>
      <c r="G200" s="36"/>
      <c r="H200" s="36"/>
      <c r="I200" s="36"/>
      <c r="J200" s="111"/>
      <c r="K200" s="115"/>
      <c r="L200" s="116"/>
      <c r="M200" s="61"/>
      <c r="N200" s="57"/>
      <c r="O200" s="36"/>
      <c r="P200" s="61"/>
      <c r="Q200" s="66"/>
      <c r="R200" s="15"/>
      <c r="S200" s="15"/>
      <c r="T200" s="15"/>
      <c r="U200" s="36"/>
      <c r="V200" s="36"/>
      <c r="W200" s="63"/>
      <c r="X200" s="14"/>
      <c r="Y200" s="13"/>
      <c r="Z200" s="14"/>
    </row>
    <row r="201" spans="1:26" ht="14.25" customHeight="1" x14ac:dyDescent="0.25">
      <c r="A201" s="14"/>
      <c r="B201" s="14"/>
      <c r="C201" s="14"/>
      <c r="D201" s="36"/>
      <c r="E201" s="64"/>
      <c r="F201" s="36"/>
      <c r="G201" s="36"/>
      <c r="H201" s="36"/>
      <c r="I201" s="36"/>
      <c r="J201" s="36"/>
      <c r="K201" s="61"/>
      <c r="L201" s="36"/>
      <c r="M201" s="61"/>
      <c r="N201" s="57"/>
      <c r="O201" s="36"/>
      <c r="P201" s="61"/>
      <c r="Q201" s="66"/>
      <c r="R201" s="15"/>
      <c r="S201" s="15"/>
      <c r="T201" s="15"/>
      <c r="U201" s="36"/>
      <c r="V201" s="36"/>
      <c r="W201" s="63"/>
      <c r="X201" s="14"/>
      <c r="Y201" s="13"/>
      <c r="Z201" s="14"/>
    </row>
    <row r="202" spans="1:26" ht="14.25" customHeight="1" x14ac:dyDescent="0.25">
      <c r="A202" s="14"/>
      <c r="B202" s="14"/>
      <c r="C202" s="14"/>
      <c r="D202" s="36"/>
      <c r="E202" s="64"/>
      <c r="F202" s="36"/>
      <c r="G202" s="36"/>
      <c r="H202" s="36"/>
      <c r="I202" s="36"/>
      <c r="J202" s="36"/>
      <c r="K202" s="61"/>
      <c r="L202" s="36"/>
      <c r="M202" s="61"/>
      <c r="N202" s="57"/>
      <c r="O202" s="36"/>
      <c r="P202" s="61"/>
      <c r="Q202" s="66"/>
      <c r="R202" s="15"/>
      <c r="S202" s="15"/>
      <c r="T202" s="15"/>
      <c r="U202" s="36"/>
      <c r="V202" s="36"/>
      <c r="W202" s="63"/>
      <c r="X202" s="14"/>
      <c r="Y202" s="13"/>
      <c r="Z202" s="14"/>
    </row>
    <row r="203" spans="1:26" ht="14.25" customHeight="1" x14ac:dyDescent="0.25">
      <c r="A203" s="14"/>
      <c r="B203" s="14"/>
      <c r="C203" s="14"/>
      <c r="D203" s="36"/>
      <c r="E203" s="64"/>
      <c r="F203" s="36"/>
      <c r="G203" s="36"/>
      <c r="H203" s="36"/>
      <c r="I203" s="36"/>
      <c r="J203" s="36"/>
      <c r="K203" s="61"/>
      <c r="L203" s="36"/>
      <c r="M203" s="61"/>
      <c r="N203" s="57"/>
      <c r="O203" s="36"/>
      <c r="P203" s="61"/>
      <c r="Q203" s="66"/>
      <c r="R203" s="15"/>
      <c r="S203" s="15"/>
      <c r="T203" s="15"/>
      <c r="U203" s="36"/>
      <c r="V203" s="36"/>
      <c r="W203" s="63"/>
      <c r="X203" s="14"/>
      <c r="Y203" s="13"/>
      <c r="Z203" s="14"/>
    </row>
    <row r="204" spans="1:26" ht="14.25" customHeight="1" x14ac:dyDescent="0.25">
      <c r="A204" s="14"/>
      <c r="B204" s="14"/>
      <c r="C204" s="14"/>
      <c r="D204" s="36"/>
      <c r="E204" s="64"/>
      <c r="F204" s="36"/>
      <c r="G204" s="36"/>
      <c r="H204" s="36"/>
      <c r="I204" s="36"/>
      <c r="J204" s="36"/>
      <c r="K204" s="61"/>
      <c r="L204" s="36"/>
      <c r="M204" s="61"/>
      <c r="N204" s="57"/>
      <c r="O204" s="36"/>
      <c r="P204" s="61"/>
      <c r="Q204" s="66"/>
      <c r="R204" s="15"/>
      <c r="S204" s="15"/>
      <c r="T204" s="15"/>
      <c r="U204" s="36"/>
      <c r="V204" s="36"/>
      <c r="W204" s="63"/>
      <c r="X204" s="14"/>
      <c r="Y204" s="13"/>
      <c r="Z204" s="14"/>
    </row>
    <row r="205" spans="1:26" ht="14.25" customHeight="1" x14ac:dyDescent="0.25">
      <c r="A205" s="14"/>
      <c r="B205" s="14"/>
      <c r="C205" s="14"/>
      <c r="D205" s="36"/>
      <c r="E205" s="64"/>
      <c r="F205" s="36"/>
      <c r="G205" s="36"/>
      <c r="H205" s="36"/>
      <c r="I205" s="36"/>
      <c r="J205" s="36"/>
      <c r="K205" s="61"/>
      <c r="L205" s="36"/>
      <c r="M205" s="61"/>
      <c r="N205" s="57"/>
      <c r="O205" s="36"/>
      <c r="P205" s="61"/>
      <c r="Q205" s="66"/>
      <c r="R205" s="15"/>
      <c r="S205" s="15"/>
      <c r="T205" s="15"/>
      <c r="U205" s="36"/>
      <c r="V205" s="36"/>
      <c r="W205" s="63"/>
      <c r="X205" s="14"/>
      <c r="Y205" s="13"/>
      <c r="Z205" s="14"/>
    </row>
    <row r="206" spans="1:26" ht="14.25" customHeight="1" x14ac:dyDescent="0.25">
      <c r="A206" s="14"/>
      <c r="B206" s="14"/>
      <c r="C206" s="14"/>
      <c r="D206" s="36"/>
      <c r="E206" s="64"/>
      <c r="F206" s="36"/>
      <c r="G206" s="36"/>
      <c r="H206" s="36"/>
      <c r="I206" s="36"/>
      <c r="J206" s="36"/>
      <c r="K206" s="61"/>
      <c r="L206" s="36"/>
      <c r="M206" s="61"/>
      <c r="N206" s="57"/>
      <c r="O206" s="36"/>
      <c r="P206" s="61"/>
      <c r="Q206" s="66"/>
      <c r="R206" s="15"/>
      <c r="S206" s="15"/>
      <c r="T206" s="15"/>
      <c r="U206" s="36"/>
      <c r="V206" s="36"/>
      <c r="W206" s="63"/>
      <c r="X206" s="14"/>
      <c r="Y206" s="13"/>
      <c r="Z206" s="14"/>
    </row>
    <row r="207" spans="1:26" ht="14.25" customHeight="1" x14ac:dyDescent="0.25">
      <c r="A207" s="14"/>
      <c r="B207" s="14"/>
      <c r="C207" s="14"/>
      <c r="D207" s="36"/>
      <c r="E207" s="64"/>
      <c r="F207" s="36"/>
      <c r="G207" s="36"/>
      <c r="H207" s="36"/>
      <c r="I207" s="36"/>
      <c r="J207" s="36"/>
      <c r="K207" s="61"/>
      <c r="L207" s="36"/>
      <c r="M207" s="61"/>
      <c r="N207" s="57"/>
      <c r="O207" s="36"/>
      <c r="P207" s="61"/>
      <c r="Q207" s="66"/>
      <c r="R207" s="15"/>
      <c r="S207" s="15"/>
      <c r="T207" s="15"/>
      <c r="U207" s="36"/>
      <c r="V207" s="36"/>
      <c r="W207" s="63"/>
      <c r="X207" s="14"/>
      <c r="Y207" s="13"/>
      <c r="Z207" s="14"/>
    </row>
    <row r="208" spans="1:26" ht="14.25" customHeight="1" x14ac:dyDescent="0.25">
      <c r="A208" s="14"/>
      <c r="B208" s="14"/>
      <c r="C208" s="14"/>
      <c r="D208" s="36"/>
      <c r="E208" s="64"/>
      <c r="F208" s="36"/>
      <c r="G208" s="36"/>
      <c r="H208" s="36"/>
      <c r="I208" s="36"/>
      <c r="J208" s="36"/>
      <c r="K208" s="61"/>
      <c r="L208" s="36"/>
      <c r="M208" s="61"/>
      <c r="N208" s="57"/>
      <c r="O208" s="36"/>
      <c r="P208" s="61"/>
      <c r="Q208" s="66"/>
      <c r="R208" s="15"/>
      <c r="S208" s="15"/>
      <c r="T208" s="15"/>
      <c r="U208" s="36"/>
      <c r="V208" s="36"/>
      <c r="W208" s="63"/>
      <c r="X208" s="14"/>
      <c r="Y208" s="13"/>
      <c r="Z208" s="14"/>
    </row>
    <row r="209" spans="1:26" ht="14.25" customHeight="1" x14ac:dyDescent="0.25">
      <c r="A209" s="14"/>
      <c r="B209" s="14"/>
      <c r="C209" s="14"/>
      <c r="D209" s="36"/>
      <c r="E209" s="64"/>
      <c r="F209" s="36"/>
      <c r="G209" s="36"/>
      <c r="H209" s="36"/>
      <c r="I209" s="36"/>
      <c r="J209" s="36"/>
      <c r="K209" s="61"/>
      <c r="L209" s="36"/>
      <c r="M209" s="61"/>
      <c r="N209" s="57"/>
      <c r="O209" s="36"/>
      <c r="P209" s="61"/>
      <c r="Q209" s="66"/>
      <c r="R209" s="15"/>
      <c r="S209" s="15"/>
      <c r="T209" s="15"/>
      <c r="U209" s="36"/>
      <c r="V209" s="36"/>
      <c r="W209" s="63"/>
      <c r="X209" s="14"/>
      <c r="Y209" s="13"/>
      <c r="Z209" s="14"/>
    </row>
    <row r="210" spans="1:26" ht="14.25" customHeight="1" x14ac:dyDescent="0.25">
      <c r="A210" s="14"/>
      <c r="B210" s="14"/>
      <c r="C210" s="14"/>
      <c r="D210" s="36"/>
      <c r="E210" s="64"/>
      <c r="F210" s="36"/>
      <c r="G210" s="36"/>
      <c r="H210" s="36"/>
      <c r="I210" s="36"/>
      <c r="J210" s="36"/>
      <c r="K210" s="61"/>
      <c r="L210" s="36"/>
      <c r="M210" s="61"/>
      <c r="N210" s="57"/>
      <c r="O210" s="15"/>
      <c r="P210" s="27"/>
      <c r="Q210" s="30"/>
      <c r="R210" s="15"/>
      <c r="S210" s="15"/>
      <c r="T210" s="15"/>
      <c r="U210" s="36"/>
      <c r="V210" s="36"/>
      <c r="W210" s="63"/>
      <c r="X210" s="14"/>
      <c r="Y210" s="13"/>
      <c r="Z210" s="14"/>
    </row>
    <row r="211" spans="1:26" ht="14.25" customHeight="1" x14ac:dyDescent="0.25">
      <c r="A211" s="14"/>
      <c r="B211" s="14"/>
      <c r="C211" s="14"/>
      <c r="D211" s="71"/>
      <c r="E211" s="72"/>
      <c r="F211" s="71"/>
      <c r="G211" s="71"/>
      <c r="H211" s="71"/>
      <c r="I211" s="71"/>
      <c r="J211" s="71"/>
      <c r="K211" s="61"/>
      <c r="L211" s="15"/>
      <c r="M211" s="61"/>
      <c r="N211" s="57"/>
      <c r="O211" s="15"/>
      <c r="P211" s="27"/>
      <c r="Q211" s="30"/>
      <c r="R211" s="15"/>
      <c r="S211" s="15"/>
      <c r="T211" s="15"/>
      <c r="U211" s="71"/>
      <c r="V211" s="71"/>
      <c r="W211" s="17"/>
      <c r="X211" s="14"/>
      <c r="Y211" s="13"/>
      <c r="Z211" s="14"/>
    </row>
    <row r="212" spans="1:26" ht="14.25" customHeight="1" x14ac:dyDescent="0.25">
      <c r="A212" s="14"/>
      <c r="B212" s="14"/>
      <c r="C212" s="14"/>
      <c r="D212" s="15"/>
      <c r="E212" s="147"/>
      <c r="F212" s="17"/>
      <c r="G212" s="17"/>
      <c r="H212" s="17"/>
      <c r="I212" s="17"/>
      <c r="J212" s="15"/>
      <c r="K212" s="27"/>
      <c r="L212" s="15"/>
      <c r="M212" s="61"/>
      <c r="N212" s="57"/>
      <c r="O212" s="15"/>
      <c r="P212" s="27"/>
      <c r="Q212" s="30"/>
      <c r="R212" s="15"/>
      <c r="S212" s="15"/>
      <c r="T212" s="15"/>
      <c r="U212" s="15"/>
      <c r="V212" s="15"/>
      <c r="W212" s="15"/>
      <c r="X212" s="14"/>
      <c r="Y212" s="13"/>
      <c r="Z212" s="14"/>
    </row>
    <row r="213" spans="1:26" ht="14.25" customHeight="1" x14ac:dyDescent="0.25">
      <c r="A213" s="14"/>
      <c r="B213" s="14"/>
      <c r="C213" s="14"/>
      <c r="D213" s="15"/>
      <c r="E213" s="147"/>
      <c r="F213" s="17"/>
      <c r="G213" s="17"/>
      <c r="H213" s="17"/>
      <c r="I213" s="17"/>
      <c r="J213" s="15"/>
      <c r="K213" s="27"/>
      <c r="L213" s="15"/>
      <c r="M213" s="61"/>
      <c r="N213" s="57"/>
      <c r="O213" s="15"/>
      <c r="P213" s="27"/>
      <c r="Q213" s="30"/>
      <c r="R213" s="15"/>
      <c r="S213" s="15"/>
      <c r="T213" s="15"/>
      <c r="U213" s="15"/>
      <c r="V213" s="15"/>
      <c r="W213" s="15"/>
      <c r="X213" s="14"/>
      <c r="Y213" s="13"/>
      <c r="Z213" s="14"/>
    </row>
    <row r="214" spans="1:26" ht="14.25" customHeight="1" x14ac:dyDescent="0.25">
      <c r="A214" s="14"/>
      <c r="B214" s="14"/>
      <c r="C214" s="14"/>
      <c r="D214" s="15"/>
      <c r="E214" s="147"/>
      <c r="F214" s="17"/>
      <c r="G214" s="17"/>
      <c r="H214" s="17"/>
      <c r="I214" s="17"/>
      <c r="J214" s="15"/>
      <c r="K214" s="27"/>
      <c r="L214" s="15"/>
      <c r="M214" s="61"/>
      <c r="N214" s="57"/>
      <c r="O214" s="36"/>
      <c r="P214" s="61"/>
      <c r="Q214" s="66"/>
      <c r="R214" s="15"/>
      <c r="S214" s="15"/>
      <c r="T214" s="15"/>
      <c r="U214" s="15"/>
      <c r="V214" s="15"/>
      <c r="W214" s="15"/>
      <c r="X214" s="14"/>
      <c r="Y214" s="13"/>
      <c r="Z214" s="14"/>
    </row>
    <row r="215" spans="1:26" ht="14.25" customHeight="1" x14ac:dyDescent="0.25">
      <c r="A215" s="14"/>
      <c r="B215" s="14"/>
      <c r="C215" s="14"/>
      <c r="D215" s="36"/>
      <c r="E215" s="64"/>
      <c r="F215" s="36"/>
      <c r="G215" s="36"/>
      <c r="H215" s="36"/>
      <c r="I215" s="36"/>
      <c r="J215" s="36"/>
      <c r="K215" s="61"/>
      <c r="L215" s="14"/>
      <c r="M215" s="61"/>
      <c r="N215" s="57"/>
      <c r="O215" s="36"/>
      <c r="P215" s="61"/>
      <c r="Q215" s="66"/>
      <c r="R215" s="14"/>
      <c r="S215" s="14"/>
      <c r="T215" s="14"/>
      <c r="U215" s="14"/>
      <c r="V215" s="14"/>
      <c r="W215" s="14"/>
      <c r="X215" s="14"/>
      <c r="Y215" s="13"/>
      <c r="Z215" s="14"/>
    </row>
    <row r="216" spans="1:26" ht="14.25" customHeight="1" x14ac:dyDescent="0.25">
      <c r="A216" s="14"/>
      <c r="B216" s="14"/>
      <c r="C216" s="14"/>
      <c r="D216" s="36"/>
      <c r="E216" s="64"/>
      <c r="F216" s="36"/>
      <c r="G216" s="36"/>
      <c r="H216" s="36"/>
      <c r="I216" s="36"/>
      <c r="J216" s="36"/>
      <c r="K216" s="61"/>
      <c r="L216" s="14"/>
      <c r="M216" s="61"/>
      <c r="N216" s="57"/>
      <c r="O216" s="36"/>
      <c r="P216" s="61"/>
      <c r="Q216" s="66"/>
      <c r="R216" s="14"/>
      <c r="S216" s="14"/>
      <c r="T216" s="14"/>
      <c r="U216" s="14"/>
      <c r="V216" s="14"/>
      <c r="W216" s="14"/>
      <c r="X216" s="14"/>
      <c r="Y216" s="13"/>
      <c r="Z216" s="14"/>
    </row>
    <row r="217" spans="1:26" ht="14.25" customHeight="1" x14ac:dyDescent="0.25">
      <c r="A217" s="14"/>
      <c r="B217" s="14"/>
      <c r="C217" s="14"/>
      <c r="D217" s="36"/>
      <c r="E217" s="64"/>
      <c r="F217" s="36"/>
      <c r="G217" s="36"/>
      <c r="H217" s="36"/>
      <c r="I217" s="36"/>
      <c r="J217" s="36"/>
      <c r="K217" s="61"/>
      <c r="L217" s="14"/>
      <c r="M217" s="61"/>
      <c r="N217" s="57"/>
      <c r="O217" s="36"/>
      <c r="P217" s="61"/>
      <c r="Q217" s="66"/>
      <c r="R217" s="14"/>
      <c r="S217" s="14"/>
      <c r="T217" s="14"/>
      <c r="U217" s="14"/>
      <c r="V217" s="14"/>
      <c r="W217" s="14"/>
      <c r="X217" s="14"/>
      <c r="Y217" s="13"/>
      <c r="Z217" s="14"/>
    </row>
    <row r="218" spans="1:26" ht="14.25" customHeight="1" x14ac:dyDescent="0.25">
      <c r="A218" s="14"/>
      <c r="B218" s="14"/>
      <c r="C218" s="14"/>
      <c r="D218" s="36"/>
      <c r="E218" s="64"/>
      <c r="F218" s="36"/>
      <c r="G218" s="36"/>
      <c r="H218" s="36"/>
      <c r="I218" s="36"/>
      <c r="J218" s="36"/>
      <c r="K218" s="61"/>
      <c r="L218" s="14"/>
      <c r="M218" s="61"/>
      <c r="N218" s="57"/>
      <c r="O218" s="36"/>
      <c r="P218" s="61"/>
      <c r="Q218" s="66"/>
      <c r="R218" s="14"/>
      <c r="S218" s="14"/>
      <c r="T218" s="14"/>
      <c r="U218" s="14"/>
      <c r="V218" s="14"/>
      <c r="W218" s="14"/>
      <c r="X218" s="14"/>
      <c r="Y218" s="13"/>
      <c r="Z218" s="14"/>
    </row>
    <row r="219" spans="1:26" ht="14.25" customHeight="1" x14ac:dyDescent="0.25">
      <c r="A219" s="14"/>
      <c r="B219" s="14"/>
      <c r="C219" s="14"/>
      <c r="D219" s="15"/>
      <c r="E219" s="147"/>
      <c r="F219" s="17"/>
      <c r="G219" s="17"/>
      <c r="H219" s="17"/>
      <c r="I219" s="17"/>
      <c r="J219" s="15"/>
      <c r="K219" s="61"/>
      <c r="L219" s="14"/>
      <c r="M219" s="61"/>
      <c r="N219" s="57"/>
      <c r="O219" s="36"/>
      <c r="P219" s="61"/>
      <c r="Q219" s="66"/>
      <c r="R219" s="14"/>
      <c r="S219" s="14"/>
      <c r="T219" s="14"/>
      <c r="U219" s="14"/>
      <c r="V219" s="14"/>
      <c r="W219" s="14"/>
      <c r="X219" s="14"/>
      <c r="Y219" s="13"/>
      <c r="Z219" s="14"/>
    </row>
    <row r="220" spans="1:26" ht="14.25" customHeight="1" x14ac:dyDescent="0.25">
      <c r="A220" s="14"/>
      <c r="B220" s="14"/>
      <c r="C220" s="14"/>
      <c r="D220" s="36"/>
      <c r="E220" s="64"/>
      <c r="F220" s="36"/>
      <c r="G220" s="36"/>
      <c r="H220" s="36"/>
      <c r="I220" s="36"/>
      <c r="J220" s="36"/>
      <c r="K220" s="61"/>
      <c r="L220" s="14"/>
      <c r="M220" s="61"/>
      <c r="N220" s="57"/>
      <c r="O220" s="36"/>
      <c r="P220" s="61"/>
      <c r="Q220" s="66"/>
      <c r="R220" s="14"/>
      <c r="S220" s="14"/>
      <c r="T220" s="14"/>
      <c r="U220" s="14"/>
      <c r="V220" s="14"/>
      <c r="W220" s="14"/>
      <c r="X220" s="14"/>
      <c r="Y220" s="13"/>
      <c r="Z220" s="14"/>
    </row>
    <row r="221" spans="1:26" ht="14.25" customHeight="1" x14ac:dyDescent="0.25">
      <c r="A221" s="14"/>
      <c r="B221" s="14"/>
      <c r="C221" s="14"/>
      <c r="D221" s="36"/>
      <c r="E221" s="64"/>
      <c r="F221" s="36"/>
      <c r="G221" s="36"/>
      <c r="H221" s="36"/>
      <c r="I221" s="36"/>
      <c r="J221" s="36"/>
      <c r="K221" s="61"/>
      <c r="L221" s="14"/>
      <c r="M221" s="61"/>
      <c r="N221" s="57"/>
      <c r="O221" s="36"/>
      <c r="P221" s="61"/>
      <c r="Q221" s="66"/>
      <c r="R221" s="14"/>
      <c r="S221" s="14"/>
      <c r="T221" s="14"/>
      <c r="U221" s="14"/>
      <c r="V221" s="14"/>
      <c r="W221" s="14"/>
      <c r="X221" s="14"/>
      <c r="Y221" s="13"/>
      <c r="Z221" s="14"/>
    </row>
    <row r="222" spans="1:26" ht="14.25" customHeight="1" x14ac:dyDescent="0.25">
      <c r="A222" s="14"/>
      <c r="B222" s="14"/>
      <c r="C222" s="14"/>
      <c r="D222" s="36"/>
      <c r="E222" s="64"/>
      <c r="F222" s="36"/>
      <c r="G222" s="36"/>
      <c r="H222" s="36"/>
      <c r="I222" s="36"/>
      <c r="J222" s="36"/>
      <c r="K222" s="61"/>
      <c r="L222" s="14"/>
      <c r="M222" s="61"/>
      <c r="N222" s="57"/>
      <c r="O222" s="36"/>
      <c r="P222" s="61"/>
      <c r="Q222" s="66"/>
      <c r="R222" s="14"/>
      <c r="S222" s="14"/>
      <c r="T222" s="14"/>
      <c r="U222" s="14"/>
      <c r="V222" s="14"/>
      <c r="W222" s="14"/>
      <c r="X222" s="14"/>
      <c r="Y222" s="13"/>
      <c r="Z222" s="14"/>
    </row>
    <row r="223" spans="1:26" ht="14.25" customHeight="1" x14ac:dyDescent="0.25">
      <c r="A223" s="14"/>
      <c r="B223" s="14"/>
      <c r="C223" s="14"/>
      <c r="D223" s="36"/>
      <c r="E223" s="64"/>
      <c r="F223" s="36"/>
      <c r="G223" s="36"/>
      <c r="H223" s="36"/>
      <c r="I223" s="36"/>
      <c r="J223" s="36"/>
      <c r="K223" s="61"/>
      <c r="L223" s="14"/>
      <c r="M223" s="61"/>
      <c r="N223" s="57"/>
      <c r="O223" s="36"/>
      <c r="P223" s="61"/>
      <c r="Q223" s="66"/>
      <c r="R223" s="14"/>
      <c r="S223" s="14"/>
      <c r="T223" s="14"/>
      <c r="U223" s="14"/>
      <c r="V223" s="14"/>
      <c r="W223" s="14"/>
      <c r="X223" s="14"/>
      <c r="Y223" s="13"/>
      <c r="Z223" s="14"/>
    </row>
    <row r="224" spans="1:26" ht="14.25" customHeight="1" x14ac:dyDescent="0.25">
      <c r="A224" s="14"/>
      <c r="B224" s="14"/>
      <c r="C224" s="14"/>
      <c r="D224" s="36"/>
      <c r="E224" s="64"/>
      <c r="F224" s="36"/>
      <c r="G224" s="36"/>
      <c r="H224" s="36"/>
      <c r="I224" s="36"/>
      <c r="J224" s="36"/>
      <c r="K224" s="61"/>
      <c r="L224" s="14"/>
      <c r="M224" s="61"/>
      <c r="N224" s="57"/>
      <c r="O224" s="36"/>
      <c r="P224" s="61"/>
      <c r="Q224" s="66"/>
      <c r="R224" s="14"/>
      <c r="S224" s="14"/>
      <c r="T224" s="14"/>
      <c r="U224" s="14"/>
      <c r="V224" s="14"/>
      <c r="W224" s="14"/>
      <c r="X224" s="14"/>
      <c r="Y224" s="13"/>
      <c r="Z224" s="14"/>
    </row>
    <row r="225" spans="1:26" ht="14.25" customHeight="1" x14ac:dyDescent="0.25">
      <c r="A225" s="14"/>
      <c r="B225" s="14"/>
      <c r="C225" s="14"/>
      <c r="D225" s="36"/>
      <c r="E225" s="64"/>
      <c r="F225" s="36"/>
      <c r="G225" s="36"/>
      <c r="H225" s="36"/>
      <c r="I225" s="36"/>
      <c r="J225" s="36"/>
      <c r="K225" s="61"/>
      <c r="L225" s="14"/>
      <c r="M225" s="61"/>
      <c r="N225" s="57"/>
      <c r="O225" s="36"/>
      <c r="P225" s="61"/>
      <c r="Q225" s="66"/>
      <c r="R225" s="14"/>
      <c r="S225" s="14"/>
      <c r="T225" s="14"/>
      <c r="U225" s="14"/>
      <c r="V225" s="14"/>
      <c r="W225" s="14"/>
      <c r="X225" s="14"/>
      <c r="Y225" s="13"/>
      <c r="Z225" s="14"/>
    </row>
    <row r="226" spans="1:26" ht="14.25" customHeight="1" x14ac:dyDescent="0.25">
      <c r="A226" s="14"/>
      <c r="B226" s="14"/>
      <c r="C226" s="14"/>
      <c r="D226" s="36"/>
      <c r="E226" s="64"/>
      <c r="F226" s="36"/>
      <c r="G226" s="36"/>
      <c r="H226" s="36"/>
      <c r="I226" s="36"/>
      <c r="J226" s="36"/>
      <c r="K226" s="61"/>
      <c r="L226" s="14"/>
      <c r="M226" s="61"/>
      <c r="N226" s="57"/>
      <c r="O226" s="36"/>
      <c r="P226" s="61"/>
      <c r="Q226" s="66"/>
      <c r="R226" s="14"/>
      <c r="S226" s="14"/>
      <c r="T226" s="14"/>
      <c r="U226" s="14"/>
      <c r="V226" s="14"/>
      <c r="W226" s="14"/>
      <c r="X226" s="14"/>
      <c r="Y226" s="13"/>
      <c r="Z226" s="14"/>
    </row>
    <row r="227" spans="1:26" ht="14.25" customHeight="1" x14ac:dyDescent="0.25">
      <c r="A227" s="14"/>
      <c r="B227" s="14"/>
      <c r="C227" s="14"/>
      <c r="D227" s="36"/>
      <c r="E227" s="64"/>
      <c r="F227" s="36"/>
      <c r="G227" s="36"/>
      <c r="H227" s="36"/>
      <c r="I227" s="36"/>
      <c r="J227" s="36"/>
      <c r="K227" s="61"/>
      <c r="L227" s="14"/>
      <c r="M227" s="61"/>
      <c r="N227" s="57"/>
      <c r="O227" s="36"/>
      <c r="P227" s="61"/>
      <c r="Q227" s="66"/>
      <c r="R227" s="14"/>
      <c r="S227" s="14"/>
      <c r="T227" s="14"/>
      <c r="U227" s="14"/>
      <c r="V227" s="14"/>
      <c r="W227" s="14"/>
      <c r="X227" s="14"/>
      <c r="Y227" s="13"/>
      <c r="Z227" s="14"/>
    </row>
    <row r="228" spans="1:26" ht="14.25" customHeight="1" x14ac:dyDescent="0.25">
      <c r="A228" s="14"/>
      <c r="B228" s="14"/>
      <c r="C228" s="14"/>
      <c r="D228" s="36"/>
      <c r="E228" s="64"/>
      <c r="F228" s="36"/>
      <c r="G228" s="36"/>
      <c r="H228" s="36"/>
      <c r="I228" s="36"/>
      <c r="J228" s="36"/>
      <c r="K228" s="61"/>
      <c r="L228" s="14"/>
      <c r="M228" s="61"/>
      <c r="N228" s="57"/>
      <c r="O228" s="36"/>
      <c r="P228" s="61"/>
      <c r="Q228" s="66"/>
      <c r="R228" s="14"/>
      <c r="S228" s="14"/>
      <c r="T228" s="14"/>
      <c r="U228" s="14"/>
      <c r="V228" s="14"/>
      <c r="W228" s="14"/>
      <c r="X228" s="14"/>
      <c r="Y228" s="13"/>
      <c r="Z228" s="14"/>
    </row>
    <row r="229" spans="1:26" ht="14.25" customHeight="1" x14ac:dyDescent="0.25">
      <c r="A229" s="14"/>
      <c r="B229" s="14"/>
      <c r="C229" s="14"/>
      <c r="D229" s="36"/>
      <c r="E229" s="64"/>
      <c r="F229" s="36"/>
      <c r="G229" s="36"/>
      <c r="H229" s="36"/>
      <c r="I229" s="36"/>
      <c r="J229" s="36"/>
      <c r="K229" s="61"/>
      <c r="L229" s="14"/>
      <c r="M229" s="61"/>
      <c r="N229" s="57"/>
      <c r="O229" s="36"/>
      <c r="P229" s="61"/>
      <c r="Q229" s="66"/>
      <c r="R229" s="14"/>
      <c r="S229" s="14"/>
      <c r="T229" s="14"/>
      <c r="U229" s="14"/>
      <c r="V229" s="14"/>
      <c r="W229" s="14"/>
      <c r="X229" s="14"/>
      <c r="Y229" s="13"/>
      <c r="Z229" s="14"/>
    </row>
    <row r="230" spans="1:26" ht="14.25" customHeight="1" x14ac:dyDescent="0.25">
      <c r="A230" s="14"/>
      <c r="B230" s="14"/>
      <c r="C230" s="14"/>
      <c r="D230" s="36"/>
      <c r="E230" s="64"/>
      <c r="F230" s="36"/>
      <c r="G230" s="36"/>
      <c r="H230" s="36"/>
      <c r="I230" s="36"/>
      <c r="J230" s="36"/>
      <c r="K230" s="61"/>
      <c r="L230" s="14"/>
      <c r="M230" s="61"/>
      <c r="N230" s="57"/>
      <c r="O230" s="36"/>
      <c r="P230" s="61"/>
      <c r="Q230" s="66"/>
      <c r="R230" s="14"/>
      <c r="S230" s="14"/>
      <c r="T230" s="14"/>
      <c r="U230" s="14"/>
      <c r="V230" s="14"/>
      <c r="W230" s="14"/>
      <c r="X230" s="14"/>
      <c r="Y230" s="13"/>
      <c r="Z230" s="14"/>
    </row>
    <row r="231" spans="1:26" ht="14.25" customHeight="1" x14ac:dyDescent="0.25">
      <c r="A231" s="14"/>
      <c r="B231" s="14"/>
      <c r="C231" s="14"/>
      <c r="D231" s="36"/>
      <c r="E231" s="64"/>
      <c r="F231" s="36"/>
      <c r="G231" s="36"/>
      <c r="H231" s="36"/>
      <c r="I231" s="36"/>
      <c r="J231" s="36"/>
      <c r="K231" s="61"/>
      <c r="L231" s="14"/>
      <c r="M231" s="61"/>
      <c r="N231" s="57"/>
      <c r="O231" s="36"/>
      <c r="P231" s="61"/>
      <c r="Q231" s="66"/>
      <c r="R231" s="14"/>
      <c r="S231" s="14"/>
      <c r="T231" s="14"/>
      <c r="U231" s="14"/>
      <c r="V231" s="14"/>
      <c r="W231" s="14"/>
      <c r="X231" s="14"/>
      <c r="Y231" s="13"/>
      <c r="Z231" s="14"/>
    </row>
    <row r="232" spans="1:26" ht="14.25" customHeight="1" x14ac:dyDescent="0.25">
      <c r="A232" s="14"/>
      <c r="B232" s="14"/>
      <c r="C232" s="14"/>
      <c r="D232" s="36"/>
      <c r="E232" s="64"/>
      <c r="F232" s="36"/>
      <c r="G232" s="36"/>
      <c r="H232" s="36"/>
      <c r="I232" s="36"/>
      <c r="J232" s="36"/>
      <c r="K232" s="61"/>
      <c r="L232" s="14"/>
      <c r="M232" s="61"/>
      <c r="N232" s="57"/>
      <c r="O232" s="36"/>
      <c r="P232" s="61"/>
      <c r="Q232" s="66"/>
      <c r="R232" s="14"/>
      <c r="S232" s="14"/>
      <c r="T232" s="14"/>
      <c r="U232" s="14"/>
      <c r="V232" s="14"/>
      <c r="W232" s="14"/>
      <c r="X232" s="14"/>
      <c r="Y232" s="13"/>
      <c r="Z232" s="14"/>
    </row>
    <row r="233" spans="1:26" ht="14.25" customHeight="1" x14ac:dyDescent="0.25">
      <c r="A233" s="14"/>
      <c r="B233" s="14"/>
      <c r="C233" s="14"/>
      <c r="D233" s="36"/>
      <c r="E233" s="64"/>
      <c r="F233" s="36"/>
      <c r="G233" s="36"/>
      <c r="H233" s="36"/>
      <c r="I233" s="36"/>
      <c r="J233" s="36"/>
      <c r="K233" s="61"/>
      <c r="L233" s="14"/>
      <c r="M233" s="61"/>
      <c r="N233" s="57"/>
      <c r="O233" s="36"/>
      <c r="P233" s="61"/>
      <c r="Q233" s="66"/>
      <c r="R233" s="14"/>
      <c r="S233" s="14"/>
      <c r="T233" s="14"/>
      <c r="U233" s="14"/>
      <c r="V233" s="14"/>
      <c r="W233" s="14"/>
      <c r="X233" s="14"/>
      <c r="Y233" s="13"/>
      <c r="Z233" s="14"/>
    </row>
    <row r="234" spans="1:26" ht="14.25" customHeight="1" x14ac:dyDescent="0.25">
      <c r="A234" s="14"/>
      <c r="B234" s="14"/>
      <c r="C234" s="14"/>
      <c r="D234" s="36"/>
      <c r="E234" s="64"/>
      <c r="F234" s="36"/>
      <c r="G234" s="36"/>
      <c r="H234" s="36"/>
      <c r="I234" s="36"/>
      <c r="J234" s="36"/>
      <c r="K234" s="61"/>
      <c r="L234" s="14"/>
      <c r="M234" s="61"/>
      <c r="N234" s="57"/>
      <c r="O234" s="36"/>
      <c r="P234" s="61"/>
      <c r="Q234" s="66"/>
      <c r="R234" s="14"/>
      <c r="S234" s="14"/>
      <c r="T234" s="14"/>
      <c r="U234" s="14"/>
      <c r="V234" s="14"/>
      <c r="W234" s="14"/>
      <c r="X234" s="14"/>
      <c r="Y234" s="13"/>
      <c r="Z234" s="14"/>
    </row>
    <row r="235" spans="1:26" ht="14.25" customHeight="1" x14ac:dyDescent="0.25">
      <c r="A235" s="14"/>
      <c r="B235" s="14"/>
      <c r="C235" s="14"/>
      <c r="D235" s="63"/>
      <c r="E235" s="84"/>
      <c r="F235" s="63"/>
      <c r="G235" s="63"/>
      <c r="H235" s="63"/>
      <c r="I235" s="63"/>
      <c r="J235" s="63"/>
      <c r="K235" s="78"/>
      <c r="L235" s="14"/>
      <c r="M235" s="78"/>
      <c r="N235" s="57"/>
      <c r="O235" s="63"/>
      <c r="P235" s="78"/>
      <c r="Q235" s="30"/>
      <c r="R235" s="14"/>
      <c r="S235" s="14"/>
      <c r="T235" s="14"/>
      <c r="U235" s="14"/>
      <c r="V235" s="14"/>
      <c r="W235" s="14"/>
      <c r="X235" s="14"/>
      <c r="Y235" s="13"/>
      <c r="Z235" s="14"/>
    </row>
    <row r="236" spans="1:26" ht="14.25" customHeight="1" x14ac:dyDescent="0.25">
      <c r="A236" s="14"/>
      <c r="B236" s="14"/>
      <c r="C236" s="14"/>
      <c r="D236" s="36"/>
      <c r="E236" s="64"/>
      <c r="F236" s="36"/>
      <c r="G236" s="36"/>
      <c r="H236" s="36"/>
      <c r="I236" s="36"/>
      <c r="J236" s="36"/>
      <c r="K236" s="61"/>
      <c r="L236" s="14"/>
      <c r="M236" s="61"/>
      <c r="N236" s="57"/>
      <c r="O236" s="36"/>
      <c r="P236" s="61"/>
      <c r="Q236" s="66"/>
      <c r="R236" s="14"/>
      <c r="S236" s="14"/>
      <c r="T236" s="14"/>
      <c r="U236" s="14"/>
      <c r="V236" s="14"/>
      <c r="W236" s="14"/>
      <c r="X236" s="14"/>
      <c r="Y236" s="13"/>
      <c r="Z236" s="14"/>
    </row>
    <row r="237" spans="1:26" ht="14.25" customHeight="1" x14ac:dyDescent="0.25">
      <c r="A237" s="14"/>
      <c r="B237" s="14"/>
      <c r="C237" s="14"/>
      <c r="D237" s="36"/>
      <c r="E237" s="64"/>
      <c r="F237" s="36"/>
      <c r="G237" s="36"/>
      <c r="H237" s="36"/>
      <c r="I237" s="36"/>
      <c r="J237" s="36"/>
      <c r="K237" s="61"/>
      <c r="L237" s="14"/>
      <c r="M237" s="61"/>
      <c r="N237" s="57"/>
      <c r="O237" s="36"/>
      <c r="P237" s="61"/>
      <c r="Q237" s="66"/>
      <c r="R237" s="14"/>
      <c r="S237" s="14"/>
      <c r="T237" s="14"/>
      <c r="U237" s="14"/>
      <c r="V237" s="14"/>
      <c r="W237" s="14"/>
      <c r="X237" s="14"/>
      <c r="Y237" s="13"/>
      <c r="Z237" s="14"/>
    </row>
    <row r="238" spans="1:26" ht="14.25" customHeight="1" x14ac:dyDescent="0.25">
      <c r="A238" s="14"/>
      <c r="B238" s="14"/>
      <c r="C238" s="14"/>
      <c r="D238" s="36"/>
      <c r="E238" s="64"/>
      <c r="F238" s="36"/>
      <c r="G238" s="36"/>
      <c r="H238" s="36"/>
      <c r="I238" s="36"/>
      <c r="J238" s="36"/>
      <c r="K238" s="61"/>
      <c r="L238" s="14"/>
      <c r="M238" s="61"/>
      <c r="N238" s="57"/>
      <c r="O238" s="36"/>
      <c r="P238" s="61"/>
      <c r="Q238" s="66"/>
      <c r="R238" s="14"/>
      <c r="S238" s="14"/>
      <c r="T238" s="14"/>
      <c r="U238" s="14"/>
      <c r="V238" s="14"/>
      <c r="W238" s="14"/>
      <c r="X238" s="14"/>
      <c r="Y238" s="13"/>
      <c r="Z238" s="14"/>
    </row>
    <row r="239" spans="1:26" ht="14.25" customHeight="1" x14ac:dyDescent="0.25">
      <c r="A239" s="14"/>
      <c r="B239" s="14"/>
      <c r="C239" s="14"/>
      <c r="D239" s="36"/>
      <c r="E239" s="64"/>
      <c r="F239" s="36"/>
      <c r="G239" s="36"/>
      <c r="H239" s="36"/>
      <c r="I239" s="36"/>
      <c r="J239" s="36"/>
      <c r="K239" s="61"/>
      <c r="L239" s="14"/>
      <c r="M239" s="61"/>
      <c r="N239" s="57"/>
      <c r="O239" s="36"/>
      <c r="P239" s="61"/>
      <c r="Q239" s="66"/>
      <c r="R239" s="14"/>
      <c r="S239" s="14"/>
      <c r="T239" s="14"/>
      <c r="U239" s="14"/>
      <c r="V239" s="14"/>
      <c r="W239" s="14"/>
      <c r="X239" s="14"/>
      <c r="Y239" s="13"/>
      <c r="Z239" s="14"/>
    </row>
    <row r="240" spans="1:26" ht="14.25" customHeight="1" x14ac:dyDescent="0.25">
      <c r="A240" s="14"/>
      <c r="B240" s="14"/>
      <c r="C240" s="14"/>
      <c r="D240" s="36"/>
      <c r="E240" s="64"/>
      <c r="F240" s="36"/>
      <c r="G240" s="36"/>
      <c r="H240" s="36"/>
      <c r="I240" s="36"/>
      <c r="J240" s="36"/>
      <c r="K240" s="61"/>
      <c r="L240" s="14"/>
      <c r="M240" s="61"/>
      <c r="N240" s="57"/>
      <c r="O240" s="36"/>
      <c r="P240" s="61"/>
      <c r="Q240" s="66"/>
      <c r="R240" s="14"/>
      <c r="S240" s="14"/>
      <c r="T240" s="14"/>
      <c r="U240" s="14"/>
      <c r="V240" s="14"/>
      <c r="W240" s="14"/>
      <c r="X240" s="14"/>
      <c r="Y240" s="13"/>
      <c r="Z240" s="14"/>
    </row>
    <row r="241" spans="1:26" ht="14.25" customHeight="1" x14ac:dyDescent="0.25">
      <c r="A241" s="14"/>
      <c r="B241" s="14"/>
      <c r="C241" s="14"/>
      <c r="D241" s="36"/>
      <c r="E241" s="64"/>
      <c r="F241" s="36"/>
      <c r="G241" s="36"/>
      <c r="H241" s="36"/>
      <c r="I241" s="36"/>
      <c r="J241" s="36"/>
      <c r="K241" s="61"/>
      <c r="L241" s="14"/>
      <c r="M241" s="61"/>
      <c r="N241" s="57"/>
      <c r="O241" s="36"/>
      <c r="P241" s="61"/>
      <c r="Q241" s="66"/>
      <c r="R241" s="14"/>
      <c r="S241" s="14"/>
      <c r="T241" s="14"/>
      <c r="U241" s="14"/>
      <c r="V241" s="14"/>
      <c r="W241" s="14"/>
      <c r="X241" s="14"/>
      <c r="Y241" s="13"/>
      <c r="Z241" s="14"/>
    </row>
    <row r="242" spans="1:26" ht="14.25" customHeight="1" x14ac:dyDescent="0.25">
      <c r="A242" s="14"/>
      <c r="B242" s="14"/>
      <c r="C242" s="14"/>
      <c r="D242" s="36"/>
      <c r="E242" s="64"/>
      <c r="F242" s="36"/>
      <c r="G242" s="36"/>
      <c r="H242" s="36"/>
      <c r="I242" s="36"/>
      <c r="J242" s="36"/>
      <c r="K242" s="61"/>
      <c r="L242" s="14"/>
      <c r="M242" s="61"/>
      <c r="N242" s="57"/>
      <c r="O242" s="36"/>
      <c r="P242" s="61"/>
      <c r="Q242" s="66"/>
      <c r="R242" s="14"/>
      <c r="S242" s="14"/>
      <c r="T242" s="14"/>
      <c r="U242" s="14"/>
      <c r="V242" s="14"/>
      <c r="W242" s="14"/>
      <c r="X242" s="14"/>
      <c r="Y242" s="13"/>
      <c r="Z242" s="14"/>
    </row>
    <row r="243" spans="1:26" ht="14.25" customHeight="1" x14ac:dyDescent="0.25">
      <c r="A243" s="14"/>
      <c r="B243" s="14"/>
      <c r="C243" s="14"/>
      <c r="D243" s="36"/>
      <c r="E243" s="64"/>
      <c r="F243" s="36"/>
      <c r="G243" s="36"/>
      <c r="H243" s="36"/>
      <c r="I243" s="36"/>
      <c r="J243" s="36"/>
      <c r="K243" s="61"/>
      <c r="L243" s="14"/>
      <c r="M243" s="61"/>
      <c r="N243" s="57"/>
      <c r="O243" s="36"/>
      <c r="P243" s="61"/>
      <c r="Q243" s="66"/>
      <c r="R243" s="14"/>
      <c r="S243" s="14"/>
      <c r="T243" s="14"/>
      <c r="U243" s="14"/>
      <c r="V243" s="14"/>
      <c r="W243" s="14"/>
      <c r="X243" s="14"/>
      <c r="Y243" s="13"/>
      <c r="Z243" s="14"/>
    </row>
    <row r="244" spans="1:26" ht="14.25" customHeight="1" x14ac:dyDescent="0.25">
      <c r="A244" s="14"/>
      <c r="B244" s="14"/>
      <c r="C244" s="14"/>
      <c r="D244" s="36"/>
      <c r="E244" s="64"/>
      <c r="F244" s="36"/>
      <c r="G244" s="36"/>
      <c r="H244" s="36"/>
      <c r="I244" s="36"/>
      <c r="J244" s="36"/>
      <c r="K244" s="61"/>
      <c r="L244" s="14"/>
      <c r="M244" s="61"/>
      <c r="N244" s="57"/>
      <c r="O244" s="36"/>
      <c r="P244" s="61"/>
      <c r="Q244" s="66"/>
      <c r="R244" s="14"/>
      <c r="S244" s="14"/>
      <c r="T244" s="14"/>
      <c r="U244" s="14"/>
      <c r="V244" s="14"/>
      <c r="W244" s="14"/>
      <c r="X244" s="14"/>
      <c r="Y244" s="13"/>
      <c r="Z244" s="14"/>
    </row>
    <row r="245" spans="1:26" ht="14.25" customHeight="1" x14ac:dyDescent="0.25">
      <c r="A245" s="14"/>
      <c r="B245" s="14"/>
      <c r="C245" s="14"/>
      <c r="D245" s="36"/>
      <c r="E245" s="64"/>
      <c r="F245" s="36"/>
      <c r="G245" s="36"/>
      <c r="H245" s="36"/>
      <c r="I245" s="36"/>
      <c r="J245" s="36"/>
      <c r="K245" s="61"/>
      <c r="L245" s="14"/>
      <c r="M245" s="61"/>
      <c r="N245" s="57"/>
      <c r="O245" s="36"/>
      <c r="P245" s="61"/>
      <c r="Q245" s="66"/>
      <c r="R245" s="14"/>
      <c r="S245" s="14"/>
      <c r="T245" s="14"/>
      <c r="U245" s="14"/>
      <c r="V245" s="14"/>
      <c r="W245" s="14"/>
      <c r="X245" s="14"/>
      <c r="Y245" s="13"/>
      <c r="Z245" s="14"/>
    </row>
    <row r="246" spans="1:26" ht="14.25" customHeight="1" x14ac:dyDescent="0.25">
      <c r="A246" s="14"/>
      <c r="B246" s="14"/>
      <c r="C246" s="14"/>
      <c r="D246" s="36"/>
      <c r="E246" s="64"/>
      <c r="F246" s="36"/>
      <c r="G246" s="36"/>
      <c r="H246" s="36"/>
      <c r="I246" s="36"/>
      <c r="J246" s="36"/>
      <c r="K246" s="61"/>
      <c r="L246" s="14"/>
      <c r="M246" s="61"/>
      <c r="N246" s="57"/>
      <c r="O246" s="36"/>
      <c r="P246" s="61"/>
      <c r="Q246" s="66"/>
      <c r="R246" s="14"/>
      <c r="S246" s="14"/>
      <c r="T246" s="14"/>
      <c r="U246" s="14"/>
      <c r="V246" s="14"/>
      <c r="W246" s="14"/>
      <c r="X246" s="14"/>
      <c r="Y246" s="13"/>
      <c r="Z246" s="14"/>
    </row>
    <row r="247" spans="1:26" ht="14.25" customHeight="1" x14ac:dyDescent="0.25">
      <c r="A247" s="14"/>
      <c r="B247" s="14"/>
      <c r="C247" s="14"/>
      <c r="D247" s="36"/>
      <c r="E247" s="64"/>
      <c r="F247" s="36"/>
      <c r="G247" s="36"/>
      <c r="H247" s="36"/>
      <c r="I247" s="36"/>
      <c r="J247" s="36"/>
      <c r="K247" s="61"/>
      <c r="L247" s="14"/>
      <c r="M247" s="61"/>
      <c r="N247" s="57"/>
      <c r="O247" s="36"/>
      <c r="P247" s="61"/>
      <c r="Q247" s="66"/>
      <c r="R247" s="14"/>
      <c r="S247" s="14"/>
      <c r="T247" s="14"/>
      <c r="U247" s="14"/>
      <c r="V247" s="14"/>
      <c r="W247" s="14"/>
      <c r="X247" s="14"/>
      <c r="Y247" s="13"/>
      <c r="Z247" s="14"/>
    </row>
    <row r="248" spans="1:26" ht="14.25" customHeight="1" x14ac:dyDescent="0.25">
      <c r="A248" s="14"/>
      <c r="B248" s="14"/>
      <c r="C248" s="14"/>
      <c r="D248" s="36"/>
      <c r="E248" s="64"/>
      <c r="F248" s="36"/>
      <c r="G248" s="36"/>
      <c r="H248" s="36"/>
      <c r="I248" s="36"/>
      <c r="J248" s="36"/>
      <c r="K248" s="61"/>
      <c r="L248" s="14"/>
      <c r="M248" s="61"/>
      <c r="N248" s="57"/>
      <c r="O248" s="36"/>
      <c r="P248" s="61"/>
      <c r="Q248" s="66"/>
      <c r="R248" s="14"/>
      <c r="S248" s="14"/>
      <c r="T248" s="14"/>
      <c r="U248" s="14"/>
      <c r="V248" s="14"/>
      <c r="W248" s="14"/>
      <c r="X248" s="14"/>
      <c r="Y248" s="13"/>
      <c r="Z248" s="14"/>
    </row>
    <row r="249" spans="1:26" ht="14.25" customHeight="1" x14ac:dyDescent="0.25">
      <c r="A249" s="14"/>
      <c r="B249" s="14"/>
      <c r="C249" s="14"/>
      <c r="D249" s="36"/>
      <c r="E249" s="64"/>
      <c r="F249" s="36"/>
      <c r="G249" s="36"/>
      <c r="H249" s="36"/>
      <c r="I249" s="36"/>
      <c r="J249" s="36"/>
      <c r="K249" s="61"/>
      <c r="L249" s="14"/>
      <c r="M249" s="61"/>
      <c r="N249" s="57"/>
      <c r="O249" s="36"/>
      <c r="P249" s="61"/>
      <c r="Q249" s="66"/>
      <c r="R249" s="14"/>
      <c r="S249" s="14"/>
      <c r="T249" s="14"/>
      <c r="U249" s="14"/>
      <c r="V249" s="14"/>
      <c r="W249" s="14"/>
      <c r="X249" s="14"/>
      <c r="Y249" s="13"/>
      <c r="Z249" s="14"/>
    </row>
    <row r="250" spans="1:26" ht="14.25" customHeight="1" x14ac:dyDescent="0.25">
      <c r="A250" s="14"/>
      <c r="B250" s="14"/>
      <c r="C250" s="14"/>
      <c r="D250" s="36"/>
      <c r="E250" s="64"/>
      <c r="F250" s="36"/>
      <c r="G250" s="36"/>
      <c r="H250" s="36"/>
      <c r="I250" s="36"/>
      <c r="J250" s="36"/>
      <c r="K250" s="61"/>
      <c r="L250" s="14"/>
      <c r="M250" s="61"/>
      <c r="N250" s="57"/>
      <c r="O250" s="36"/>
      <c r="P250" s="61"/>
      <c r="Q250" s="66"/>
      <c r="R250" s="14"/>
      <c r="S250" s="14"/>
      <c r="T250" s="14"/>
      <c r="U250" s="14"/>
      <c r="V250" s="14"/>
      <c r="W250" s="14"/>
      <c r="X250" s="14"/>
      <c r="Y250" s="13"/>
      <c r="Z250" s="14"/>
    </row>
    <row r="251" spans="1:26" ht="14.25" customHeight="1" x14ac:dyDescent="0.25">
      <c r="A251" s="14"/>
      <c r="B251" s="14"/>
      <c r="C251" s="14"/>
      <c r="D251" s="36"/>
      <c r="E251" s="64"/>
      <c r="F251" s="36"/>
      <c r="G251" s="36"/>
      <c r="H251" s="36"/>
      <c r="I251" s="36"/>
      <c r="J251" s="36"/>
      <c r="K251" s="61"/>
      <c r="L251" s="14"/>
      <c r="M251" s="61"/>
      <c r="N251" s="57"/>
      <c r="O251" s="36"/>
      <c r="P251" s="61"/>
      <c r="Q251" s="66"/>
      <c r="R251" s="14"/>
      <c r="S251" s="14"/>
      <c r="T251" s="14"/>
      <c r="U251" s="14"/>
      <c r="V251" s="14"/>
      <c r="W251" s="14"/>
      <c r="X251" s="14"/>
      <c r="Y251" s="13"/>
      <c r="Z251" s="14"/>
    </row>
    <row r="252" spans="1:26" ht="14.25" customHeight="1" x14ac:dyDescent="0.25">
      <c r="A252" s="14"/>
      <c r="B252" s="14"/>
      <c r="C252" s="14"/>
      <c r="D252" s="36"/>
      <c r="E252" s="64"/>
      <c r="F252" s="36"/>
      <c r="G252" s="36"/>
      <c r="H252" s="36"/>
      <c r="I252" s="36"/>
      <c r="J252" s="36"/>
      <c r="K252" s="61"/>
      <c r="L252" s="14"/>
      <c r="M252" s="61"/>
      <c r="N252" s="57"/>
      <c r="O252" s="36"/>
      <c r="P252" s="61"/>
      <c r="Q252" s="66"/>
      <c r="R252" s="14"/>
      <c r="S252" s="14"/>
      <c r="T252" s="14"/>
      <c r="U252" s="14"/>
      <c r="V252" s="14"/>
      <c r="W252" s="14"/>
      <c r="X252" s="14"/>
      <c r="Y252" s="13"/>
      <c r="Z252" s="14"/>
    </row>
    <row r="253" spans="1:26" ht="14.25" customHeight="1" x14ac:dyDescent="0.25">
      <c r="A253" s="14"/>
      <c r="B253" s="14"/>
      <c r="C253" s="14"/>
      <c r="D253" s="36"/>
      <c r="E253" s="64"/>
      <c r="F253" s="36"/>
      <c r="G253" s="36"/>
      <c r="H253" s="36"/>
      <c r="I253" s="36"/>
      <c r="J253" s="36"/>
      <c r="K253" s="61"/>
      <c r="L253" s="14"/>
      <c r="M253" s="61"/>
      <c r="N253" s="57"/>
      <c r="O253" s="36"/>
      <c r="P253" s="61"/>
      <c r="Q253" s="66"/>
      <c r="R253" s="14"/>
      <c r="S253" s="14"/>
      <c r="T253" s="14"/>
      <c r="U253" s="14"/>
      <c r="V253" s="14"/>
      <c r="W253" s="14"/>
      <c r="X253" s="14"/>
      <c r="Y253" s="13"/>
      <c r="Z253" s="14"/>
    </row>
    <row r="254" spans="1:26" ht="14.25" customHeight="1" x14ac:dyDescent="0.25">
      <c r="A254" s="14"/>
      <c r="B254" s="14"/>
      <c r="C254" s="14"/>
      <c r="D254" s="36"/>
      <c r="E254" s="64"/>
      <c r="F254" s="36"/>
      <c r="G254" s="36"/>
      <c r="H254" s="36"/>
      <c r="I254" s="36"/>
      <c r="J254" s="36"/>
      <c r="K254" s="61"/>
      <c r="L254" s="14"/>
      <c r="M254" s="61"/>
      <c r="N254" s="57"/>
      <c r="O254" s="36"/>
      <c r="P254" s="61"/>
      <c r="Q254" s="66"/>
      <c r="R254" s="14"/>
      <c r="S254" s="14"/>
      <c r="T254" s="14"/>
      <c r="U254" s="14"/>
      <c r="V254" s="14"/>
      <c r="W254" s="14"/>
      <c r="X254" s="14"/>
      <c r="Y254" s="13"/>
      <c r="Z254" s="14"/>
    </row>
    <row r="255" spans="1:26" ht="14.25" customHeight="1" x14ac:dyDescent="0.25">
      <c r="A255" s="14"/>
      <c r="B255" s="14"/>
      <c r="C255" s="14"/>
      <c r="D255" s="36"/>
      <c r="E255" s="64"/>
      <c r="F255" s="36"/>
      <c r="G255" s="36"/>
      <c r="H255" s="36"/>
      <c r="I255" s="36"/>
      <c r="J255" s="36"/>
      <c r="K255" s="61"/>
      <c r="L255" s="14"/>
      <c r="M255" s="61"/>
      <c r="N255" s="57"/>
      <c r="O255" s="36"/>
      <c r="P255" s="61"/>
      <c r="Q255" s="66"/>
      <c r="R255" s="14"/>
      <c r="S255" s="14"/>
      <c r="T255" s="14"/>
      <c r="U255" s="14"/>
      <c r="V255" s="14"/>
      <c r="W255" s="14"/>
      <c r="X255" s="14"/>
      <c r="Y255" s="13"/>
      <c r="Z255" s="14"/>
    </row>
    <row r="256" spans="1:26" ht="14.25" customHeight="1" x14ac:dyDescent="0.25">
      <c r="A256" s="14"/>
      <c r="B256" s="14"/>
      <c r="C256" s="14"/>
      <c r="D256" s="36"/>
      <c r="E256" s="64"/>
      <c r="F256" s="36"/>
      <c r="G256" s="36"/>
      <c r="H256" s="36"/>
      <c r="I256" s="36"/>
      <c r="J256" s="36"/>
      <c r="K256" s="61"/>
      <c r="L256" s="14"/>
      <c r="M256" s="61"/>
      <c r="N256" s="57"/>
      <c r="O256" s="36"/>
      <c r="P256" s="61"/>
      <c r="Q256" s="66"/>
      <c r="R256" s="14"/>
      <c r="S256" s="14"/>
      <c r="T256" s="14"/>
      <c r="U256" s="14"/>
      <c r="V256" s="14"/>
      <c r="W256" s="14"/>
      <c r="X256" s="14"/>
      <c r="Y256" s="13"/>
      <c r="Z256" s="14"/>
    </row>
    <row r="257" spans="1:26" ht="14.25" customHeight="1" x14ac:dyDescent="0.25">
      <c r="A257" s="14"/>
      <c r="B257" s="14"/>
      <c r="C257" s="14"/>
      <c r="D257" s="14"/>
      <c r="E257" s="122"/>
      <c r="F257" s="14"/>
      <c r="G257" s="14"/>
      <c r="H257" s="14"/>
      <c r="I257" s="14"/>
      <c r="J257" s="14"/>
      <c r="K257" s="7"/>
      <c r="L257" s="14"/>
      <c r="M257" s="7"/>
      <c r="N257" s="14"/>
      <c r="O257" s="14"/>
      <c r="P257" s="7"/>
      <c r="Q257" s="21"/>
      <c r="R257" s="14"/>
      <c r="S257" s="14"/>
      <c r="T257" s="14"/>
      <c r="U257" s="14"/>
      <c r="V257" s="14"/>
      <c r="W257" s="14"/>
      <c r="X257" s="14"/>
      <c r="Y257" s="13"/>
      <c r="Z257" s="14"/>
    </row>
    <row r="258" spans="1:26" ht="14.25" customHeight="1" x14ac:dyDescent="0.25">
      <c r="A258" s="14"/>
      <c r="B258" s="14"/>
      <c r="C258" s="14"/>
      <c r="D258" s="14"/>
      <c r="E258" s="122"/>
      <c r="F258" s="14"/>
      <c r="G258" s="14"/>
      <c r="H258" s="14"/>
      <c r="I258" s="14"/>
      <c r="J258" s="14"/>
      <c r="K258" s="7"/>
      <c r="L258" s="14"/>
      <c r="M258" s="7"/>
      <c r="N258" s="14"/>
      <c r="O258" s="14"/>
      <c r="P258" s="7"/>
      <c r="Q258" s="21"/>
      <c r="R258" s="14"/>
      <c r="S258" s="14"/>
      <c r="T258" s="14"/>
      <c r="U258" s="14"/>
      <c r="V258" s="14"/>
      <c r="W258" s="14"/>
      <c r="X258" s="14"/>
      <c r="Y258" s="13"/>
      <c r="Z258" s="14"/>
    </row>
    <row r="259" spans="1:26" ht="14.25" customHeight="1" x14ac:dyDescent="0.25">
      <c r="A259" s="14"/>
      <c r="B259" s="14"/>
      <c r="C259" s="14"/>
      <c r="D259" s="14"/>
      <c r="E259" s="122"/>
      <c r="F259" s="14"/>
      <c r="G259" s="14"/>
      <c r="H259" s="14"/>
      <c r="I259" s="14"/>
      <c r="J259" s="14"/>
      <c r="K259" s="7"/>
      <c r="L259" s="14"/>
      <c r="M259" s="7"/>
      <c r="N259" s="14"/>
      <c r="O259" s="14"/>
      <c r="P259" s="7"/>
      <c r="Q259" s="21"/>
      <c r="R259" s="14"/>
      <c r="S259" s="14"/>
      <c r="T259" s="14"/>
      <c r="U259" s="14"/>
      <c r="V259" s="14"/>
      <c r="W259" s="14"/>
      <c r="X259" s="14"/>
      <c r="Y259" s="13"/>
      <c r="Z259" s="14"/>
    </row>
    <row r="260" spans="1:26" ht="14.25" customHeight="1" x14ac:dyDescent="0.25">
      <c r="A260" s="14"/>
      <c r="B260" s="14"/>
      <c r="C260" s="14"/>
      <c r="D260" s="14"/>
      <c r="E260" s="122"/>
      <c r="F260" s="14"/>
      <c r="G260" s="14"/>
      <c r="H260" s="14"/>
      <c r="I260" s="14"/>
      <c r="J260" s="14"/>
      <c r="K260" s="7"/>
      <c r="L260" s="14"/>
      <c r="M260" s="7"/>
      <c r="N260" s="14"/>
      <c r="O260" s="14"/>
      <c r="P260" s="7"/>
      <c r="Q260" s="21"/>
      <c r="R260" s="14"/>
      <c r="S260" s="14"/>
      <c r="T260" s="14"/>
      <c r="U260" s="14"/>
      <c r="V260" s="14"/>
      <c r="W260" s="14"/>
      <c r="X260" s="14"/>
      <c r="Y260" s="13"/>
      <c r="Z260" s="14"/>
    </row>
    <row r="261" spans="1:26" ht="14.25" customHeight="1" x14ac:dyDescent="0.25">
      <c r="A261" s="14"/>
      <c r="B261" s="14"/>
      <c r="C261" s="14"/>
      <c r="D261" s="14"/>
      <c r="E261" s="122"/>
      <c r="F261" s="14"/>
      <c r="G261" s="14"/>
      <c r="H261" s="14"/>
      <c r="I261" s="14"/>
      <c r="J261" s="14"/>
      <c r="K261" s="7"/>
      <c r="L261" s="14"/>
      <c r="M261" s="7"/>
      <c r="N261" s="14"/>
      <c r="O261" s="14"/>
      <c r="P261" s="7"/>
      <c r="Q261" s="21"/>
      <c r="R261" s="14"/>
      <c r="S261" s="14"/>
      <c r="T261" s="14"/>
      <c r="U261" s="14"/>
      <c r="V261" s="14"/>
      <c r="W261" s="14"/>
      <c r="X261" s="14"/>
      <c r="Y261" s="13"/>
      <c r="Z261" s="14"/>
    </row>
    <row r="262" spans="1:26" ht="14.25" customHeight="1" x14ac:dyDescent="0.25">
      <c r="A262" s="14"/>
      <c r="B262" s="14"/>
      <c r="C262" s="14"/>
      <c r="D262" s="14"/>
      <c r="E262" s="122"/>
      <c r="F262" s="14"/>
      <c r="G262" s="14"/>
      <c r="H262" s="14"/>
      <c r="I262" s="14"/>
      <c r="J262" s="14"/>
      <c r="K262" s="7"/>
      <c r="L262" s="14"/>
      <c r="M262" s="7"/>
      <c r="N262" s="14"/>
      <c r="O262" s="14"/>
      <c r="P262" s="7"/>
      <c r="Q262" s="21"/>
      <c r="R262" s="14"/>
      <c r="S262" s="14"/>
      <c r="T262" s="14"/>
      <c r="U262" s="14"/>
      <c r="V262" s="14"/>
      <c r="W262" s="14"/>
      <c r="X262" s="14"/>
      <c r="Y262" s="13"/>
      <c r="Z262" s="14"/>
    </row>
    <row r="263" spans="1:26" ht="14.25" customHeight="1" x14ac:dyDescent="0.25">
      <c r="A263" s="14"/>
      <c r="B263" s="14"/>
      <c r="C263" s="14"/>
      <c r="D263" s="14"/>
      <c r="E263" s="122"/>
      <c r="F263" s="14"/>
      <c r="G263" s="14"/>
      <c r="H263" s="14"/>
      <c r="I263" s="14"/>
      <c r="J263" s="14"/>
      <c r="K263" s="7"/>
      <c r="L263" s="14"/>
      <c r="M263" s="7"/>
      <c r="N263" s="14"/>
      <c r="O263" s="14"/>
      <c r="P263" s="7"/>
      <c r="Q263" s="21"/>
      <c r="R263" s="14"/>
      <c r="S263" s="14"/>
      <c r="T263" s="14"/>
      <c r="U263" s="14"/>
      <c r="V263" s="14"/>
      <c r="W263" s="14"/>
      <c r="X263" s="14"/>
      <c r="Y263" s="13"/>
      <c r="Z263" s="14"/>
    </row>
    <row r="264" spans="1:26" ht="14.25" customHeight="1" x14ac:dyDescent="0.25">
      <c r="A264" s="14"/>
      <c r="B264" s="14"/>
      <c r="C264" s="14"/>
      <c r="D264" s="14"/>
      <c r="E264" s="122"/>
      <c r="F264" s="14"/>
      <c r="G264" s="14"/>
      <c r="H264" s="14"/>
      <c r="I264" s="14"/>
      <c r="J264" s="14"/>
      <c r="K264" s="7"/>
      <c r="L264" s="14"/>
      <c r="M264" s="7"/>
      <c r="N264" s="14"/>
      <c r="O264" s="14"/>
      <c r="P264" s="7"/>
      <c r="Q264" s="21"/>
      <c r="R264" s="14"/>
      <c r="S264" s="14"/>
      <c r="T264" s="14"/>
      <c r="U264" s="14"/>
      <c r="V264" s="14"/>
      <c r="W264" s="14"/>
      <c r="X264" s="14"/>
      <c r="Y264" s="13"/>
      <c r="Z264" s="14"/>
    </row>
    <row r="265" spans="1:26" ht="14.25" customHeight="1" x14ac:dyDescent="0.25">
      <c r="A265" s="14"/>
      <c r="B265" s="14"/>
      <c r="C265" s="14"/>
      <c r="D265" s="14"/>
      <c r="E265" s="122"/>
      <c r="F265" s="14"/>
      <c r="G265" s="14"/>
      <c r="H265" s="14"/>
      <c r="I265" s="14"/>
      <c r="J265" s="14"/>
      <c r="K265" s="7"/>
      <c r="L265" s="14"/>
      <c r="M265" s="7"/>
      <c r="N265" s="14"/>
      <c r="O265" s="14"/>
      <c r="P265" s="7"/>
      <c r="Q265" s="21"/>
      <c r="R265" s="14"/>
      <c r="S265" s="14"/>
      <c r="T265" s="14"/>
      <c r="U265" s="14"/>
      <c r="V265" s="14"/>
      <c r="W265" s="14"/>
      <c r="X265" s="14"/>
      <c r="Y265" s="13"/>
      <c r="Z265" s="14"/>
    </row>
    <row r="266" spans="1:26" ht="14.25" customHeight="1" x14ac:dyDescent="0.25">
      <c r="A266" s="14"/>
      <c r="B266" s="14"/>
      <c r="C266" s="14"/>
      <c r="D266" s="14"/>
      <c r="E266" s="122"/>
      <c r="F266" s="14"/>
      <c r="G266" s="14"/>
      <c r="H266" s="14"/>
      <c r="I266" s="14"/>
      <c r="J266" s="14"/>
      <c r="K266" s="7"/>
      <c r="L266" s="14"/>
      <c r="M266" s="7"/>
      <c r="N266" s="14"/>
      <c r="O266" s="14"/>
      <c r="P266" s="7"/>
      <c r="Q266" s="21"/>
      <c r="R266" s="14"/>
      <c r="S266" s="14"/>
      <c r="T266" s="14"/>
      <c r="U266" s="14"/>
      <c r="V266" s="14"/>
      <c r="W266" s="14"/>
      <c r="X266" s="14"/>
      <c r="Y266" s="13"/>
      <c r="Z266" s="14"/>
    </row>
    <row r="267" spans="1:26" ht="14.25" customHeight="1" x14ac:dyDescent="0.25">
      <c r="A267" s="14"/>
      <c r="B267" s="14"/>
      <c r="C267" s="14"/>
      <c r="D267" s="14"/>
      <c r="E267" s="122"/>
      <c r="F267" s="14"/>
      <c r="G267" s="14"/>
      <c r="H267" s="14"/>
      <c r="I267" s="14"/>
      <c r="J267" s="14"/>
      <c r="K267" s="7"/>
      <c r="L267" s="14"/>
      <c r="M267" s="7"/>
      <c r="N267" s="14"/>
      <c r="O267" s="14"/>
      <c r="P267" s="7"/>
      <c r="Q267" s="21"/>
      <c r="R267" s="14"/>
      <c r="S267" s="14"/>
      <c r="T267" s="14"/>
      <c r="U267" s="14"/>
      <c r="V267" s="14"/>
      <c r="W267" s="14"/>
      <c r="X267" s="14"/>
      <c r="Y267" s="13"/>
      <c r="Z267" s="14"/>
    </row>
    <row r="268" spans="1:26" ht="14.25" customHeight="1" x14ac:dyDescent="0.25">
      <c r="A268" s="14"/>
      <c r="B268" s="14"/>
      <c r="C268" s="14"/>
      <c r="D268" s="14"/>
      <c r="E268" s="122"/>
      <c r="F268" s="14"/>
      <c r="G268" s="14"/>
      <c r="H268" s="14"/>
      <c r="I268" s="14"/>
      <c r="J268" s="14"/>
      <c r="K268" s="7"/>
      <c r="L268" s="14"/>
      <c r="M268" s="7"/>
      <c r="N268" s="14"/>
      <c r="O268" s="14"/>
      <c r="P268" s="7"/>
      <c r="Q268" s="21"/>
      <c r="R268" s="14"/>
      <c r="S268" s="14"/>
      <c r="T268" s="14"/>
      <c r="U268" s="14"/>
      <c r="V268" s="14"/>
      <c r="W268" s="14"/>
      <c r="X268" s="14"/>
      <c r="Y268" s="13"/>
      <c r="Z268" s="14"/>
    </row>
    <row r="269" spans="1:26" ht="14.25" customHeight="1" x14ac:dyDescent="0.25">
      <c r="A269" s="14"/>
      <c r="B269" s="14"/>
      <c r="C269" s="14"/>
      <c r="D269" s="14"/>
      <c r="E269" s="122"/>
      <c r="F269" s="14"/>
      <c r="G269" s="14"/>
      <c r="H269" s="14"/>
      <c r="I269" s="14"/>
      <c r="J269" s="14"/>
      <c r="K269" s="7"/>
      <c r="L269" s="14"/>
      <c r="M269" s="7"/>
      <c r="N269" s="14"/>
      <c r="O269" s="14"/>
      <c r="P269" s="7"/>
      <c r="Q269" s="21"/>
      <c r="R269" s="14"/>
      <c r="S269" s="14"/>
      <c r="T269" s="14"/>
      <c r="U269" s="14"/>
      <c r="V269" s="14"/>
      <c r="W269" s="14"/>
      <c r="X269" s="14"/>
      <c r="Y269" s="13"/>
      <c r="Z269" s="14"/>
    </row>
    <row r="270" spans="1:26" ht="14.25" customHeight="1" x14ac:dyDescent="0.25">
      <c r="A270" s="14"/>
      <c r="B270" s="14"/>
      <c r="C270" s="14"/>
      <c r="D270" s="14"/>
      <c r="E270" s="122"/>
      <c r="F270" s="14"/>
      <c r="G270" s="14"/>
      <c r="H270" s="14"/>
      <c r="I270" s="14"/>
      <c r="J270" s="14"/>
      <c r="K270" s="7"/>
      <c r="L270" s="14"/>
      <c r="M270" s="7"/>
      <c r="N270" s="14"/>
      <c r="O270" s="14"/>
      <c r="P270" s="7"/>
      <c r="Q270" s="21"/>
      <c r="R270" s="14"/>
      <c r="S270" s="14"/>
      <c r="T270" s="14"/>
      <c r="U270" s="14"/>
      <c r="V270" s="14"/>
      <c r="W270" s="14"/>
      <c r="X270" s="14"/>
      <c r="Y270" s="13"/>
      <c r="Z270" s="14"/>
    </row>
    <row r="271" spans="1:26" ht="14.25" customHeight="1" x14ac:dyDescent="0.25">
      <c r="A271" s="14"/>
      <c r="B271" s="14"/>
      <c r="C271" s="14"/>
      <c r="D271" s="14"/>
      <c r="E271" s="122"/>
      <c r="F271" s="14"/>
      <c r="G271" s="14"/>
      <c r="H271" s="14"/>
      <c r="I271" s="14"/>
      <c r="J271" s="14"/>
      <c r="K271" s="7"/>
      <c r="L271" s="14"/>
      <c r="M271" s="7"/>
      <c r="N271" s="14"/>
      <c r="O271" s="14"/>
      <c r="P271" s="7"/>
      <c r="Q271" s="21"/>
      <c r="R271" s="14"/>
      <c r="S271" s="14"/>
      <c r="T271" s="14"/>
      <c r="U271" s="14"/>
      <c r="V271" s="14"/>
      <c r="W271" s="14"/>
      <c r="X271" s="14"/>
      <c r="Y271" s="13"/>
      <c r="Z271" s="14"/>
    </row>
    <row r="272" spans="1:26" ht="14.25" customHeight="1" x14ac:dyDescent="0.25">
      <c r="A272" s="14"/>
      <c r="B272" s="14"/>
      <c r="C272" s="14"/>
      <c r="D272" s="14"/>
      <c r="E272" s="122"/>
      <c r="F272" s="14"/>
      <c r="G272" s="14"/>
      <c r="H272" s="14"/>
      <c r="I272" s="14"/>
      <c r="J272" s="14"/>
      <c r="K272" s="7"/>
      <c r="L272" s="14"/>
      <c r="M272" s="7"/>
      <c r="N272" s="14"/>
      <c r="O272" s="14"/>
      <c r="P272" s="7"/>
      <c r="Q272" s="21"/>
      <c r="R272" s="14"/>
      <c r="S272" s="14"/>
      <c r="T272" s="14"/>
      <c r="U272" s="14"/>
      <c r="V272" s="14"/>
      <c r="W272" s="14"/>
      <c r="X272" s="14"/>
      <c r="Y272" s="13"/>
      <c r="Z272" s="14"/>
    </row>
    <row r="273" spans="1:26" ht="14.25" customHeight="1" x14ac:dyDescent="0.25">
      <c r="A273" s="14"/>
      <c r="B273" s="14"/>
      <c r="C273" s="14"/>
      <c r="D273" s="14"/>
      <c r="E273" s="122"/>
      <c r="F273" s="14"/>
      <c r="G273" s="14"/>
      <c r="H273" s="14"/>
      <c r="I273" s="14"/>
      <c r="J273" s="14"/>
      <c r="K273" s="7"/>
      <c r="L273" s="14"/>
      <c r="M273" s="7"/>
      <c r="N273" s="14"/>
      <c r="O273" s="14"/>
      <c r="P273" s="7"/>
      <c r="Q273" s="21"/>
      <c r="R273" s="14"/>
      <c r="S273" s="14"/>
      <c r="T273" s="14"/>
      <c r="U273" s="14"/>
      <c r="V273" s="14"/>
      <c r="W273" s="14"/>
      <c r="X273" s="14"/>
      <c r="Y273" s="13"/>
      <c r="Z273" s="14"/>
    </row>
    <row r="274" spans="1:26" ht="14.25" customHeight="1" x14ac:dyDescent="0.25">
      <c r="A274" s="14"/>
      <c r="B274" s="14"/>
      <c r="C274" s="14"/>
      <c r="D274" s="14"/>
      <c r="E274" s="122"/>
      <c r="F274" s="14"/>
      <c r="G274" s="14"/>
      <c r="H274" s="14"/>
      <c r="I274" s="14"/>
      <c r="J274" s="14"/>
      <c r="K274" s="7"/>
      <c r="L274" s="14"/>
      <c r="M274" s="7"/>
      <c r="N274" s="14"/>
      <c r="O274" s="14"/>
      <c r="P274" s="7"/>
      <c r="Q274" s="21"/>
      <c r="R274" s="14"/>
      <c r="S274" s="14"/>
      <c r="T274" s="14"/>
      <c r="U274" s="14"/>
      <c r="V274" s="14"/>
      <c r="W274" s="14"/>
      <c r="X274" s="14"/>
      <c r="Y274" s="13"/>
      <c r="Z274" s="14"/>
    </row>
    <row r="275" spans="1:26" ht="14.25" customHeight="1" x14ac:dyDescent="0.25">
      <c r="A275" s="14"/>
      <c r="B275" s="14"/>
      <c r="C275" s="14"/>
      <c r="D275" s="14"/>
      <c r="E275" s="122"/>
      <c r="F275" s="14"/>
      <c r="G275" s="14"/>
      <c r="H275" s="14"/>
      <c r="I275" s="14"/>
      <c r="J275" s="14"/>
      <c r="K275" s="7"/>
      <c r="L275" s="14"/>
      <c r="M275" s="7"/>
      <c r="N275" s="14"/>
      <c r="O275" s="14"/>
      <c r="P275" s="7"/>
      <c r="Q275" s="21"/>
      <c r="R275" s="14"/>
      <c r="S275" s="14"/>
      <c r="T275" s="14"/>
      <c r="U275" s="14"/>
      <c r="V275" s="14"/>
      <c r="W275" s="14"/>
      <c r="X275" s="14"/>
      <c r="Y275" s="13"/>
      <c r="Z275" s="14"/>
    </row>
    <row r="276" spans="1:26" ht="14.25" customHeight="1" x14ac:dyDescent="0.25">
      <c r="A276" s="14"/>
      <c r="B276" s="14"/>
      <c r="C276" s="14"/>
      <c r="D276" s="14"/>
      <c r="E276" s="122"/>
      <c r="F276" s="14"/>
      <c r="G276" s="14"/>
      <c r="H276" s="14"/>
      <c r="I276" s="14"/>
      <c r="J276" s="14"/>
      <c r="K276" s="7"/>
      <c r="L276" s="14"/>
      <c r="M276" s="7"/>
      <c r="N276" s="14"/>
      <c r="O276" s="14"/>
      <c r="P276" s="7"/>
      <c r="Q276" s="21"/>
      <c r="R276" s="14"/>
      <c r="S276" s="14"/>
      <c r="T276" s="14"/>
      <c r="U276" s="14"/>
      <c r="V276" s="14"/>
      <c r="W276" s="14"/>
      <c r="X276" s="14"/>
      <c r="Y276" s="13"/>
      <c r="Z276" s="14"/>
    </row>
    <row r="277" spans="1:26" ht="14.25" customHeight="1" x14ac:dyDescent="0.25">
      <c r="A277" s="14"/>
      <c r="B277" s="14"/>
      <c r="C277" s="14"/>
      <c r="D277" s="14"/>
      <c r="E277" s="122"/>
      <c r="F277" s="14"/>
      <c r="G277" s="14"/>
      <c r="H277" s="14"/>
      <c r="I277" s="14"/>
      <c r="J277" s="14"/>
      <c r="K277" s="7"/>
      <c r="L277" s="14"/>
      <c r="M277" s="7"/>
      <c r="N277" s="14"/>
      <c r="O277" s="14"/>
      <c r="P277" s="7"/>
      <c r="Q277" s="21"/>
      <c r="R277" s="14"/>
      <c r="S277" s="14"/>
      <c r="T277" s="14"/>
      <c r="U277" s="14"/>
      <c r="V277" s="14"/>
      <c r="W277" s="14"/>
      <c r="X277" s="14"/>
      <c r="Y277" s="13"/>
      <c r="Z277" s="14"/>
    </row>
    <row r="278" spans="1:26" ht="14.25" customHeight="1" x14ac:dyDescent="0.25">
      <c r="A278" s="14"/>
      <c r="B278" s="14"/>
      <c r="C278" s="14"/>
      <c r="D278" s="14"/>
      <c r="E278" s="122"/>
      <c r="F278" s="14"/>
      <c r="G278" s="14"/>
      <c r="H278" s="14"/>
      <c r="I278" s="14"/>
      <c r="J278" s="14"/>
      <c r="K278" s="7"/>
      <c r="L278" s="14"/>
      <c r="M278" s="7"/>
      <c r="N278" s="14"/>
      <c r="O278" s="14"/>
      <c r="P278" s="7"/>
      <c r="Q278" s="21"/>
      <c r="R278" s="14"/>
      <c r="S278" s="14"/>
      <c r="T278" s="14"/>
      <c r="U278" s="14"/>
      <c r="V278" s="14"/>
      <c r="W278" s="14"/>
      <c r="X278" s="14"/>
      <c r="Y278" s="13"/>
      <c r="Z278" s="14"/>
    </row>
    <row r="279" spans="1:26" ht="14.25" customHeight="1" x14ac:dyDescent="0.25">
      <c r="A279" s="14"/>
      <c r="B279" s="14"/>
      <c r="C279" s="14"/>
      <c r="D279" s="14"/>
      <c r="E279" s="122"/>
      <c r="F279" s="14"/>
      <c r="G279" s="14"/>
      <c r="H279" s="14"/>
      <c r="I279" s="14"/>
      <c r="J279" s="14"/>
      <c r="K279" s="7"/>
      <c r="L279" s="14"/>
      <c r="M279" s="7"/>
      <c r="N279" s="14"/>
      <c r="O279" s="14"/>
      <c r="P279" s="7"/>
      <c r="Q279" s="21"/>
      <c r="R279" s="14"/>
      <c r="S279" s="14"/>
      <c r="T279" s="14"/>
      <c r="U279" s="14"/>
      <c r="V279" s="14"/>
      <c r="W279" s="14"/>
      <c r="X279" s="14"/>
      <c r="Y279" s="13"/>
      <c r="Z279" s="14"/>
    </row>
    <row r="280" spans="1:26" ht="14.25" customHeight="1" x14ac:dyDescent="0.25">
      <c r="A280" s="14"/>
      <c r="B280" s="14"/>
      <c r="C280" s="14"/>
      <c r="D280" s="14"/>
      <c r="E280" s="122"/>
      <c r="F280" s="14"/>
      <c r="G280" s="14"/>
      <c r="H280" s="14"/>
      <c r="I280" s="14"/>
      <c r="J280" s="14"/>
      <c r="K280" s="7"/>
      <c r="L280" s="14"/>
      <c r="M280" s="7"/>
      <c r="N280" s="14"/>
      <c r="O280" s="14"/>
      <c r="P280" s="7"/>
      <c r="Q280" s="21"/>
      <c r="R280" s="14"/>
      <c r="S280" s="14"/>
      <c r="T280" s="14"/>
      <c r="U280" s="14"/>
      <c r="V280" s="14"/>
      <c r="W280" s="14"/>
      <c r="X280" s="14"/>
      <c r="Y280" s="13"/>
      <c r="Z280" s="14"/>
    </row>
    <row r="281" spans="1:26" ht="14.25" customHeight="1" x14ac:dyDescent="0.25">
      <c r="A281" s="14"/>
      <c r="B281" s="14"/>
      <c r="C281" s="14"/>
      <c r="D281" s="14"/>
      <c r="E281" s="122"/>
      <c r="F281" s="14"/>
      <c r="G281" s="14"/>
      <c r="H281" s="14"/>
      <c r="I281" s="14"/>
      <c r="J281" s="14"/>
      <c r="K281" s="7"/>
      <c r="L281" s="14"/>
      <c r="M281" s="7"/>
      <c r="N281" s="14"/>
      <c r="O281" s="14"/>
      <c r="P281" s="7"/>
      <c r="Q281" s="21"/>
      <c r="R281" s="14"/>
      <c r="S281" s="14"/>
      <c r="T281" s="14"/>
      <c r="U281" s="14"/>
      <c r="V281" s="14"/>
      <c r="W281" s="14"/>
      <c r="X281" s="14"/>
      <c r="Y281" s="13"/>
      <c r="Z281" s="14"/>
    </row>
    <row r="282" spans="1:26" ht="14.25" customHeight="1" x14ac:dyDescent="0.25">
      <c r="A282" s="14"/>
      <c r="B282" s="14"/>
      <c r="C282" s="14"/>
      <c r="D282" s="14"/>
      <c r="E282" s="122"/>
      <c r="F282" s="14"/>
      <c r="G282" s="14"/>
      <c r="H282" s="14"/>
      <c r="I282" s="14"/>
      <c r="J282" s="14"/>
      <c r="K282" s="7"/>
      <c r="L282" s="14"/>
      <c r="M282" s="7"/>
      <c r="N282" s="14"/>
      <c r="O282" s="14"/>
      <c r="P282" s="7"/>
      <c r="Q282" s="21"/>
      <c r="R282" s="14"/>
      <c r="S282" s="14"/>
      <c r="T282" s="14"/>
      <c r="U282" s="14"/>
      <c r="V282" s="14"/>
      <c r="W282" s="14"/>
      <c r="X282" s="14"/>
      <c r="Y282" s="13"/>
      <c r="Z282" s="14"/>
    </row>
    <row r="283" spans="1:26" ht="14.25" customHeight="1" x14ac:dyDescent="0.25">
      <c r="A283" s="14"/>
      <c r="B283" s="14"/>
      <c r="C283" s="14"/>
      <c r="D283" s="14"/>
      <c r="E283" s="122"/>
      <c r="F283" s="14"/>
      <c r="G283" s="14"/>
      <c r="H283" s="14"/>
      <c r="I283" s="14"/>
      <c r="J283" s="14"/>
      <c r="K283" s="7"/>
      <c r="L283" s="14"/>
      <c r="M283" s="7"/>
      <c r="N283" s="14"/>
      <c r="O283" s="14"/>
      <c r="P283" s="7"/>
      <c r="Q283" s="21"/>
      <c r="R283" s="14"/>
      <c r="S283" s="14"/>
      <c r="T283" s="14"/>
      <c r="U283" s="14"/>
      <c r="V283" s="14"/>
      <c r="W283" s="14"/>
      <c r="X283" s="14"/>
      <c r="Y283" s="13"/>
      <c r="Z283" s="14"/>
    </row>
    <row r="284" spans="1:26" ht="14.25" customHeight="1" x14ac:dyDescent="0.25">
      <c r="A284" s="14"/>
      <c r="B284" s="14"/>
      <c r="C284" s="14"/>
      <c r="D284" s="14"/>
      <c r="E284" s="122"/>
      <c r="F284" s="14"/>
      <c r="G284" s="14"/>
      <c r="H284" s="14"/>
      <c r="I284" s="14"/>
      <c r="J284" s="14"/>
      <c r="K284" s="7"/>
      <c r="L284" s="14"/>
      <c r="M284" s="7"/>
      <c r="N284" s="14"/>
      <c r="O284" s="14"/>
      <c r="P284" s="7"/>
      <c r="Q284" s="21"/>
      <c r="R284" s="14"/>
      <c r="S284" s="14"/>
      <c r="T284" s="14"/>
      <c r="U284" s="14"/>
      <c r="V284" s="14"/>
      <c r="W284" s="14"/>
      <c r="X284" s="14"/>
      <c r="Y284" s="13"/>
      <c r="Z284" s="14"/>
    </row>
    <row r="285" spans="1:26" ht="14.25" customHeight="1" x14ac:dyDescent="0.25">
      <c r="A285" s="14"/>
      <c r="B285" s="14"/>
      <c r="C285" s="14"/>
      <c r="D285" s="14"/>
      <c r="E285" s="122"/>
      <c r="F285" s="14"/>
      <c r="G285" s="14"/>
      <c r="H285" s="14"/>
      <c r="I285" s="14"/>
      <c r="J285" s="14"/>
      <c r="K285" s="7"/>
      <c r="L285" s="14"/>
      <c r="M285" s="7"/>
      <c r="N285" s="14"/>
      <c r="O285" s="14"/>
      <c r="P285" s="7"/>
      <c r="Q285" s="21"/>
      <c r="R285" s="14"/>
      <c r="S285" s="14"/>
      <c r="T285" s="14"/>
      <c r="U285" s="14"/>
      <c r="V285" s="14"/>
      <c r="W285" s="14"/>
      <c r="X285" s="14"/>
      <c r="Y285" s="13"/>
      <c r="Z285" s="14"/>
    </row>
    <row r="286" spans="1:26" ht="14.25" customHeight="1" x14ac:dyDescent="0.25">
      <c r="A286" s="14"/>
      <c r="B286" s="14"/>
      <c r="C286" s="14"/>
      <c r="D286" s="14"/>
      <c r="E286" s="122"/>
      <c r="F286" s="14"/>
      <c r="G286" s="14"/>
      <c r="H286" s="14"/>
      <c r="I286" s="14"/>
      <c r="J286" s="14"/>
      <c r="K286" s="7"/>
      <c r="L286" s="14"/>
      <c r="M286" s="7"/>
      <c r="N286" s="14"/>
      <c r="O286" s="14"/>
      <c r="P286" s="7"/>
      <c r="Q286" s="21"/>
      <c r="R286" s="14"/>
      <c r="S286" s="14"/>
      <c r="T286" s="14"/>
      <c r="U286" s="14"/>
      <c r="V286" s="14"/>
      <c r="W286" s="14"/>
      <c r="X286" s="14"/>
      <c r="Y286" s="13"/>
      <c r="Z286" s="14"/>
    </row>
    <row r="287" spans="1:26" ht="14.25" customHeight="1" x14ac:dyDescent="0.25">
      <c r="A287" s="14"/>
      <c r="B287" s="14"/>
      <c r="C287" s="14"/>
      <c r="D287" s="14"/>
      <c r="E287" s="122"/>
      <c r="F287" s="14"/>
      <c r="G287" s="14"/>
      <c r="H287" s="14"/>
      <c r="I287" s="14"/>
      <c r="J287" s="14"/>
      <c r="K287" s="7"/>
      <c r="L287" s="14"/>
      <c r="M287" s="7"/>
      <c r="N287" s="14"/>
      <c r="O287" s="14"/>
      <c r="P287" s="7"/>
      <c r="Q287" s="21"/>
      <c r="R287" s="14"/>
      <c r="S287" s="14"/>
      <c r="T287" s="14"/>
      <c r="U287" s="14"/>
      <c r="V287" s="14"/>
      <c r="W287" s="14"/>
      <c r="X287" s="14"/>
      <c r="Y287" s="13"/>
      <c r="Z287" s="14"/>
    </row>
    <row r="288" spans="1:26" ht="14.25" customHeight="1" x14ac:dyDescent="0.25">
      <c r="A288" s="14"/>
      <c r="B288" s="14"/>
      <c r="C288" s="14"/>
      <c r="D288" s="14"/>
      <c r="E288" s="122"/>
      <c r="F288" s="14"/>
      <c r="G288" s="14"/>
      <c r="H288" s="14"/>
      <c r="I288" s="14"/>
      <c r="J288" s="14"/>
      <c r="K288" s="7"/>
      <c r="L288" s="14"/>
      <c r="M288" s="7"/>
      <c r="N288" s="14"/>
      <c r="O288" s="14"/>
      <c r="P288" s="7"/>
      <c r="Q288" s="21"/>
      <c r="R288" s="14"/>
      <c r="S288" s="14"/>
      <c r="T288" s="14"/>
      <c r="U288" s="14"/>
      <c r="V288" s="14"/>
      <c r="W288" s="14"/>
      <c r="X288" s="14"/>
      <c r="Y288" s="13"/>
      <c r="Z288" s="14"/>
    </row>
    <row r="289" spans="1:26" ht="14.25" customHeight="1" x14ac:dyDescent="0.25">
      <c r="A289" s="14"/>
      <c r="B289" s="14"/>
      <c r="C289" s="14"/>
      <c r="D289" s="14"/>
      <c r="E289" s="122"/>
      <c r="F289" s="14"/>
      <c r="G289" s="14"/>
      <c r="H289" s="14"/>
      <c r="I289" s="14"/>
      <c r="J289" s="14"/>
      <c r="K289" s="7"/>
      <c r="L289" s="14"/>
      <c r="M289" s="7"/>
      <c r="N289" s="14"/>
      <c r="O289" s="14"/>
      <c r="P289" s="7"/>
      <c r="Q289" s="21"/>
      <c r="R289" s="14"/>
      <c r="S289" s="14"/>
      <c r="T289" s="14"/>
      <c r="U289" s="14"/>
      <c r="V289" s="14"/>
      <c r="W289" s="14"/>
      <c r="X289" s="14"/>
      <c r="Y289" s="13"/>
      <c r="Z289" s="14"/>
    </row>
    <row r="290" spans="1:26" ht="14.25" customHeight="1" x14ac:dyDescent="0.25">
      <c r="A290" s="14"/>
      <c r="B290" s="14"/>
      <c r="C290" s="14"/>
      <c r="D290" s="14"/>
      <c r="E290" s="122"/>
      <c r="F290" s="14"/>
      <c r="G290" s="14"/>
      <c r="H290" s="14"/>
      <c r="I290" s="14"/>
      <c r="J290" s="14"/>
      <c r="K290" s="7"/>
      <c r="L290" s="14"/>
      <c r="M290" s="7"/>
      <c r="N290" s="14"/>
      <c r="O290" s="14"/>
      <c r="P290" s="7"/>
      <c r="Q290" s="21"/>
      <c r="R290" s="14"/>
      <c r="S290" s="14"/>
      <c r="T290" s="14"/>
      <c r="U290" s="14"/>
      <c r="V290" s="14"/>
      <c r="W290" s="14"/>
      <c r="X290" s="14"/>
      <c r="Y290" s="13"/>
      <c r="Z290" s="14"/>
    </row>
    <row r="291" spans="1:26" ht="14.25" customHeight="1" x14ac:dyDescent="0.25">
      <c r="A291" s="14"/>
      <c r="B291" s="14"/>
      <c r="C291" s="14"/>
      <c r="D291" s="14"/>
      <c r="E291" s="122"/>
      <c r="F291" s="14"/>
      <c r="G291" s="14"/>
      <c r="H291" s="14"/>
      <c r="I291" s="14"/>
      <c r="J291" s="14"/>
      <c r="K291" s="7"/>
      <c r="L291" s="14"/>
      <c r="M291" s="7"/>
      <c r="N291" s="14"/>
      <c r="O291" s="14"/>
      <c r="P291" s="7"/>
      <c r="Q291" s="21"/>
      <c r="R291" s="14"/>
      <c r="S291" s="14"/>
      <c r="T291" s="14"/>
      <c r="U291" s="14"/>
      <c r="V291" s="14"/>
      <c r="W291" s="14"/>
      <c r="X291" s="14"/>
      <c r="Y291" s="13"/>
      <c r="Z291" s="14"/>
    </row>
    <row r="292" spans="1:26" ht="14.25" customHeight="1" x14ac:dyDescent="0.25">
      <c r="A292" s="14"/>
      <c r="B292" s="14"/>
      <c r="C292" s="14"/>
      <c r="D292" s="14"/>
      <c r="E292" s="122"/>
      <c r="F292" s="14"/>
      <c r="G292" s="14"/>
      <c r="H292" s="14"/>
      <c r="I292" s="14"/>
      <c r="J292" s="14"/>
      <c r="K292" s="7"/>
      <c r="L292" s="14"/>
      <c r="M292" s="7"/>
      <c r="N292" s="14"/>
      <c r="O292" s="14"/>
      <c r="P292" s="7"/>
      <c r="Q292" s="21"/>
      <c r="R292" s="14"/>
      <c r="S292" s="14"/>
      <c r="T292" s="14"/>
      <c r="U292" s="14"/>
      <c r="V292" s="14"/>
      <c r="W292" s="14"/>
      <c r="X292" s="14"/>
      <c r="Y292" s="13"/>
      <c r="Z292" s="14"/>
    </row>
    <row r="293" spans="1:26" ht="14.25" customHeight="1" x14ac:dyDescent="0.25">
      <c r="A293" s="14"/>
      <c r="B293" s="14"/>
      <c r="C293" s="14"/>
      <c r="D293" s="14"/>
      <c r="E293" s="122"/>
      <c r="F293" s="14"/>
      <c r="G293" s="14"/>
      <c r="H293" s="14"/>
      <c r="I293" s="14"/>
      <c r="J293" s="14"/>
      <c r="K293" s="7"/>
      <c r="L293" s="14"/>
      <c r="M293" s="7"/>
      <c r="N293" s="14"/>
      <c r="O293" s="14"/>
      <c r="P293" s="7"/>
      <c r="Q293" s="21"/>
      <c r="R293" s="14"/>
      <c r="S293" s="14"/>
      <c r="T293" s="14"/>
      <c r="U293" s="14"/>
      <c r="V293" s="14"/>
      <c r="W293" s="14"/>
      <c r="X293" s="14"/>
      <c r="Y293" s="13"/>
      <c r="Z293" s="14"/>
    </row>
    <row r="294" spans="1:26" ht="14.25" customHeight="1" x14ac:dyDescent="0.25">
      <c r="A294" s="14"/>
      <c r="B294" s="14"/>
      <c r="C294" s="14"/>
      <c r="D294" s="14"/>
      <c r="E294" s="122"/>
      <c r="F294" s="14"/>
      <c r="G294" s="14"/>
      <c r="H294" s="14"/>
      <c r="I294" s="14"/>
      <c r="J294" s="14"/>
      <c r="K294" s="7"/>
      <c r="L294" s="14"/>
      <c r="M294" s="7"/>
      <c r="N294" s="14"/>
      <c r="O294" s="14"/>
      <c r="P294" s="7"/>
      <c r="Q294" s="21"/>
      <c r="R294" s="14"/>
      <c r="S294" s="14"/>
      <c r="T294" s="14"/>
      <c r="U294" s="14"/>
      <c r="V294" s="14"/>
      <c r="W294" s="14"/>
      <c r="X294" s="14"/>
      <c r="Y294" s="13"/>
      <c r="Z294" s="14"/>
    </row>
    <row r="295" spans="1:26" ht="14.25" customHeight="1" x14ac:dyDescent="0.25">
      <c r="A295" s="14"/>
      <c r="B295" s="14"/>
      <c r="C295" s="14"/>
      <c r="D295" s="14"/>
      <c r="E295" s="122"/>
      <c r="F295" s="14"/>
      <c r="G295" s="14"/>
      <c r="H295" s="14"/>
      <c r="I295" s="14"/>
      <c r="J295" s="14"/>
      <c r="K295" s="7"/>
      <c r="L295" s="14"/>
      <c r="M295" s="7"/>
      <c r="N295" s="14"/>
      <c r="O295" s="14"/>
      <c r="P295" s="7"/>
      <c r="Q295" s="21"/>
      <c r="R295" s="14"/>
      <c r="S295" s="14"/>
      <c r="T295" s="14"/>
      <c r="U295" s="14"/>
      <c r="V295" s="14"/>
      <c r="W295" s="14"/>
      <c r="X295" s="14"/>
      <c r="Y295" s="13"/>
      <c r="Z295" s="14"/>
    </row>
    <row r="296" spans="1:26" ht="14.25" customHeight="1" x14ac:dyDescent="0.25">
      <c r="A296" s="14"/>
      <c r="B296" s="14"/>
      <c r="C296" s="14"/>
      <c r="D296" s="14"/>
      <c r="E296" s="122"/>
      <c r="F296" s="14"/>
      <c r="G296" s="14"/>
      <c r="H296" s="14"/>
      <c r="I296" s="14"/>
      <c r="J296" s="14"/>
      <c r="K296" s="7"/>
      <c r="L296" s="14"/>
      <c r="M296" s="7"/>
      <c r="N296" s="14"/>
      <c r="O296" s="14"/>
      <c r="P296" s="7"/>
      <c r="Q296" s="21"/>
      <c r="R296" s="14"/>
      <c r="S296" s="14"/>
      <c r="T296" s="14"/>
      <c r="U296" s="14"/>
      <c r="V296" s="14"/>
      <c r="W296" s="14"/>
      <c r="X296" s="14"/>
      <c r="Y296" s="13"/>
      <c r="Z296" s="14"/>
    </row>
    <row r="297" spans="1:26" ht="14.25" customHeight="1" x14ac:dyDescent="0.25">
      <c r="A297" s="14"/>
      <c r="B297" s="14"/>
      <c r="C297" s="14"/>
      <c r="D297" s="14"/>
      <c r="E297" s="122"/>
      <c r="F297" s="14"/>
      <c r="G297" s="14"/>
      <c r="H297" s="14"/>
      <c r="I297" s="14"/>
      <c r="J297" s="14"/>
      <c r="K297" s="7"/>
      <c r="L297" s="14"/>
      <c r="M297" s="7"/>
      <c r="N297" s="14"/>
      <c r="O297" s="14"/>
      <c r="P297" s="7"/>
      <c r="Q297" s="21"/>
      <c r="R297" s="14"/>
      <c r="S297" s="14"/>
      <c r="T297" s="14"/>
      <c r="U297" s="14"/>
      <c r="V297" s="14"/>
      <c r="W297" s="14"/>
      <c r="X297" s="14"/>
      <c r="Y297" s="13"/>
      <c r="Z297" s="14"/>
    </row>
    <row r="298" spans="1:26" ht="14.25" customHeight="1" x14ac:dyDescent="0.25">
      <c r="A298" s="14"/>
      <c r="B298" s="14"/>
      <c r="C298" s="14"/>
      <c r="D298" s="14"/>
      <c r="E298" s="122"/>
      <c r="F298" s="14"/>
      <c r="G298" s="14"/>
      <c r="H298" s="14"/>
      <c r="I298" s="14"/>
      <c r="J298" s="14"/>
      <c r="K298" s="7"/>
      <c r="L298" s="14"/>
      <c r="M298" s="7"/>
      <c r="N298" s="14"/>
      <c r="O298" s="14"/>
      <c r="P298" s="7"/>
      <c r="Q298" s="21"/>
      <c r="R298" s="14"/>
      <c r="S298" s="14"/>
      <c r="T298" s="14"/>
      <c r="U298" s="14"/>
      <c r="V298" s="14"/>
      <c r="W298" s="14"/>
      <c r="X298" s="14"/>
      <c r="Y298" s="13"/>
      <c r="Z298" s="14"/>
    </row>
    <row r="299" spans="1:26" ht="14.25" customHeight="1" x14ac:dyDescent="0.25">
      <c r="A299" s="14"/>
      <c r="B299" s="14"/>
      <c r="C299" s="14"/>
      <c r="D299" s="14"/>
      <c r="E299" s="122"/>
      <c r="F299" s="14"/>
      <c r="G299" s="14"/>
      <c r="H299" s="14"/>
      <c r="I299" s="14"/>
      <c r="J299" s="14"/>
      <c r="K299" s="7"/>
      <c r="L299" s="14"/>
      <c r="M299" s="7"/>
      <c r="N299" s="14"/>
      <c r="O299" s="14"/>
      <c r="P299" s="7"/>
      <c r="Q299" s="21"/>
      <c r="R299" s="14"/>
      <c r="S299" s="14"/>
      <c r="T299" s="14"/>
      <c r="U299" s="14"/>
      <c r="V299" s="14"/>
      <c r="W299" s="14"/>
      <c r="X299" s="14"/>
      <c r="Y299" s="13"/>
      <c r="Z299" s="14"/>
    </row>
    <row r="300" spans="1:26" ht="14.25" customHeight="1" x14ac:dyDescent="0.25">
      <c r="A300" s="14"/>
      <c r="B300" s="14"/>
      <c r="C300" s="14"/>
      <c r="D300" s="14"/>
      <c r="E300" s="122"/>
      <c r="F300" s="14"/>
      <c r="G300" s="14"/>
      <c r="H300" s="14"/>
      <c r="I300" s="14"/>
      <c r="J300" s="14"/>
      <c r="K300" s="7"/>
      <c r="L300" s="14"/>
      <c r="M300" s="7"/>
      <c r="N300" s="14"/>
      <c r="O300" s="14"/>
      <c r="P300" s="7"/>
      <c r="Q300" s="21"/>
      <c r="R300" s="14"/>
      <c r="S300" s="14"/>
      <c r="T300" s="14"/>
      <c r="U300" s="14"/>
      <c r="V300" s="14"/>
      <c r="W300" s="14"/>
      <c r="X300" s="14"/>
      <c r="Y300" s="13"/>
      <c r="Z300" s="14"/>
    </row>
    <row r="301" spans="1:26" ht="14.25" customHeight="1" x14ac:dyDescent="0.25">
      <c r="A301" s="14"/>
      <c r="B301" s="14"/>
      <c r="C301" s="14"/>
      <c r="D301" s="14"/>
      <c r="E301" s="122"/>
      <c r="F301" s="14"/>
      <c r="G301" s="14"/>
      <c r="H301" s="14"/>
      <c r="I301" s="14"/>
      <c r="J301" s="14"/>
      <c r="K301" s="7"/>
      <c r="L301" s="14"/>
      <c r="M301" s="7"/>
      <c r="N301" s="14"/>
      <c r="O301" s="14"/>
      <c r="P301" s="7"/>
      <c r="Q301" s="21"/>
      <c r="R301" s="14"/>
      <c r="S301" s="14"/>
      <c r="T301" s="14"/>
      <c r="U301" s="14"/>
      <c r="V301" s="14"/>
      <c r="W301" s="14"/>
      <c r="X301" s="14"/>
      <c r="Y301" s="13"/>
      <c r="Z301" s="14"/>
    </row>
    <row r="302" spans="1:26" ht="14.25" customHeight="1" x14ac:dyDescent="0.25">
      <c r="A302" s="14"/>
      <c r="B302" s="14"/>
      <c r="C302" s="14"/>
      <c r="D302" s="14"/>
      <c r="E302" s="122"/>
      <c r="F302" s="14"/>
      <c r="G302" s="14"/>
      <c r="H302" s="14"/>
      <c r="I302" s="14"/>
      <c r="J302" s="14"/>
      <c r="K302" s="7"/>
      <c r="L302" s="14"/>
      <c r="M302" s="7"/>
      <c r="N302" s="14"/>
      <c r="O302" s="14"/>
      <c r="P302" s="7"/>
      <c r="Q302" s="21"/>
      <c r="R302" s="14"/>
      <c r="S302" s="14"/>
      <c r="T302" s="14"/>
      <c r="U302" s="14"/>
      <c r="V302" s="14"/>
      <c r="W302" s="14"/>
      <c r="X302" s="14"/>
      <c r="Y302" s="13"/>
      <c r="Z302" s="14"/>
    </row>
    <row r="303" spans="1:26" ht="14.25" customHeight="1" x14ac:dyDescent="0.25">
      <c r="A303" s="14"/>
      <c r="B303" s="14"/>
      <c r="C303" s="14"/>
      <c r="D303" s="14"/>
      <c r="E303" s="122"/>
      <c r="F303" s="14"/>
      <c r="G303" s="14"/>
      <c r="H303" s="14"/>
      <c r="I303" s="14"/>
      <c r="J303" s="14"/>
      <c r="K303" s="7"/>
      <c r="L303" s="14"/>
      <c r="M303" s="7"/>
      <c r="N303" s="14"/>
      <c r="O303" s="14"/>
      <c r="P303" s="7"/>
      <c r="Q303" s="21"/>
      <c r="R303" s="14"/>
      <c r="S303" s="14"/>
      <c r="T303" s="14"/>
      <c r="U303" s="14"/>
      <c r="V303" s="14"/>
      <c r="W303" s="14"/>
      <c r="X303" s="14"/>
      <c r="Y303" s="13"/>
      <c r="Z303" s="14"/>
    </row>
    <row r="304" spans="1:26" ht="14.25" customHeight="1" x14ac:dyDescent="0.25">
      <c r="A304" s="14"/>
      <c r="B304" s="14"/>
      <c r="C304" s="14"/>
      <c r="D304" s="14"/>
      <c r="E304" s="122"/>
      <c r="F304" s="14"/>
      <c r="G304" s="14"/>
      <c r="H304" s="14"/>
      <c r="I304" s="14"/>
      <c r="J304" s="14"/>
      <c r="K304" s="7"/>
      <c r="L304" s="14"/>
      <c r="M304" s="7"/>
      <c r="N304" s="14"/>
      <c r="O304" s="14"/>
      <c r="P304" s="7"/>
      <c r="Q304" s="21"/>
      <c r="R304" s="14"/>
      <c r="S304" s="14"/>
      <c r="T304" s="14"/>
      <c r="U304" s="14"/>
      <c r="V304" s="14"/>
      <c r="W304" s="14"/>
      <c r="X304" s="14"/>
      <c r="Y304" s="13"/>
      <c r="Z304" s="14"/>
    </row>
    <row r="305" spans="1:26" ht="14.25" customHeight="1" x14ac:dyDescent="0.25">
      <c r="A305" s="14"/>
      <c r="B305" s="14"/>
      <c r="C305" s="14"/>
      <c r="D305" s="14"/>
      <c r="E305" s="122"/>
      <c r="F305" s="14"/>
      <c r="G305" s="14"/>
      <c r="H305" s="14"/>
      <c r="I305" s="14"/>
      <c r="J305" s="14"/>
      <c r="K305" s="7"/>
      <c r="L305" s="14"/>
      <c r="M305" s="7"/>
      <c r="N305" s="14"/>
      <c r="O305" s="14"/>
      <c r="P305" s="7"/>
      <c r="Q305" s="21"/>
      <c r="R305" s="14"/>
      <c r="S305" s="14"/>
      <c r="T305" s="14"/>
      <c r="U305" s="14"/>
      <c r="V305" s="14"/>
      <c r="W305" s="14"/>
      <c r="X305" s="14"/>
      <c r="Y305" s="13"/>
      <c r="Z305" s="14"/>
    </row>
    <row r="306" spans="1:26" ht="14.25" customHeight="1" x14ac:dyDescent="0.25">
      <c r="A306" s="14"/>
      <c r="B306" s="14"/>
      <c r="C306" s="14"/>
      <c r="D306" s="14"/>
      <c r="E306" s="122"/>
      <c r="F306" s="14"/>
      <c r="G306" s="14"/>
      <c r="H306" s="14"/>
      <c r="I306" s="14"/>
      <c r="J306" s="14"/>
      <c r="K306" s="7"/>
      <c r="L306" s="14"/>
      <c r="M306" s="7"/>
      <c r="N306" s="14"/>
      <c r="O306" s="14"/>
      <c r="P306" s="7"/>
      <c r="Q306" s="21"/>
      <c r="R306" s="14"/>
      <c r="S306" s="14"/>
      <c r="T306" s="14"/>
      <c r="U306" s="14"/>
      <c r="V306" s="14"/>
      <c r="W306" s="14"/>
      <c r="X306" s="14"/>
      <c r="Y306" s="13"/>
      <c r="Z306" s="14"/>
    </row>
    <row r="307" spans="1:26" ht="14.25" customHeight="1" x14ac:dyDescent="0.25">
      <c r="A307" s="14"/>
      <c r="B307" s="14"/>
      <c r="C307" s="14"/>
      <c r="D307" s="14"/>
      <c r="E307" s="122"/>
      <c r="F307" s="14"/>
      <c r="G307" s="14"/>
      <c r="H307" s="14"/>
      <c r="I307" s="14"/>
      <c r="J307" s="14"/>
      <c r="K307" s="7"/>
      <c r="L307" s="14"/>
      <c r="M307" s="7"/>
      <c r="N307" s="14"/>
      <c r="O307" s="14"/>
      <c r="P307" s="7"/>
      <c r="Q307" s="21"/>
      <c r="R307" s="14"/>
      <c r="S307" s="14"/>
      <c r="T307" s="14"/>
      <c r="U307" s="14"/>
      <c r="V307" s="14"/>
      <c r="W307" s="14"/>
      <c r="X307" s="14"/>
      <c r="Y307" s="13"/>
      <c r="Z307" s="14"/>
    </row>
    <row r="308" spans="1:26" ht="14.25" customHeight="1" x14ac:dyDescent="0.25">
      <c r="A308" s="14"/>
      <c r="B308" s="14"/>
      <c r="C308" s="14"/>
      <c r="D308" s="14"/>
      <c r="E308" s="122"/>
      <c r="F308" s="14"/>
      <c r="G308" s="14"/>
      <c r="H308" s="14"/>
      <c r="I308" s="14"/>
      <c r="J308" s="14"/>
      <c r="K308" s="7"/>
      <c r="L308" s="14"/>
      <c r="M308" s="7"/>
      <c r="N308" s="14"/>
      <c r="O308" s="14"/>
      <c r="P308" s="7"/>
      <c r="Q308" s="21"/>
      <c r="R308" s="14"/>
      <c r="S308" s="14"/>
      <c r="T308" s="14"/>
      <c r="U308" s="14"/>
      <c r="V308" s="14"/>
      <c r="W308" s="14"/>
      <c r="X308" s="14"/>
      <c r="Y308" s="13"/>
      <c r="Z308" s="14"/>
    </row>
    <row r="309" spans="1:26" ht="14.25" customHeight="1" x14ac:dyDescent="0.25">
      <c r="A309" s="14"/>
      <c r="B309" s="14"/>
      <c r="C309" s="14"/>
      <c r="D309" s="14"/>
      <c r="E309" s="122"/>
      <c r="F309" s="14"/>
      <c r="G309" s="14"/>
      <c r="H309" s="14"/>
      <c r="I309" s="14"/>
      <c r="J309" s="14"/>
      <c r="K309" s="7"/>
      <c r="L309" s="14"/>
      <c r="M309" s="7"/>
      <c r="N309" s="14"/>
      <c r="O309" s="14"/>
      <c r="P309" s="7"/>
      <c r="Q309" s="21"/>
      <c r="R309" s="14"/>
      <c r="S309" s="14"/>
      <c r="T309" s="14"/>
      <c r="U309" s="14"/>
      <c r="V309" s="14"/>
      <c r="W309" s="14"/>
      <c r="X309" s="14"/>
      <c r="Y309" s="13"/>
      <c r="Z309" s="14"/>
    </row>
    <row r="310" spans="1:26" ht="14.25" customHeight="1" x14ac:dyDescent="0.25">
      <c r="A310" s="14"/>
      <c r="B310" s="14"/>
      <c r="C310" s="14"/>
      <c r="D310" s="14"/>
      <c r="E310" s="122"/>
      <c r="F310" s="14"/>
      <c r="G310" s="14"/>
      <c r="H310" s="14"/>
      <c r="I310" s="14"/>
      <c r="J310" s="14"/>
      <c r="K310" s="7"/>
      <c r="L310" s="14"/>
      <c r="M310" s="7"/>
      <c r="N310" s="14"/>
      <c r="O310" s="14"/>
      <c r="P310" s="7"/>
      <c r="Q310" s="21"/>
      <c r="R310" s="14"/>
      <c r="S310" s="14"/>
      <c r="T310" s="14"/>
      <c r="U310" s="14"/>
      <c r="V310" s="14"/>
      <c r="W310" s="14"/>
      <c r="X310" s="14"/>
      <c r="Y310" s="13"/>
      <c r="Z310" s="14"/>
    </row>
    <row r="311" spans="1:26" ht="14.25" customHeight="1" x14ac:dyDescent="0.25">
      <c r="A311" s="14"/>
      <c r="B311" s="14"/>
      <c r="C311" s="14"/>
      <c r="D311" s="14"/>
      <c r="E311" s="122"/>
      <c r="F311" s="14"/>
      <c r="G311" s="14"/>
      <c r="H311" s="14"/>
      <c r="I311" s="14"/>
      <c r="J311" s="14"/>
      <c r="K311" s="7"/>
      <c r="L311" s="14"/>
      <c r="M311" s="7"/>
      <c r="N311" s="14"/>
      <c r="O311" s="14"/>
      <c r="P311" s="7"/>
      <c r="Q311" s="21"/>
      <c r="R311" s="14"/>
      <c r="S311" s="14"/>
      <c r="T311" s="14"/>
      <c r="U311" s="14"/>
      <c r="V311" s="14"/>
      <c r="W311" s="14"/>
      <c r="X311" s="14"/>
      <c r="Y311" s="13"/>
      <c r="Z311" s="14"/>
    </row>
    <row r="312" spans="1:26" ht="14.25" customHeight="1" x14ac:dyDescent="0.25">
      <c r="A312" s="14"/>
      <c r="B312" s="14"/>
      <c r="C312" s="14"/>
      <c r="D312" s="14"/>
      <c r="E312" s="122"/>
      <c r="F312" s="14"/>
      <c r="G312" s="14"/>
      <c r="H312" s="14"/>
      <c r="I312" s="14"/>
      <c r="J312" s="14"/>
      <c r="K312" s="7"/>
      <c r="L312" s="14"/>
      <c r="M312" s="7"/>
      <c r="N312" s="14"/>
      <c r="O312" s="14"/>
      <c r="P312" s="7"/>
      <c r="Q312" s="21"/>
      <c r="R312" s="14"/>
      <c r="S312" s="14"/>
      <c r="T312" s="14"/>
      <c r="U312" s="14"/>
      <c r="V312" s="14"/>
      <c r="W312" s="14"/>
      <c r="X312" s="14"/>
      <c r="Y312" s="13"/>
      <c r="Z312" s="14"/>
    </row>
    <row r="313" spans="1:26" ht="14.25" customHeight="1" x14ac:dyDescent="0.25">
      <c r="A313" s="14"/>
      <c r="B313" s="14"/>
      <c r="C313" s="14"/>
      <c r="D313" s="14"/>
      <c r="E313" s="122"/>
      <c r="F313" s="14"/>
      <c r="G313" s="14"/>
      <c r="H313" s="14"/>
      <c r="I313" s="14"/>
      <c r="J313" s="14"/>
      <c r="K313" s="7"/>
      <c r="L313" s="14"/>
      <c r="M313" s="7"/>
      <c r="N313" s="14"/>
      <c r="O313" s="14"/>
      <c r="P313" s="7"/>
      <c r="Q313" s="21"/>
      <c r="R313" s="14"/>
      <c r="S313" s="14"/>
      <c r="T313" s="14"/>
      <c r="U313" s="14"/>
      <c r="V313" s="14"/>
      <c r="W313" s="14"/>
      <c r="X313" s="14"/>
      <c r="Y313" s="13"/>
      <c r="Z313" s="14"/>
    </row>
    <row r="314" spans="1:26" ht="14.25" customHeight="1" x14ac:dyDescent="0.25">
      <c r="A314" s="14"/>
      <c r="B314" s="14"/>
      <c r="C314" s="14"/>
      <c r="D314" s="14"/>
      <c r="E314" s="122"/>
      <c r="F314" s="14"/>
      <c r="G314" s="14"/>
      <c r="H314" s="14"/>
      <c r="I314" s="14"/>
      <c r="J314" s="14"/>
      <c r="K314" s="7"/>
      <c r="L314" s="14"/>
      <c r="M314" s="7"/>
      <c r="N314" s="14"/>
      <c r="O314" s="14"/>
      <c r="P314" s="7"/>
      <c r="Q314" s="21"/>
      <c r="R314" s="14"/>
      <c r="S314" s="14"/>
      <c r="T314" s="14"/>
      <c r="U314" s="14"/>
      <c r="V314" s="14"/>
      <c r="W314" s="14"/>
      <c r="X314" s="14"/>
      <c r="Y314" s="13"/>
      <c r="Z314" s="14"/>
    </row>
    <row r="315" spans="1:26" ht="14.25" customHeight="1" x14ac:dyDescent="0.25">
      <c r="A315" s="14"/>
      <c r="B315" s="14"/>
      <c r="C315" s="14"/>
      <c r="D315" s="14"/>
      <c r="E315" s="122"/>
      <c r="F315" s="14"/>
      <c r="G315" s="14"/>
      <c r="H315" s="14"/>
      <c r="I315" s="14"/>
      <c r="J315" s="14"/>
      <c r="K315" s="7"/>
      <c r="L315" s="14"/>
      <c r="M315" s="7"/>
      <c r="N315" s="14"/>
      <c r="O315" s="14"/>
      <c r="P315" s="7"/>
      <c r="Q315" s="21"/>
      <c r="R315" s="14"/>
      <c r="S315" s="14"/>
      <c r="T315" s="14"/>
      <c r="U315" s="14"/>
      <c r="V315" s="14"/>
      <c r="W315" s="14"/>
      <c r="X315" s="14"/>
      <c r="Y315" s="13"/>
      <c r="Z315" s="14"/>
    </row>
    <row r="316" spans="1:26" ht="14.25" customHeight="1" x14ac:dyDescent="0.25">
      <c r="A316" s="14"/>
      <c r="B316" s="14"/>
      <c r="C316" s="14"/>
      <c r="D316" s="14"/>
      <c r="E316" s="122"/>
      <c r="F316" s="14"/>
      <c r="G316" s="14"/>
      <c r="H316" s="14"/>
      <c r="I316" s="14"/>
      <c r="J316" s="14"/>
      <c r="K316" s="7"/>
      <c r="L316" s="14"/>
      <c r="M316" s="7"/>
      <c r="N316" s="14"/>
      <c r="O316" s="14"/>
      <c r="P316" s="7"/>
      <c r="Q316" s="21"/>
      <c r="R316" s="14"/>
      <c r="S316" s="14"/>
      <c r="T316" s="14"/>
      <c r="U316" s="14"/>
      <c r="V316" s="14"/>
      <c r="W316" s="14"/>
      <c r="X316" s="14"/>
      <c r="Y316" s="13"/>
      <c r="Z316" s="14"/>
    </row>
    <row r="317" spans="1:26" ht="14.25" customHeight="1" x14ac:dyDescent="0.25">
      <c r="A317" s="14"/>
      <c r="B317" s="14"/>
      <c r="C317" s="14"/>
      <c r="D317" s="14"/>
      <c r="E317" s="122"/>
      <c r="F317" s="14"/>
      <c r="G317" s="14"/>
      <c r="H317" s="14"/>
      <c r="I317" s="14"/>
      <c r="J317" s="14"/>
      <c r="K317" s="7"/>
      <c r="L317" s="14"/>
      <c r="M317" s="7"/>
      <c r="N317" s="14"/>
      <c r="O317" s="14"/>
      <c r="P317" s="7"/>
      <c r="Q317" s="21"/>
      <c r="R317" s="14"/>
      <c r="S317" s="14"/>
      <c r="T317" s="14"/>
      <c r="U317" s="14"/>
      <c r="V317" s="14"/>
      <c r="W317" s="14"/>
      <c r="X317" s="14"/>
      <c r="Y317" s="13"/>
      <c r="Z317" s="14"/>
    </row>
    <row r="318" spans="1:26" ht="14.25" customHeight="1" x14ac:dyDescent="0.25">
      <c r="A318" s="14"/>
      <c r="B318" s="14"/>
      <c r="C318" s="14"/>
      <c r="D318" s="14"/>
      <c r="E318" s="122"/>
      <c r="F318" s="14"/>
      <c r="G318" s="14"/>
      <c r="H318" s="14"/>
      <c r="I318" s="14"/>
      <c r="J318" s="14"/>
      <c r="K318" s="7"/>
      <c r="L318" s="14"/>
      <c r="M318" s="7"/>
      <c r="N318" s="14"/>
      <c r="O318" s="14"/>
      <c r="P318" s="7"/>
      <c r="Q318" s="21"/>
      <c r="R318" s="14"/>
      <c r="S318" s="14"/>
      <c r="T318" s="14"/>
      <c r="U318" s="14"/>
      <c r="V318" s="14"/>
      <c r="W318" s="14"/>
      <c r="X318" s="14"/>
      <c r="Y318" s="13"/>
      <c r="Z318" s="14"/>
    </row>
    <row r="319" spans="1:26" ht="14.25" customHeight="1" x14ac:dyDescent="0.25">
      <c r="A319" s="14"/>
      <c r="B319" s="14"/>
      <c r="C319" s="14"/>
      <c r="D319" s="14"/>
      <c r="E319" s="122"/>
      <c r="F319" s="14"/>
      <c r="G319" s="14"/>
      <c r="H319" s="14"/>
      <c r="I319" s="14"/>
      <c r="J319" s="14"/>
      <c r="K319" s="7"/>
      <c r="L319" s="14"/>
      <c r="M319" s="7"/>
      <c r="N319" s="14"/>
      <c r="O319" s="14"/>
      <c r="P319" s="7"/>
      <c r="Q319" s="21"/>
      <c r="R319" s="14"/>
      <c r="S319" s="14"/>
      <c r="T319" s="14"/>
      <c r="U319" s="14"/>
      <c r="V319" s="14"/>
      <c r="W319" s="14"/>
      <c r="X319" s="14"/>
      <c r="Y319" s="13"/>
      <c r="Z319" s="14"/>
    </row>
    <row r="320" spans="1:26" ht="14.25" customHeight="1" x14ac:dyDescent="0.25">
      <c r="A320" s="14"/>
      <c r="B320" s="14"/>
      <c r="C320" s="14"/>
      <c r="D320" s="14"/>
      <c r="E320" s="122"/>
      <c r="F320" s="14"/>
      <c r="G320" s="14"/>
      <c r="H320" s="14"/>
      <c r="I320" s="14"/>
      <c r="J320" s="14"/>
      <c r="K320" s="7"/>
      <c r="L320" s="14"/>
      <c r="M320" s="7"/>
      <c r="N320" s="14"/>
      <c r="O320" s="14"/>
      <c r="P320" s="7"/>
      <c r="Q320" s="21"/>
      <c r="R320" s="14"/>
      <c r="S320" s="14"/>
      <c r="T320" s="14"/>
      <c r="U320" s="14"/>
      <c r="V320" s="14"/>
      <c r="W320" s="14"/>
      <c r="X320" s="14"/>
      <c r="Y320" s="13"/>
      <c r="Z320" s="14"/>
    </row>
    <row r="321" spans="1:26" ht="14.25" customHeight="1" x14ac:dyDescent="0.25">
      <c r="A321" s="14"/>
      <c r="B321" s="14"/>
      <c r="C321" s="14"/>
      <c r="D321" s="14"/>
      <c r="E321" s="122"/>
      <c r="F321" s="14"/>
      <c r="G321" s="14"/>
      <c r="H321" s="14"/>
      <c r="I321" s="14"/>
      <c r="J321" s="14"/>
      <c r="K321" s="7"/>
      <c r="L321" s="14"/>
      <c r="M321" s="7"/>
      <c r="N321" s="14"/>
      <c r="O321" s="14"/>
      <c r="P321" s="7"/>
      <c r="Q321" s="21"/>
      <c r="R321" s="14"/>
      <c r="S321" s="14"/>
      <c r="T321" s="14"/>
      <c r="U321" s="14"/>
      <c r="V321" s="14"/>
      <c r="W321" s="14"/>
      <c r="X321" s="14"/>
      <c r="Y321" s="13"/>
      <c r="Z321" s="14"/>
    </row>
    <row r="322" spans="1:26" ht="14.25" customHeight="1" x14ac:dyDescent="0.25">
      <c r="A322" s="14"/>
      <c r="B322" s="14"/>
      <c r="C322" s="14"/>
      <c r="D322" s="14"/>
      <c r="E322" s="122"/>
      <c r="F322" s="14"/>
      <c r="G322" s="14"/>
      <c r="H322" s="14"/>
      <c r="I322" s="14"/>
      <c r="J322" s="14"/>
      <c r="K322" s="7"/>
      <c r="L322" s="14"/>
      <c r="M322" s="7"/>
      <c r="N322" s="14"/>
      <c r="O322" s="14"/>
      <c r="P322" s="7"/>
      <c r="Q322" s="21"/>
      <c r="R322" s="14"/>
      <c r="S322" s="14"/>
      <c r="T322" s="14"/>
      <c r="U322" s="14"/>
      <c r="V322" s="14"/>
      <c r="W322" s="14"/>
      <c r="X322" s="14"/>
      <c r="Y322" s="13"/>
      <c r="Z322" s="14"/>
    </row>
    <row r="323" spans="1:26" ht="14.25" customHeight="1" x14ac:dyDescent="0.25">
      <c r="A323" s="14"/>
      <c r="B323" s="14"/>
      <c r="C323" s="14"/>
      <c r="D323" s="14"/>
      <c r="E323" s="122"/>
      <c r="F323" s="14"/>
      <c r="G323" s="14"/>
      <c r="H323" s="14"/>
      <c r="I323" s="14"/>
      <c r="J323" s="14"/>
      <c r="K323" s="7"/>
      <c r="L323" s="14"/>
      <c r="M323" s="7"/>
      <c r="N323" s="14"/>
      <c r="O323" s="14"/>
      <c r="P323" s="7"/>
      <c r="Q323" s="21"/>
      <c r="R323" s="14"/>
      <c r="S323" s="14"/>
      <c r="T323" s="14"/>
      <c r="U323" s="14"/>
      <c r="V323" s="14"/>
      <c r="W323" s="14"/>
      <c r="X323" s="14"/>
      <c r="Y323" s="13"/>
      <c r="Z323" s="14"/>
    </row>
    <row r="324" spans="1:26" ht="14.25" customHeight="1" x14ac:dyDescent="0.25">
      <c r="A324" s="14"/>
      <c r="B324" s="14"/>
      <c r="C324" s="14"/>
      <c r="D324" s="14"/>
      <c r="E324" s="122"/>
      <c r="F324" s="14"/>
      <c r="G324" s="14"/>
      <c r="H324" s="14"/>
      <c r="I324" s="14"/>
      <c r="J324" s="14"/>
      <c r="K324" s="7"/>
      <c r="L324" s="14"/>
      <c r="M324" s="7"/>
      <c r="N324" s="14"/>
      <c r="O324" s="14"/>
      <c r="P324" s="7"/>
      <c r="Q324" s="21"/>
      <c r="R324" s="14"/>
      <c r="S324" s="14"/>
      <c r="T324" s="14"/>
      <c r="U324" s="14"/>
      <c r="V324" s="14"/>
      <c r="W324" s="14"/>
      <c r="X324" s="14"/>
      <c r="Y324" s="13"/>
      <c r="Z324" s="14"/>
    </row>
    <row r="325" spans="1:26" ht="14.25" customHeight="1" x14ac:dyDescent="0.25">
      <c r="A325" s="14"/>
      <c r="B325" s="14"/>
      <c r="C325" s="14"/>
      <c r="D325" s="14"/>
      <c r="E325" s="122"/>
      <c r="F325" s="14"/>
      <c r="G325" s="14"/>
      <c r="H325" s="14"/>
      <c r="I325" s="14"/>
      <c r="J325" s="14"/>
      <c r="K325" s="7"/>
      <c r="L325" s="14"/>
      <c r="M325" s="7"/>
      <c r="N325" s="14"/>
      <c r="O325" s="14"/>
      <c r="P325" s="7"/>
      <c r="Q325" s="21"/>
      <c r="R325" s="14"/>
      <c r="S325" s="14"/>
      <c r="T325" s="14"/>
      <c r="U325" s="14"/>
      <c r="V325" s="14"/>
      <c r="W325" s="14"/>
      <c r="X325" s="14"/>
      <c r="Y325" s="13"/>
      <c r="Z325" s="14"/>
    </row>
    <row r="326" spans="1:26" ht="14.25" customHeight="1" x14ac:dyDescent="0.25">
      <c r="A326" s="14"/>
      <c r="B326" s="14"/>
      <c r="C326" s="14"/>
      <c r="D326" s="14"/>
      <c r="E326" s="122"/>
      <c r="F326" s="14"/>
      <c r="G326" s="14"/>
      <c r="H326" s="14"/>
      <c r="I326" s="14"/>
      <c r="J326" s="14"/>
      <c r="K326" s="7"/>
      <c r="L326" s="14"/>
      <c r="M326" s="7"/>
      <c r="N326" s="14"/>
      <c r="O326" s="14"/>
      <c r="P326" s="7"/>
      <c r="Q326" s="21"/>
      <c r="R326" s="14"/>
      <c r="S326" s="14"/>
      <c r="T326" s="14"/>
      <c r="U326" s="14"/>
      <c r="V326" s="14"/>
      <c r="W326" s="14"/>
      <c r="X326" s="14"/>
      <c r="Y326" s="13"/>
      <c r="Z326" s="14"/>
    </row>
    <row r="327" spans="1:26" ht="14.25" customHeight="1" x14ac:dyDescent="0.25">
      <c r="A327" s="14"/>
      <c r="B327" s="14"/>
      <c r="C327" s="14"/>
      <c r="D327" s="14"/>
      <c r="E327" s="122"/>
      <c r="F327" s="14"/>
      <c r="G327" s="14"/>
      <c r="H327" s="14"/>
      <c r="I327" s="14"/>
      <c r="J327" s="14"/>
      <c r="K327" s="7"/>
      <c r="L327" s="14"/>
      <c r="M327" s="7"/>
      <c r="N327" s="14"/>
      <c r="O327" s="14"/>
      <c r="P327" s="7"/>
      <c r="Q327" s="21"/>
      <c r="R327" s="14"/>
      <c r="S327" s="14"/>
      <c r="T327" s="14"/>
      <c r="U327" s="14"/>
      <c r="V327" s="14"/>
      <c r="W327" s="14"/>
      <c r="X327" s="14"/>
      <c r="Y327" s="13"/>
      <c r="Z327" s="14"/>
    </row>
    <row r="328" spans="1:26" ht="14.25" customHeight="1" x14ac:dyDescent="0.25">
      <c r="A328" s="14"/>
      <c r="B328" s="14"/>
      <c r="C328" s="14"/>
      <c r="D328" s="14"/>
      <c r="E328" s="122"/>
      <c r="F328" s="14"/>
      <c r="G328" s="14"/>
      <c r="H328" s="14"/>
      <c r="I328" s="14"/>
      <c r="J328" s="14"/>
      <c r="K328" s="7"/>
      <c r="L328" s="14"/>
      <c r="M328" s="7"/>
      <c r="N328" s="14"/>
      <c r="O328" s="14"/>
      <c r="P328" s="7"/>
      <c r="Q328" s="21"/>
      <c r="R328" s="14"/>
      <c r="S328" s="14"/>
      <c r="T328" s="14"/>
      <c r="U328" s="14"/>
      <c r="V328" s="14"/>
      <c r="W328" s="14"/>
      <c r="X328" s="14"/>
      <c r="Y328" s="13"/>
      <c r="Z328" s="14"/>
    </row>
    <row r="329" spans="1:26" ht="14.25" customHeight="1" x14ac:dyDescent="0.25">
      <c r="A329" s="14"/>
      <c r="B329" s="14"/>
      <c r="C329" s="14"/>
      <c r="D329" s="14"/>
      <c r="E329" s="122"/>
      <c r="F329" s="14"/>
      <c r="G329" s="14"/>
      <c r="H329" s="14"/>
      <c r="I329" s="14"/>
      <c r="J329" s="14"/>
      <c r="K329" s="7"/>
      <c r="L329" s="14"/>
      <c r="M329" s="7"/>
      <c r="N329" s="14"/>
      <c r="O329" s="14"/>
      <c r="P329" s="7"/>
      <c r="Q329" s="21"/>
      <c r="R329" s="14"/>
      <c r="S329" s="14"/>
      <c r="T329" s="14"/>
      <c r="U329" s="14"/>
      <c r="V329" s="14"/>
      <c r="W329" s="14"/>
      <c r="X329" s="14"/>
      <c r="Y329" s="13"/>
      <c r="Z329" s="14"/>
    </row>
    <row r="330" spans="1:26" ht="14.25" customHeight="1" x14ac:dyDescent="0.25">
      <c r="A330" s="14"/>
      <c r="B330" s="14"/>
      <c r="C330" s="14"/>
      <c r="D330" s="14"/>
      <c r="E330" s="122"/>
      <c r="F330" s="14"/>
      <c r="G330" s="14"/>
      <c r="H330" s="14"/>
      <c r="I330" s="14"/>
      <c r="J330" s="14"/>
      <c r="K330" s="7"/>
      <c r="L330" s="14"/>
      <c r="M330" s="7"/>
      <c r="N330" s="14"/>
      <c r="O330" s="14"/>
      <c r="P330" s="7"/>
      <c r="Q330" s="21"/>
      <c r="R330" s="14"/>
      <c r="S330" s="14"/>
      <c r="T330" s="14"/>
      <c r="U330" s="14"/>
      <c r="V330" s="14"/>
      <c r="W330" s="14"/>
      <c r="X330" s="14"/>
      <c r="Y330" s="13"/>
      <c r="Z330" s="14"/>
    </row>
    <row r="331" spans="1:26" ht="14.25" customHeight="1" x14ac:dyDescent="0.25">
      <c r="A331" s="14"/>
      <c r="B331" s="14"/>
      <c r="C331" s="14"/>
      <c r="D331" s="14"/>
      <c r="E331" s="122"/>
      <c r="F331" s="14"/>
      <c r="G331" s="14"/>
      <c r="H331" s="14"/>
      <c r="I331" s="14"/>
      <c r="J331" s="14"/>
      <c r="K331" s="7"/>
      <c r="L331" s="14"/>
      <c r="M331" s="7"/>
      <c r="N331" s="14"/>
      <c r="O331" s="14"/>
      <c r="P331" s="7"/>
      <c r="Q331" s="21"/>
      <c r="R331" s="14"/>
      <c r="S331" s="14"/>
      <c r="T331" s="14"/>
      <c r="U331" s="14"/>
      <c r="V331" s="14"/>
      <c r="W331" s="14"/>
      <c r="X331" s="14"/>
      <c r="Y331" s="13"/>
      <c r="Z331" s="14"/>
    </row>
    <row r="332" spans="1:26" ht="14.25" customHeight="1" x14ac:dyDescent="0.25">
      <c r="A332" s="14"/>
      <c r="B332" s="14"/>
      <c r="C332" s="14"/>
      <c r="D332" s="14"/>
      <c r="E332" s="122"/>
      <c r="F332" s="14"/>
      <c r="G332" s="14"/>
      <c r="H332" s="14"/>
      <c r="I332" s="14"/>
      <c r="J332" s="14"/>
      <c r="K332" s="7"/>
      <c r="L332" s="14"/>
      <c r="M332" s="7"/>
      <c r="N332" s="14"/>
      <c r="O332" s="14"/>
      <c r="P332" s="7"/>
      <c r="Q332" s="21"/>
      <c r="R332" s="14"/>
      <c r="S332" s="14"/>
      <c r="T332" s="14"/>
      <c r="U332" s="14"/>
      <c r="V332" s="14"/>
      <c r="W332" s="14"/>
      <c r="X332" s="14"/>
      <c r="Y332" s="13"/>
      <c r="Z332" s="14"/>
    </row>
    <row r="333" spans="1:26" ht="14.25" customHeight="1" x14ac:dyDescent="0.25">
      <c r="A333" s="14"/>
      <c r="B333" s="14"/>
      <c r="C333" s="14"/>
      <c r="D333" s="14"/>
      <c r="E333" s="122"/>
      <c r="F333" s="14"/>
      <c r="G333" s="14"/>
      <c r="H333" s="14"/>
      <c r="I333" s="14"/>
      <c r="J333" s="14"/>
      <c r="K333" s="7"/>
      <c r="L333" s="14"/>
      <c r="M333" s="7"/>
      <c r="N333" s="14"/>
      <c r="O333" s="14"/>
      <c r="P333" s="7"/>
      <c r="Q333" s="21"/>
      <c r="R333" s="14"/>
      <c r="S333" s="14"/>
      <c r="T333" s="14"/>
      <c r="U333" s="14"/>
      <c r="V333" s="14"/>
      <c r="W333" s="14"/>
      <c r="X333" s="14"/>
      <c r="Y333" s="13"/>
      <c r="Z333" s="14"/>
    </row>
    <row r="334" spans="1:26" ht="14.25" customHeight="1" x14ac:dyDescent="0.25">
      <c r="A334" s="14"/>
      <c r="B334" s="14"/>
      <c r="C334" s="14"/>
      <c r="D334" s="14"/>
      <c r="E334" s="122"/>
      <c r="F334" s="14"/>
      <c r="G334" s="14"/>
      <c r="H334" s="14"/>
      <c r="I334" s="14"/>
      <c r="J334" s="14"/>
      <c r="K334" s="7"/>
      <c r="L334" s="14"/>
      <c r="M334" s="7"/>
      <c r="N334" s="14"/>
      <c r="O334" s="14"/>
      <c r="P334" s="7"/>
      <c r="Q334" s="21"/>
      <c r="R334" s="14"/>
      <c r="S334" s="14"/>
      <c r="T334" s="14"/>
      <c r="U334" s="14"/>
      <c r="V334" s="14"/>
      <c r="W334" s="14"/>
      <c r="X334" s="14"/>
      <c r="Y334" s="13"/>
      <c r="Z334" s="14"/>
    </row>
    <row r="335" spans="1:26" ht="14.25" customHeight="1" x14ac:dyDescent="0.25">
      <c r="A335" s="14"/>
      <c r="B335" s="14"/>
      <c r="C335" s="14"/>
      <c r="D335" s="14"/>
      <c r="E335" s="122"/>
      <c r="F335" s="14"/>
      <c r="G335" s="14"/>
      <c r="H335" s="14"/>
      <c r="I335" s="14"/>
      <c r="J335" s="14"/>
      <c r="K335" s="7"/>
      <c r="L335" s="14"/>
      <c r="M335" s="7"/>
      <c r="N335" s="14"/>
      <c r="O335" s="14"/>
      <c r="P335" s="7"/>
      <c r="Q335" s="21"/>
      <c r="R335" s="14"/>
      <c r="S335" s="14"/>
      <c r="T335" s="14"/>
      <c r="U335" s="14"/>
      <c r="V335" s="14"/>
      <c r="W335" s="14"/>
      <c r="X335" s="14"/>
      <c r="Y335" s="13"/>
      <c r="Z335" s="14"/>
    </row>
    <row r="336" spans="1:26" ht="14.25" customHeight="1" x14ac:dyDescent="0.25">
      <c r="A336" s="14"/>
      <c r="B336" s="14"/>
      <c r="C336" s="14"/>
      <c r="D336" s="14"/>
      <c r="E336" s="122"/>
      <c r="F336" s="14"/>
      <c r="G336" s="14"/>
      <c r="H336" s="14"/>
      <c r="I336" s="14"/>
      <c r="J336" s="14"/>
      <c r="K336" s="7"/>
      <c r="L336" s="14"/>
      <c r="M336" s="7"/>
      <c r="N336" s="14"/>
      <c r="O336" s="14"/>
      <c r="P336" s="7"/>
      <c r="Q336" s="21"/>
      <c r="R336" s="14"/>
      <c r="S336" s="14"/>
      <c r="T336" s="14"/>
      <c r="U336" s="14"/>
      <c r="V336" s="14"/>
      <c r="W336" s="14"/>
      <c r="X336" s="14"/>
      <c r="Y336" s="13"/>
      <c r="Z336" s="14"/>
    </row>
    <row r="337" spans="1:26" ht="14.25" customHeight="1" x14ac:dyDescent="0.25">
      <c r="A337" s="14"/>
      <c r="B337" s="14"/>
      <c r="C337" s="14"/>
      <c r="D337" s="14"/>
      <c r="E337" s="122"/>
      <c r="F337" s="14"/>
      <c r="G337" s="14"/>
      <c r="H337" s="14"/>
      <c r="I337" s="14"/>
      <c r="J337" s="14"/>
      <c r="K337" s="7"/>
      <c r="L337" s="14"/>
      <c r="M337" s="7"/>
      <c r="N337" s="14"/>
      <c r="O337" s="14"/>
      <c r="P337" s="7"/>
      <c r="Q337" s="21"/>
      <c r="R337" s="14"/>
      <c r="S337" s="14"/>
      <c r="T337" s="14"/>
      <c r="U337" s="14"/>
      <c r="V337" s="14"/>
      <c r="W337" s="14"/>
      <c r="X337" s="14"/>
      <c r="Y337" s="13"/>
      <c r="Z337" s="14"/>
    </row>
    <row r="338" spans="1:26" ht="14.25" customHeight="1" x14ac:dyDescent="0.25">
      <c r="A338" s="14"/>
      <c r="B338" s="14"/>
      <c r="C338" s="14"/>
      <c r="D338" s="14"/>
      <c r="E338" s="122"/>
      <c r="F338" s="14"/>
      <c r="G338" s="14"/>
      <c r="H338" s="14"/>
      <c r="I338" s="14"/>
      <c r="J338" s="14"/>
      <c r="K338" s="7"/>
      <c r="L338" s="14"/>
      <c r="M338" s="7"/>
      <c r="N338" s="14"/>
      <c r="O338" s="14"/>
      <c r="P338" s="7"/>
      <c r="Q338" s="21"/>
      <c r="R338" s="14"/>
      <c r="S338" s="14"/>
      <c r="T338" s="14"/>
      <c r="U338" s="14"/>
      <c r="V338" s="14"/>
      <c r="W338" s="14"/>
      <c r="X338" s="14"/>
      <c r="Y338" s="13"/>
      <c r="Z338" s="14"/>
    </row>
    <row r="339" spans="1:26" ht="14.25" customHeight="1" x14ac:dyDescent="0.25">
      <c r="A339" s="14"/>
      <c r="B339" s="14"/>
      <c r="C339" s="14"/>
      <c r="D339" s="14"/>
      <c r="E339" s="122"/>
      <c r="F339" s="14"/>
      <c r="G339" s="14"/>
      <c r="H339" s="14"/>
      <c r="I339" s="14"/>
      <c r="J339" s="14"/>
      <c r="K339" s="7"/>
      <c r="L339" s="14"/>
      <c r="M339" s="7"/>
      <c r="N339" s="14"/>
      <c r="O339" s="14"/>
      <c r="P339" s="7"/>
      <c r="Q339" s="21"/>
      <c r="R339" s="14"/>
      <c r="S339" s="14"/>
      <c r="T339" s="14"/>
      <c r="U339" s="14"/>
      <c r="V339" s="14"/>
      <c r="W339" s="14"/>
      <c r="X339" s="14"/>
      <c r="Y339" s="13"/>
      <c r="Z339" s="14"/>
    </row>
    <row r="340" spans="1:26" ht="14.25" customHeight="1" x14ac:dyDescent="0.25">
      <c r="A340" s="14"/>
      <c r="B340" s="14"/>
      <c r="C340" s="14"/>
      <c r="D340" s="14"/>
      <c r="E340" s="122"/>
      <c r="F340" s="14"/>
      <c r="G340" s="14"/>
      <c r="H340" s="14"/>
      <c r="I340" s="14"/>
      <c r="J340" s="14"/>
      <c r="K340" s="7"/>
      <c r="L340" s="14"/>
      <c r="M340" s="7"/>
      <c r="N340" s="14"/>
      <c r="O340" s="14"/>
      <c r="P340" s="7"/>
      <c r="Q340" s="21"/>
      <c r="R340" s="14"/>
      <c r="S340" s="14"/>
      <c r="T340" s="14"/>
      <c r="U340" s="14"/>
      <c r="V340" s="14"/>
      <c r="W340" s="14"/>
      <c r="X340" s="14"/>
      <c r="Y340" s="13"/>
      <c r="Z340" s="14"/>
    </row>
    <row r="341" spans="1:26" ht="14.25" customHeight="1" x14ac:dyDescent="0.25">
      <c r="A341" s="14"/>
      <c r="B341" s="14"/>
      <c r="C341" s="14"/>
      <c r="D341" s="14"/>
      <c r="E341" s="122"/>
      <c r="F341" s="14"/>
      <c r="G341" s="14"/>
      <c r="H341" s="14"/>
      <c r="I341" s="14"/>
      <c r="J341" s="14"/>
      <c r="K341" s="7"/>
      <c r="L341" s="14"/>
      <c r="M341" s="7"/>
      <c r="N341" s="14"/>
      <c r="O341" s="14"/>
      <c r="P341" s="7"/>
      <c r="Q341" s="21"/>
      <c r="R341" s="14"/>
      <c r="S341" s="14"/>
      <c r="T341" s="14"/>
      <c r="U341" s="14"/>
      <c r="V341" s="14"/>
      <c r="W341" s="14"/>
      <c r="X341" s="14"/>
      <c r="Y341" s="13"/>
      <c r="Z341" s="14"/>
    </row>
    <row r="342" spans="1:26" ht="14.25" customHeight="1" x14ac:dyDescent="0.25">
      <c r="A342" s="14"/>
      <c r="B342" s="14"/>
      <c r="C342" s="14"/>
      <c r="D342" s="14"/>
      <c r="E342" s="122"/>
      <c r="F342" s="14"/>
      <c r="G342" s="14"/>
      <c r="H342" s="14"/>
      <c r="I342" s="14"/>
      <c r="J342" s="14"/>
      <c r="K342" s="7"/>
      <c r="L342" s="14"/>
      <c r="M342" s="7"/>
      <c r="N342" s="14"/>
      <c r="O342" s="14"/>
      <c r="P342" s="7"/>
      <c r="Q342" s="21"/>
      <c r="R342" s="14"/>
      <c r="S342" s="14"/>
      <c r="T342" s="14"/>
      <c r="U342" s="14"/>
      <c r="V342" s="14"/>
      <c r="W342" s="14"/>
      <c r="X342" s="14"/>
      <c r="Y342" s="13"/>
      <c r="Z342" s="14"/>
    </row>
    <row r="343" spans="1:26" ht="14.25" customHeight="1" x14ac:dyDescent="0.25">
      <c r="A343" s="14"/>
      <c r="B343" s="14"/>
      <c r="C343" s="14"/>
      <c r="D343" s="14"/>
      <c r="E343" s="122"/>
      <c r="F343" s="14"/>
      <c r="G343" s="14"/>
      <c r="H343" s="14"/>
      <c r="I343" s="14"/>
      <c r="J343" s="14"/>
      <c r="K343" s="7"/>
      <c r="L343" s="14"/>
      <c r="M343" s="7"/>
      <c r="N343" s="14"/>
      <c r="O343" s="14"/>
      <c r="P343" s="7"/>
      <c r="Q343" s="21"/>
      <c r="R343" s="14"/>
      <c r="S343" s="14"/>
      <c r="T343" s="14"/>
      <c r="U343" s="14"/>
      <c r="V343" s="14"/>
      <c r="W343" s="14"/>
      <c r="X343" s="14"/>
      <c r="Y343" s="13"/>
      <c r="Z343" s="14"/>
    </row>
    <row r="344" spans="1:26" ht="14.25" customHeight="1" x14ac:dyDescent="0.25">
      <c r="A344" s="14"/>
      <c r="B344" s="14"/>
      <c r="C344" s="14"/>
      <c r="D344" s="14"/>
      <c r="E344" s="122"/>
      <c r="F344" s="14"/>
      <c r="G344" s="14"/>
      <c r="H344" s="14"/>
      <c r="I344" s="14"/>
      <c r="J344" s="14"/>
      <c r="K344" s="7"/>
      <c r="L344" s="14"/>
      <c r="M344" s="7"/>
      <c r="N344" s="14"/>
      <c r="O344" s="14"/>
      <c r="P344" s="7"/>
      <c r="Q344" s="21"/>
      <c r="R344" s="14"/>
      <c r="S344" s="14"/>
      <c r="T344" s="14"/>
      <c r="U344" s="14"/>
      <c r="V344" s="14"/>
      <c r="W344" s="14"/>
      <c r="X344" s="14"/>
      <c r="Y344" s="13"/>
      <c r="Z344" s="14"/>
    </row>
    <row r="345" spans="1:26" ht="14.25" customHeight="1" x14ac:dyDescent="0.25">
      <c r="A345" s="14"/>
      <c r="B345" s="14"/>
      <c r="C345" s="14"/>
      <c r="D345" s="14"/>
      <c r="E345" s="122"/>
      <c r="F345" s="14"/>
      <c r="G345" s="14"/>
      <c r="H345" s="14"/>
      <c r="I345" s="14"/>
      <c r="J345" s="14"/>
      <c r="K345" s="7"/>
      <c r="L345" s="14"/>
      <c r="M345" s="7"/>
      <c r="N345" s="14"/>
      <c r="O345" s="14"/>
      <c r="P345" s="7"/>
      <c r="Q345" s="21"/>
      <c r="R345" s="14"/>
      <c r="S345" s="14"/>
      <c r="T345" s="14"/>
      <c r="U345" s="14"/>
      <c r="V345" s="14"/>
      <c r="W345" s="14"/>
      <c r="X345" s="14"/>
      <c r="Y345" s="13"/>
      <c r="Z345" s="14"/>
    </row>
    <row r="346" spans="1:26" ht="14.25" customHeight="1" x14ac:dyDescent="0.25">
      <c r="A346" s="14"/>
      <c r="B346" s="14"/>
      <c r="C346" s="14"/>
      <c r="D346" s="14"/>
      <c r="E346" s="122"/>
      <c r="F346" s="14"/>
      <c r="G346" s="14"/>
      <c r="H346" s="14"/>
      <c r="I346" s="14"/>
      <c r="J346" s="14"/>
      <c r="K346" s="7"/>
      <c r="L346" s="14"/>
      <c r="M346" s="7"/>
      <c r="N346" s="14"/>
      <c r="O346" s="14"/>
      <c r="P346" s="7"/>
      <c r="Q346" s="21"/>
      <c r="R346" s="14"/>
      <c r="S346" s="14"/>
      <c r="T346" s="14"/>
      <c r="U346" s="14"/>
      <c r="V346" s="14"/>
      <c r="W346" s="14"/>
      <c r="X346" s="14"/>
      <c r="Y346" s="13"/>
      <c r="Z346" s="14"/>
    </row>
    <row r="347" spans="1:26" ht="14.25" customHeight="1" x14ac:dyDescent="0.25">
      <c r="A347" s="14"/>
      <c r="B347" s="14"/>
      <c r="C347" s="14"/>
      <c r="D347" s="14"/>
      <c r="E347" s="122"/>
      <c r="F347" s="14"/>
      <c r="G347" s="14"/>
      <c r="H347" s="14"/>
      <c r="I347" s="14"/>
      <c r="J347" s="14"/>
      <c r="K347" s="7"/>
      <c r="L347" s="14"/>
      <c r="M347" s="7"/>
      <c r="N347" s="14"/>
      <c r="O347" s="14"/>
      <c r="P347" s="7"/>
      <c r="Q347" s="21"/>
      <c r="R347" s="14"/>
      <c r="S347" s="14"/>
      <c r="T347" s="14"/>
      <c r="U347" s="14"/>
      <c r="V347" s="14"/>
      <c r="W347" s="14"/>
      <c r="X347" s="14"/>
      <c r="Y347" s="13"/>
      <c r="Z347" s="14"/>
    </row>
    <row r="348" spans="1:26" ht="14.25" customHeight="1" x14ac:dyDescent="0.25">
      <c r="A348" s="14"/>
      <c r="B348" s="14"/>
      <c r="C348" s="14"/>
      <c r="D348" s="14"/>
      <c r="E348" s="122"/>
      <c r="F348" s="14"/>
      <c r="G348" s="14"/>
      <c r="H348" s="14"/>
      <c r="I348" s="14"/>
      <c r="J348" s="14"/>
      <c r="K348" s="7"/>
      <c r="L348" s="14"/>
      <c r="M348" s="7"/>
      <c r="N348" s="14"/>
      <c r="O348" s="14"/>
      <c r="P348" s="7"/>
      <c r="Q348" s="21"/>
      <c r="R348" s="14"/>
      <c r="S348" s="14"/>
      <c r="T348" s="14"/>
      <c r="U348" s="14"/>
      <c r="V348" s="14"/>
      <c r="W348" s="14"/>
      <c r="X348" s="14"/>
      <c r="Y348" s="13"/>
      <c r="Z348" s="14"/>
    </row>
    <row r="349" spans="1:26" ht="14.25" customHeight="1" x14ac:dyDescent="0.25">
      <c r="A349" s="14"/>
      <c r="B349" s="14"/>
      <c r="C349" s="14"/>
      <c r="D349" s="14"/>
      <c r="E349" s="122"/>
      <c r="F349" s="14"/>
      <c r="G349" s="14"/>
      <c r="H349" s="14"/>
      <c r="I349" s="14"/>
      <c r="J349" s="14"/>
      <c r="K349" s="7"/>
      <c r="L349" s="14"/>
      <c r="M349" s="7"/>
      <c r="N349" s="14"/>
      <c r="O349" s="14"/>
      <c r="P349" s="7"/>
      <c r="Q349" s="21"/>
      <c r="R349" s="14"/>
      <c r="S349" s="14"/>
      <c r="T349" s="14"/>
      <c r="U349" s="14"/>
      <c r="V349" s="14"/>
      <c r="W349" s="14"/>
      <c r="X349" s="14"/>
      <c r="Y349" s="13"/>
      <c r="Z349" s="14"/>
    </row>
    <row r="350" spans="1:26" ht="14.25" customHeight="1" x14ac:dyDescent="0.25">
      <c r="A350" s="14"/>
      <c r="B350" s="14"/>
      <c r="C350" s="14"/>
      <c r="D350" s="14"/>
      <c r="E350" s="122"/>
      <c r="F350" s="14"/>
      <c r="G350" s="14"/>
      <c r="H350" s="14"/>
      <c r="I350" s="14"/>
      <c r="J350" s="14"/>
      <c r="K350" s="7"/>
      <c r="L350" s="14"/>
      <c r="M350" s="7"/>
      <c r="N350" s="14"/>
      <c r="O350" s="14"/>
      <c r="P350" s="7"/>
      <c r="Q350" s="21"/>
      <c r="R350" s="14"/>
      <c r="S350" s="14"/>
      <c r="T350" s="14"/>
      <c r="U350" s="14"/>
      <c r="V350" s="14"/>
      <c r="W350" s="14"/>
      <c r="X350" s="14"/>
      <c r="Y350" s="13"/>
      <c r="Z350" s="14"/>
    </row>
    <row r="351" spans="1:26" ht="14.25" customHeight="1" x14ac:dyDescent="0.25">
      <c r="A351" s="14"/>
      <c r="B351" s="14"/>
      <c r="C351" s="14"/>
      <c r="D351" s="14"/>
      <c r="E351" s="122"/>
      <c r="F351" s="14"/>
      <c r="G351" s="14"/>
      <c r="H351" s="14"/>
      <c r="I351" s="14"/>
      <c r="J351" s="14"/>
      <c r="K351" s="7"/>
      <c r="L351" s="14"/>
      <c r="M351" s="7"/>
      <c r="N351" s="14"/>
      <c r="O351" s="14"/>
      <c r="P351" s="7"/>
      <c r="Q351" s="21"/>
      <c r="R351" s="14"/>
      <c r="S351" s="14"/>
      <c r="T351" s="14"/>
      <c r="U351" s="14"/>
      <c r="V351" s="14"/>
      <c r="W351" s="14"/>
      <c r="X351" s="14"/>
      <c r="Y351" s="13"/>
      <c r="Z351" s="14"/>
    </row>
    <row r="352" spans="1:26" ht="14.25" customHeight="1" x14ac:dyDescent="0.25">
      <c r="A352" s="14"/>
      <c r="B352" s="14"/>
      <c r="C352" s="14"/>
      <c r="D352" s="14"/>
      <c r="E352" s="122"/>
      <c r="F352" s="14"/>
      <c r="G352" s="14"/>
      <c r="H352" s="14"/>
      <c r="I352" s="14"/>
      <c r="J352" s="14"/>
      <c r="K352" s="7"/>
      <c r="L352" s="14"/>
      <c r="M352" s="7"/>
      <c r="N352" s="14"/>
      <c r="O352" s="14"/>
      <c r="P352" s="7"/>
      <c r="Q352" s="21"/>
      <c r="R352" s="14"/>
      <c r="S352" s="14"/>
      <c r="T352" s="14"/>
      <c r="U352" s="14"/>
      <c r="V352" s="14"/>
      <c r="W352" s="14"/>
      <c r="X352" s="14"/>
      <c r="Y352" s="13"/>
      <c r="Z352" s="14"/>
    </row>
    <row r="353" spans="1:26" ht="14.25" customHeight="1" x14ac:dyDescent="0.25">
      <c r="A353" s="14"/>
      <c r="B353" s="14"/>
      <c r="C353" s="14"/>
      <c r="D353" s="14"/>
      <c r="E353" s="122"/>
      <c r="F353" s="14"/>
      <c r="G353" s="14"/>
      <c r="H353" s="14"/>
      <c r="I353" s="14"/>
      <c r="J353" s="14"/>
      <c r="K353" s="7"/>
      <c r="L353" s="14"/>
      <c r="M353" s="7"/>
      <c r="N353" s="14"/>
      <c r="O353" s="14"/>
      <c r="P353" s="7"/>
      <c r="Q353" s="21"/>
      <c r="R353" s="14"/>
      <c r="S353" s="14"/>
      <c r="T353" s="14"/>
      <c r="U353" s="14"/>
      <c r="V353" s="14"/>
      <c r="W353" s="14"/>
      <c r="X353" s="14"/>
      <c r="Y353" s="13"/>
      <c r="Z353" s="14"/>
    </row>
    <row r="354" spans="1:26" ht="14.25" customHeight="1" x14ac:dyDescent="0.25">
      <c r="A354" s="14"/>
      <c r="B354" s="14"/>
      <c r="C354" s="14"/>
      <c r="D354" s="14"/>
      <c r="E354" s="122"/>
      <c r="F354" s="14"/>
      <c r="G354" s="14"/>
      <c r="H354" s="14"/>
      <c r="I354" s="14"/>
      <c r="J354" s="14"/>
      <c r="K354" s="7"/>
      <c r="L354" s="14"/>
      <c r="M354" s="7"/>
      <c r="N354" s="14"/>
      <c r="O354" s="14"/>
      <c r="P354" s="7"/>
      <c r="Q354" s="21"/>
      <c r="R354" s="14"/>
      <c r="S354" s="14"/>
      <c r="T354" s="14"/>
      <c r="U354" s="14"/>
      <c r="V354" s="14"/>
      <c r="W354" s="14"/>
      <c r="X354" s="14"/>
      <c r="Y354" s="13"/>
      <c r="Z354" s="14"/>
    </row>
    <row r="355" spans="1:26" ht="14.25" customHeight="1" x14ac:dyDescent="0.25">
      <c r="A355" s="14"/>
      <c r="B355" s="14"/>
      <c r="C355" s="14"/>
      <c r="D355" s="14"/>
      <c r="E355" s="122"/>
      <c r="F355" s="14"/>
      <c r="G355" s="14"/>
      <c r="H355" s="14"/>
      <c r="I355" s="14"/>
      <c r="J355" s="14"/>
      <c r="K355" s="7"/>
      <c r="L355" s="14"/>
      <c r="M355" s="7"/>
      <c r="N355" s="14"/>
      <c r="O355" s="14"/>
      <c r="P355" s="7"/>
      <c r="Q355" s="21"/>
      <c r="R355" s="14"/>
      <c r="S355" s="14"/>
      <c r="T355" s="14"/>
      <c r="U355" s="14"/>
      <c r="V355" s="14"/>
      <c r="W355" s="14"/>
      <c r="X355" s="14"/>
      <c r="Y355" s="13"/>
      <c r="Z355" s="14"/>
    </row>
    <row r="356" spans="1:26" ht="14.25" customHeight="1" x14ac:dyDescent="0.25">
      <c r="A356" s="14"/>
      <c r="B356" s="14"/>
      <c r="C356" s="14"/>
      <c r="D356" s="14"/>
      <c r="E356" s="122"/>
      <c r="F356" s="14"/>
      <c r="G356" s="14"/>
      <c r="H356" s="14"/>
      <c r="I356" s="14"/>
      <c r="J356" s="14"/>
      <c r="K356" s="7"/>
      <c r="L356" s="14"/>
      <c r="M356" s="7"/>
      <c r="N356" s="14"/>
      <c r="O356" s="14"/>
      <c r="P356" s="7"/>
      <c r="Q356" s="21"/>
      <c r="R356" s="14"/>
      <c r="S356" s="14"/>
      <c r="T356" s="14"/>
      <c r="U356" s="14"/>
      <c r="V356" s="14"/>
      <c r="W356" s="14"/>
      <c r="X356" s="14"/>
      <c r="Y356" s="13"/>
      <c r="Z356" s="14"/>
    </row>
    <row r="357" spans="1:26" ht="14.25" customHeight="1" x14ac:dyDescent="0.25">
      <c r="A357" s="14"/>
      <c r="B357" s="14"/>
      <c r="C357" s="14"/>
      <c r="D357" s="14"/>
      <c r="E357" s="122"/>
      <c r="F357" s="14"/>
      <c r="G357" s="14"/>
      <c r="H357" s="14"/>
      <c r="I357" s="14"/>
      <c r="J357" s="14"/>
      <c r="K357" s="7"/>
      <c r="L357" s="14"/>
      <c r="M357" s="7"/>
      <c r="N357" s="14"/>
      <c r="O357" s="14"/>
      <c r="P357" s="7"/>
      <c r="Q357" s="21"/>
      <c r="R357" s="14"/>
      <c r="S357" s="14"/>
      <c r="T357" s="14"/>
      <c r="U357" s="14"/>
      <c r="V357" s="14"/>
      <c r="W357" s="14"/>
      <c r="X357" s="14"/>
      <c r="Y357" s="13"/>
      <c r="Z357" s="14"/>
    </row>
    <row r="358" spans="1:26" ht="14.25" customHeight="1" x14ac:dyDescent="0.25">
      <c r="A358" s="14"/>
      <c r="B358" s="14"/>
      <c r="C358" s="14"/>
      <c r="D358" s="14"/>
      <c r="E358" s="122"/>
      <c r="F358" s="14"/>
      <c r="G358" s="14"/>
      <c r="H358" s="14"/>
      <c r="I358" s="14"/>
      <c r="J358" s="14"/>
      <c r="K358" s="7"/>
      <c r="L358" s="14"/>
      <c r="M358" s="7"/>
      <c r="N358" s="14"/>
      <c r="O358" s="14"/>
      <c r="P358" s="7"/>
      <c r="Q358" s="21"/>
      <c r="R358" s="14"/>
      <c r="S358" s="14"/>
      <c r="T358" s="14"/>
      <c r="U358" s="14"/>
      <c r="V358" s="14"/>
      <c r="W358" s="14"/>
      <c r="X358" s="14"/>
      <c r="Y358" s="13"/>
      <c r="Z358" s="14"/>
    </row>
    <row r="359" spans="1:26" ht="14.25" customHeight="1" x14ac:dyDescent="0.25">
      <c r="A359" s="14"/>
      <c r="B359" s="14"/>
      <c r="C359" s="14"/>
      <c r="D359" s="14"/>
      <c r="E359" s="122"/>
      <c r="F359" s="14"/>
      <c r="G359" s="14"/>
      <c r="H359" s="14"/>
      <c r="I359" s="14"/>
      <c r="J359" s="14"/>
      <c r="K359" s="7"/>
      <c r="L359" s="14"/>
      <c r="M359" s="7"/>
      <c r="N359" s="14"/>
      <c r="O359" s="14"/>
      <c r="P359" s="7"/>
      <c r="Q359" s="21"/>
      <c r="R359" s="14"/>
      <c r="S359" s="14"/>
      <c r="T359" s="14"/>
      <c r="U359" s="14"/>
      <c r="V359" s="14"/>
      <c r="W359" s="14"/>
      <c r="X359" s="14"/>
      <c r="Y359" s="13"/>
      <c r="Z359" s="14"/>
    </row>
    <row r="360" spans="1:26" ht="14.25" customHeight="1" x14ac:dyDescent="0.25">
      <c r="A360" s="14"/>
      <c r="B360" s="14"/>
      <c r="C360" s="14"/>
      <c r="D360" s="14"/>
      <c r="E360" s="122"/>
      <c r="F360" s="14"/>
      <c r="G360" s="14"/>
      <c r="H360" s="14"/>
      <c r="I360" s="14"/>
      <c r="J360" s="14"/>
      <c r="K360" s="7"/>
      <c r="L360" s="14"/>
      <c r="M360" s="7"/>
      <c r="N360" s="14"/>
      <c r="O360" s="14"/>
      <c r="P360" s="7"/>
      <c r="Q360" s="21"/>
      <c r="R360" s="14"/>
      <c r="S360" s="14"/>
      <c r="T360" s="14"/>
      <c r="U360" s="14"/>
      <c r="V360" s="14"/>
      <c r="W360" s="14"/>
      <c r="X360" s="14"/>
      <c r="Y360" s="13"/>
      <c r="Z360" s="14"/>
    </row>
    <row r="361" spans="1:26" ht="14.25" customHeight="1" x14ac:dyDescent="0.25">
      <c r="A361" s="14"/>
      <c r="B361" s="14"/>
      <c r="C361" s="14"/>
      <c r="D361" s="14"/>
      <c r="E361" s="122"/>
      <c r="F361" s="14"/>
      <c r="G361" s="14"/>
      <c r="H361" s="14"/>
      <c r="I361" s="14"/>
      <c r="J361" s="14"/>
      <c r="K361" s="7"/>
      <c r="L361" s="14"/>
      <c r="M361" s="7"/>
      <c r="N361" s="14"/>
      <c r="O361" s="14"/>
      <c r="P361" s="7"/>
      <c r="Q361" s="21"/>
      <c r="R361" s="14"/>
      <c r="S361" s="14"/>
      <c r="T361" s="14"/>
      <c r="U361" s="14"/>
      <c r="V361" s="14"/>
      <c r="W361" s="14"/>
      <c r="X361" s="14"/>
      <c r="Y361" s="13"/>
      <c r="Z361" s="14"/>
    </row>
    <row r="362" spans="1:26" ht="14.25" customHeight="1" x14ac:dyDescent="0.25">
      <c r="A362" s="14"/>
      <c r="B362" s="14"/>
      <c r="C362" s="14"/>
      <c r="D362" s="14"/>
      <c r="E362" s="122"/>
      <c r="F362" s="14"/>
      <c r="G362" s="14"/>
      <c r="H362" s="14"/>
      <c r="I362" s="14"/>
      <c r="J362" s="14"/>
      <c r="K362" s="7"/>
      <c r="L362" s="14"/>
      <c r="M362" s="7"/>
      <c r="N362" s="14"/>
      <c r="O362" s="14"/>
      <c r="P362" s="7"/>
      <c r="Q362" s="21"/>
      <c r="R362" s="14"/>
      <c r="S362" s="14"/>
      <c r="T362" s="14"/>
      <c r="U362" s="14"/>
      <c r="V362" s="14"/>
      <c r="W362" s="14"/>
      <c r="X362" s="14"/>
      <c r="Y362" s="13"/>
      <c r="Z362" s="14"/>
    </row>
    <row r="363" spans="1:26" ht="14.25" customHeight="1" x14ac:dyDescent="0.25">
      <c r="A363" s="14"/>
      <c r="B363" s="14"/>
      <c r="C363" s="14"/>
      <c r="D363" s="14"/>
      <c r="E363" s="122"/>
      <c r="F363" s="14"/>
      <c r="G363" s="14"/>
      <c r="H363" s="14"/>
      <c r="I363" s="14"/>
      <c r="J363" s="14"/>
      <c r="K363" s="7"/>
      <c r="L363" s="14"/>
      <c r="M363" s="7"/>
      <c r="N363" s="14"/>
      <c r="O363" s="14"/>
      <c r="P363" s="7"/>
      <c r="Q363" s="21"/>
      <c r="R363" s="14"/>
      <c r="S363" s="14"/>
      <c r="T363" s="14"/>
      <c r="U363" s="14"/>
      <c r="V363" s="14"/>
      <c r="W363" s="14"/>
      <c r="X363" s="14"/>
      <c r="Y363" s="13"/>
      <c r="Z363" s="14"/>
    </row>
    <row r="364" spans="1:26" ht="14.25" customHeight="1" x14ac:dyDescent="0.25">
      <c r="A364" s="14"/>
      <c r="B364" s="14"/>
      <c r="C364" s="14"/>
      <c r="D364" s="14"/>
      <c r="E364" s="122"/>
      <c r="F364" s="14"/>
      <c r="G364" s="14"/>
      <c r="H364" s="14"/>
      <c r="I364" s="14"/>
      <c r="J364" s="14"/>
      <c r="K364" s="7"/>
      <c r="L364" s="14"/>
      <c r="M364" s="7"/>
      <c r="N364" s="14"/>
      <c r="O364" s="14"/>
      <c r="P364" s="7"/>
      <c r="Q364" s="21"/>
      <c r="R364" s="14"/>
      <c r="S364" s="14"/>
      <c r="T364" s="14"/>
      <c r="U364" s="14"/>
      <c r="V364" s="14"/>
      <c r="W364" s="14"/>
      <c r="X364" s="14"/>
      <c r="Y364" s="13"/>
      <c r="Z364" s="14"/>
    </row>
    <row r="365" spans="1:26" ht="14.25" customHeight="1" x14ac:dyDescent="0.25">
      <c r="A365" s="14"/>
      <c r="B365" s="14"/>
      <c r="C365" s="14"/>
      <c r="D365" s="14"/>
      <c r="E365" s="122"/>
      <c r="F365" s="14"/>
      <c r="G365" s="14"/>
      <c r="H365" s="14"/>
      <c r="I365" s="14"/>
      <c r="J365" s="14"/>
      <c r="K365" s="7"/>
      <c r="L365" s="14"/>
      <c r="M365" s="7"/>
      <c r="N365" s="14"/>
      <c r="O365" s="14"/>
      <c r="P365" s="7"/>
      <c r="Q365" s="21"/>
      <c r="R365" s="14"/>
      <c r="S365" s="14"/>
      <c r="T365" s="14"/>
      <c r="U365" s="14"/>
      <c r="V365" s="14"/>
      <c r="W365" s="14"/>
      <c r="X365" s="14"/>
      <c r="Y365" s="13"/>
      <c r="Z365" s="14"/>
    </row>
    <row r="366" spans="1:26" ht="14.25" customHeight="1" x14ac:dyDescent="0.25">
      <c r="A366" s="14"/>
      <c r="B366" s="14"/>
      <c r="C366" s="14"/>
      <c r="D366" s="14"/>
      <c r="E366" s="122"/>
      <c r="F366" s="14"/>
      <c r="G366" s="14"/>
      <c r="H366" s="14"/>
      <c r="I366" s="14"/>
      <c r="J366" s="14"/>
      <c r="K366" s="7"/>
      <c r="L366" s="14"/>
      <c r="M366" s="7"/>
      <c r="N366" s="14"/>
      <c r="O366" s="14"/>
      <c r="P366" s="7"/>
      <c r="Q366" s="21"/>
      <c r="R366" s="14"/>
      <c r="S366" s="14"/>
      <c r="T366" s="14"/>
      <c r="U366" s="14"/>
      <c r="V366" s="14"/>
      <c r="W366" s="14"/>
      <c r="X366" s="14"/>
      <c r="Y366" s="13"/>
      <c r="Z366" s="14"/>
    </row>
    <row r="367" spans="1:26" ht="14.25" customHeight="1" x14ac:dyDescent="0.25">
      <c r="A367" s="14"/>
      <c r="B367" s="14"/>
      <c r="C367" s="14"/>
      <c r="D367" s="14"/>
      <c r="E367" s="122"/>
      <c r="F367" s="14"/>
      <c r="G367" s="14"/>
      <c r="H367" s="14"/>
      <c r="I367" s="14"/>
      <c r="J367" s="14"/>
      <c r="K367" s="7"/>
      <c r="L367" s="14"/>
      <c r="M367" s="7"/>
      <c r="N367" s="14"/>
      <c r="O367" s="14"/>
      <c r="P367" s="7"/>
      <c r="Q367" s="21"/>
      <c r="R367" s="14"/>
      <c r="S367" s="14"/>
      <c r="T367" s="14"/>
      <c r="U367" s="14"/>
      <c r="V367" s="14"/>
      <c r="W367" s="14"/>
      <c r="X367" s="14"/>
      <c r="Y367" s="13"/>
      <c r="Z367" s="14"/>
    </row>
    <row r="368" spans="1:26" ht="14.25" customHeight="1" x14ac:dyDescent="0.25">
      <c r="A368" s="14"/>
      <c r="B368" s="14"/>
      <c r="C368" s="14"/>
      <c r="D368" s="14"/>
      <c r="E368" s="122"/>
      <c r="F368" s="14"/>
      <c r="G368" s="14"/>
      <c r="H368" s="14"/>
      <c r="I368" s="14"/>
      <c r="J368" s="14"/>
      <c r="K368" s="7"/>
      <c r="L368" s="14"/>
      <c r="M368" s="7"/>
      <c r="N368" s="14"/>
      <c r="O368" s="14"/>
      <c r="P368" s="7"/>
      <c r="Q368" s="21"/>
      <c r="R368" s="14"/>
      <c r="S368" s="14"/>
      <c r="T368" s="14"/>
      <c r="U368" s="14"/>
      <c r="V368" s="14"/>
      <c r="W368" s="14"/>
      <c r="X368" s="14"/>
      <c r="Y368" s="13"/>
      <c r="Z368" s="14"/>
    </row>
    <row r="369" spans="1:26" ht="14.25" customHeight="1" x14ac:dyDescent="0.25">
      <c r="A369" s="14"/>
      <c r="B369" s="14"/>
      <c r="C369" s="14"/>
      <c r="D369" s="14"/>
      <c r="E369" s="122"/>
      <c r="F369" s="14"/>
      <c r="G369" s="14"/>
      <c r="H369" s="14"/>
      <c r="I369" s="14"/>
      <c r="J369" s="14"/>
      <c r="K369" s="7"/>
      <c r="L369" s="14"/>
      <c r="M369" s="7"/>
      <c r="N369" s="14"/>
      <c r="O369" s="14"/>
      <c r="P369" s="7"/>
      <c r="Q369" s="21"/>
      <c r="R369" s="14"/>
      <c r="S369" s="14"/>
      <c r="T369" s="14"/>
      <c r="U369" s="14"/>
      <c r="V369" s="14"/>
      <c r="W369" s="14"/>
      <c r="X369" s="14"/>
      <c r="Y369" s="13"/>
      <c r="Z369" s="14"/>
    </row>
    <row r="370" spans="1:26" ht="14.25" customHeight="1" x14ac:dyDescent="0.25">
      <c r="A370" s="14"/>
      <c r="B370" s="14"/>
      <c r="C370" s="14"/>
      <c r="D370" s="14"/>
      <c r="E370" s="122"/>
      <c r="F370" s="14"/>
      <c r="G370" s="14"/>
      <c r="H370" s="14"/>
      <c r="I370" s="14"/>
      <c r="J370" s="14"/>
      <c r="K370" s="7"/>
      <c r="L370" s="14"/>
      <c r="M370" s="7"/>
      <c r="N370" s="14"/>
      <c r="O370" s="14"/>
      <c r="P370" s="7"/>
      <c r="Q370" s="21"/>
      <c r="R370" s="14"/>
      <c r="S370" s="14"/>
      <c r="T370" s="14"/>
      <c r="U370" s="14"/>
      <c r="V370" s="14"/>
      <c r="W370" s="14"/>
      <c r="X370" s="14"/>
      <c r="Y370" s="13"/>
      <c r="Z370" s="14"/>
    </row>
    <row r="371" spans="1:26" ht="14.25" customHeight="1" x14ac:dyDescent="0.25">
      <c r="A371" s="14"/>
      <c r="B371" s="14"/>
      <c r="C371" s="14"/>
      <c r="D371" s="14"/>
      <c r="E371" s="122"/>
      <c r="F371" s="14"/>
      <c r="G371" s="14"/>
      <c r="H371" s="14"/>
      <c r="I371" s="14"/>
      <c r="J371" s="14"/>
      <c r="K371" s="7"/>
      <c r="L371" s="14"/>
      <c r="M371" s="7"/>
      <c r="N371" s="14"/>
      <c r="O371" s="14"/>
      <c r="P371" s="7"/>
      <c r="Q371" s="21"/>
      <c r="R371" s="14"/>
      <c r="S371" s="14"/>
      <c r="T371" s="14"/>
      <c r="U371" s="14"/>
      <c r="V371" s="14"/>
      <c r="W371" s="14"/>
      <c r="X371" s="14"/>
      <c r="Y371" s="13"/>
      <c r="Z371" s="14"/>
    </row>
    <row r="372" spans="1:26" ht="14.25" customHeight="1" x14ac:dyDescent="0.25">
      <c r="A372" s="14"/>
      <c r="B372" s="14"/>
      <c r="C372" s="14"/>
      <c r="D372" s="14"/>
      <c r="E372" s="122"/>
      <c r="F372" s="14"/>
      <c r="G372" s="14"/>
      <c r="H372" s="14"/>
      <c r="I372" s="14"/>
      <c r="J372" s="14"/>
      <c r="K372" s="7"/>
      <c r="L372" s="14"/>
      <c r="M372" s="7"/>
      <c r="N372" s="14"/>
      <c r="O372" s="14"/>
      <c r="P372" s="7"/>
      <c r="Q372" s="21"/>
      <c r="R372" s="14"/>
      <c r="S372" s="14"/>
      <c r="T372" s="14"/>
      <c r="U372" s="14"/>
      <c r="V372" s="14"/>
      <c r="W372" s="14"/>
      <c r="X372" s="14"/>
      <c r="Y372" s="13"/>
      <c r="Z372" s="14"/>
    </row>
    <row r="373" spans="1:26" ht="14.25" customHeight="1" x14ac:dyDescent="0.25">
      <c r="A373" s="14"/>
      <c r="B373" s="14"/>
      <c r="C373" s="14"/>
      <c r="D373" s="14"/>
      <c r="E373" s="122"/>
      <c r="F373" s="14"/>
      <c r="G373" s="14"/>
      <c r="H373" s="14"/>
      <c r="I373" s="14"/>
      <c r="J373" s="14"/>
      <c r="K373" s="7"/>
      <c r="L373" s="14"/>
      <c r="M373" s="7"/>
      <c r="N373" s="14"/>
      <c r="O373" s="14"/>
      <c r="P373" s="7"/>
      <c r="Q373" s="21"/>
      <c r="R373" s="14"/>
      <c r="S373" s="14"/>
      <c r="T373" s="14"/>
      <c r="U373" s="14"/>
      <c r="V373" s="14"/>
      <c r="W373" s="14"/>
      <c r="X373" s="14"/>
      <c r="Y373" s="13"/>
      <c r="Z373" s="14"/>
    </row>
    <row r="374" spans="1:26" ht="14.25" customHeight="1" x14ac:dyDescent="0.25">
      <c r="A374" s="14"/>
      <c r="B374" s="14"/>
      <c r="C374" s="14"/>
      <c r="D374" s="14"/>
      <c r="E374" s="122"/>
      <c r="F374" s="14"/>
      <c r="G374" s="14"/>
      <c r="H374" s="14"/>
      <c r="I374" s="14"/>
      <c r="J374" s="14"/>
      <c r="K374" s="7"/>
      <c r="L374" s="14"/>
      <c r="M374" s="7"/>
      <c r="N374" s="14"/>
      <c r="O374" s="14"/>
      <c r="P374" s="7"/>
      <c r="Q374" s="21"/>
      <c r="R374" s="14"/>
      <c r="S374" s="14"/>
      <c r="T374" s="14"/>
      <c r="U374" s="14"/>
      <c r="V374" s="14"/>
      <c r="W374" s="14"/>
      <c r="X374" s="14"/>
      <c r="Y374" s="13"/>
      <c r="Z374" s="14"/>
    </row>
    <row r="375" spans="1:26" ht="14.25" customHeight="1" x14ac:dyDescent="0.25">
      <c r="A375" s="14"/>
      <c r="B375" s="14"/>
      <c r="C375" s="14"/>
      <c r="D375" s="14"/>
      <c r="E375" s="122"/>
      <c r="F375" s="14"/>
      <c r="G375" s="14"/>
      <c r="H375" s="14"/>
      <c r="I375" s="14"/>
      <c r="J375" s="14"/>
      <c r="K375" s="7"/>
      <c r="L375" s="14"/>
      <c r="M375" s="7"/>
      <c r="N375" s="14"/>
      <c r="O375" s="14"/>
      <c r="P375" s="7"/>
      <c r="Q375" s="21"/>
      <c r="R375" s="14"/>
      <c r="S375" s="14"/>
      <c r="T375" s="14"/>
      <c r="U375" s="14"/>
      <c r="V375" s="14"/>
      <c r="W375" s="14"/>
      <c r="X375" s="14"/>
      <c r="Y375" s="13"/>
      <c r="Z375" s="14"/>
    </row>
    <row r="376" spans="1:26" ht="14.25" customHeight="1" x14ac:dyDescent="0.25">
      <c r="A376" s="14"/>
      <c r="B376" s="14"/>
      <c r="C376" s="14"/>
      <c r="D376" s="14"/>
      <c r="E376" s="122"/>
      <c r="F376" s="14"/>
      <c r="G376" s="14"/>
      <c r="H376" s="14"/>
      <c r="I376" s="14"/>
      <c r="J376" s="14"/>
      <c r="K376" s="7"/>
      <c r="L376" s="14"/>
      <c r="M376" s="7"/>
      <c r="N376" s="14"/>
      <c r="O376" s="14"/>
      <c r="P376" s="7"/>
      <c r="Q376" s="21"/>
      <c r="R376" s="14"/>
      <c r="S376" s="14"/>
      <c r="T376" s="14"/>
      <c r="U376" s="14"/>
      <c r="V376" s="14"/>
      <c r="W376" s="14"/>
      <c r="X376" s="14"/>
      <c r="Y376" s="13"/>
      <c r="Z376" s="14"/>
    </row>
    <row r="377" spans="1:26" ht="14.25" customHeight="1" x14ac:dyDescent="0.25">
      <c r="A377" s="14"/>
      <c r="B377" s="14"/>
      <c r="C377" s="14"/>
      <c r="D377" s="14"/>
      <c r="E377" s="122"/>
      <c r="F377" s="14"/>
      <c r="G377" s="14"/>
      <c r="H377" s="14"/>
      <c r="I377" s="14"/>
      <c r="J377" s="14"/>
      <c r="K377" s="7"/>
      <c r="L377" s="14"/>
      <c r="M377" s="7"/>
      <c r="N377" s="14"/>
      <c r="O377" s="14"/>
      <c r="P377" s="7"/>
      <c r="Q377" s="21"/>
      <c r="R377" s="14"/>
      <c r="S377" s="14"/>
      <c r="T377" s="14"/>
      <c r="U377" s="14"/>
      <c r="V377" s="14"/>
      <c r="W377" s="14"/>
      <c r="X377" s="14"/>
      <c r="Y377" s="13"/>
      <c r="Z377" s="14"/>
    </row>
    <row r="378" spans="1:26" ht="14.25" customHeight="1" x14ac:dyDescent="0.25">
      <c r="A378" s="14"/>
      <c r="B378" s="14"/>
      <c r="C378" s="14"/>
      <c r="D378" s="14"/>
      <c r="E378" s="122"/>
      <c r="F378" s="14"/>
      <c r="G378" s="14"/>
      <c r="H378" s="14"/>
      <c r="I378" s="14"/>
      <c r="J378" s="14"/>
      <c r="K378" s="7"/>
      <c r="L378" s="14"/>
      <c r="M378" s="7"/>
      <c r="N378" s="14"/>
      <c r="O378" s="14"/>
      <c r="P378" s="7"/>
      <c r="Q378" s="21"/>
      <c r="R378" s="14"/>
      <c r="S378" s="14"/>
      <c r="T378" s="14"/>
      <c r="U378" s="14"/>
      <c r="V378" s="14"/>
      <c r="W378" s="14"/>
      <c r="X378" s="14"/>
      <c r="Y378" s="13"/>
      <c r="Z378" s="14"/>
    </row>
    <row r="379" spans="1:26" ht="14.25" customHeight="1" x14ac:dyDescent="0.25">
      <c r="A379" s="14"/>
      <c r="B379" s="14"/>
      <c r="C379" s="14"/>
      <c r="D379" s="14"/>
      <c r="E379" s="122"/>
      <c r="F379" s="14"/>
      <c r="G379" s="14"/>
      <c r="H379" s="14"/>
      <c r="I379" s="14"/>
      <c r="J379" s="14"/>
      <c r="K379" s="7"/>
      <c r="L379" s="14"/>
      <c r="M379" s="7"/>
      <c r="N379" s="14"/>
      <c r="O379" s="14"/>
      <c r="P379" s="7"/>
      <c r="Q379" s="21"/>
      <c r="R379" s="14"/>
      <c r="S379" s="14"/>
      <c r="T379" s="14"/>
      <c r="U379" s="14"/>
      <c r="V379" s="14"/>
      <c r="W379" s="14"/>
      <c r="X379" s="14"/>
      <c r="Y379" s="13"/>
      <c r="Z379" s="14"/>
    </row>
    <row r="380" spans="1:26" ht="14.25" customHeight="1" x14ac:dyDescent="0.25">
      <c r="A380" s="14"/>
      <c r="B380" s="14"/>
      <c r="C380" s="14"/>
      <c r="D380" s="14"/>
      <c r="E380" s="122"/>
      <c r="F380" s="14"/>
      <c r="G380" s="14"/>
      <c r="H380" s="14"/>
      <c r="I380" s="14"/>
      <c r="J380" s="14"/>
      <c r="K380" s="7"/>
      <c r="L380" s="14"/>
      <c r="M380" s="7"/>
      <c r="N380" s="14"/>
      <c r="O380" s="14"/>
      <c r="P380" s="7"/>
      <c r="Q380" s="21"/>
      <c r="R380" s="14"/>
      <c r="S380" s="14"/>
      <c r="T380" s="14"/>
      <c r="U380" s="14"/>
      <c r="V380" s="14"/>
      <c r="W380" s="14"/>
      <c r="X380" s="14"/>
      <c r="Y380" s="13"/>
      <c r="Z380" s="14"/>
    </row>
    <row r="381" spans="1:26" ht="14.25" customHeight="1" x14ac:dyDescent="0.25">
      <c r="A381" s="14"/>
      <c r="B381" s="14"/>
      <c r="C381" s="14"/>
      <c r="D381" s="14"/>
      <c r="E381" s="122"/>
      <c r="F381" s="14"/>
      <c r="G381" s="14"/>
      <c r="H381" s="14"/>
      <c r="I381" s="14"/>
      <c r="J381" s="14"/>
      <c r="K381" s="7"/>
      <c r="L381" s="14"/>
      <c r="M381" s="7"/>
      <c r="N381" s="14"/>
      <c r="O381" s="14"/>
      <c r="P381" s="7"/>
      <c r="Q381" s="21"/>
      <c r="R381" s="14"/>
      <c r="S381" s="14"/>
      <c r="T381" s="14"/>
      <c r="U381" s="14"/>
      <c r="V381" s="14"/>
      <c r="W381" s="14"/>
      <c r="X381" s="14"/>
      <c r="Y381" s="13"/>
      <c r="Z381" s="14"/>
    </row>
    <row r="382" spans="1:26" ht="14.25" customHeight="1" x14ac:dyDescent="0.25">
      <c r="A382" s="14"/>
      <c r="B382" s="14"/>
      <c r="C382" s="14"/>
      <c r="D382" s="14"/>
      <c r="E382" s="122"/>
      <c r="F382" s="14"/>
      <c r="G382" s="14"/>
      <c r="H382" s="14"/>
      <c r="I382" s="14"/>
      <c r="J382" s="14"/>
      <c r="K382" s="7"/>
      <c r="L382" s="14"/>
      <c r="M382" s="7"/>
      <c r="N382" s="14"/>
      <c r="O382" s="14"/>
      <c r="P382" s="7"/>
      <c r="Q382" s="21"/>
      <c r="R382" s="14"/>
      <c r="S382" s="14"/>
      <c r="T382" s="14"/>
      <c r="U382" s="14"/>
      <c r="V382" s="14"/>
      <c r="W382" s="14"/>
      <c r="X382" s="14"/>
      <c r="Y382" s="13"/>
      <c r="Z382" s="14"/>
    </row>
    <row r="383" spans="1:26" ht="14.25" customHeight="1" x14ac:dyDescent="0.25">
      <c r="A383" s="14"/>
      <c r="B383" s="14"/>
      <c r="C383" s="14"/>
      <c r="D383" s="14"/>
      <c r="E383" s="122"/>
      <c r="F383" s="14"/>
      <c r="G383" s="14"/>
      <c r="H383" s="14"/>
      <c r="I383" s="14"/>
      <c r="J383" s="14"/>
      <c r="K383" s="7"/>
      <c r="L383" s="14"/>
      <c r="M383" s="7"/>
      <c r="N383" s="14"/>
      <c r="O383" s="14"/>
      <c r="P383" s="7"/>
      <c r="Q383" s="21"/>
      <c r="R383" s="14"/>
      <c r="S383" s="14"/>
      <c r="T383" s="14"/>
      <c r="U383" s="14"/>
      <c r="V383" s="14"/>
      <c r="W383" s="14"/>
      <c r="X383" s="14"/>
      <c r="Y383" s="13"/>
      <c r="Z383" s="14"/>
    </row>
    <row r="384" spans="1:26" ht="14.25" customHeight="1" x14ac:dyDescent="0.25">
      <c r="A384" s="14"/>
      <c r="B384" s="14"/>
      <c r="C384" s="14"/>
      <c r="D384" s="14"/>
      <c r="E384" s="122"/>
      <c r="F384" s="14"/>
      <c r="G384" s="14"/>
      <c r="H384" s="14"/>
      <c r="I384" s="14"/>
      <c r="J384" s="14"/>
      <c r="K384" s="7"/>
      <c r="L384" s="14"/>
      <c r="M384" s="7"/>
      <c r="N384" s="14"/>
      <c r="O384" s="14"/>
      <c r="P384" s="7"/>
      <c r="Q384" s="21"/>
      <c r="R384" s="14"/>
      <c r="S384" s="14"/>
      <c r="T384" s="14"/>
      <c r="U384" s="14"/>
      <c r="V384" s="14"/>
      <c r="W384" s="14"/>
      <c r="X384" s="14"/>
      <c r="Y384" s="13"/>
      <c r="Z384" s="14"/>
    </row>
    <row r="385" spans="1:26" ht="14.25" customHeight="1" x14ac:dyDescent="0.25">
      <c r="A385" s="14"/>
      <c r="B385" s="14"/>
      <c r="C385" s="14"/>
      <c r="D385" s="14"/>
      <c r="E385" s="122"/>
      <c r="F385" s="14"/>
      <c r="G385" s="14"/>
      <c r="H385" s="14"/>
      <c r="I385" s="14"/>
      <c r="J385" s="14"/>
      <c r="K385" s="7"/>
      <c r="L385" s="14"/>
      <c r="M385" s="7"/>
      <c r="N385" s="14"/>
      <c r="O385" s="14"/>
      <c r="P385" s="7"/>
      <c r="Q385" s="21"/>
      <c r="R385" s="14"/>
      <c r="S385" s="14"/>
      <c r="T385" s="14"/>
      <c r="U385" s="14"/>
      <c r="V385" s="14"/>
      <c r="W385" s="14"/>
      <c r="X385" s="14"/>
      <c r="Y385" s="13"/>
      <c r="Z385" s="14"/>
    </row>
    <row r="386" spans="1:26" ht="14.25" customHeight="1" x14ac:dyDescent="0.25">
      <c r="A386" s="14"/>
      <c r="B386" s="14"/>
      <c r="C386" s="14"/>
      <c r="D386" s="14"/>
      <c r="E386" s="122"/>
      <c r="F386" s="14"/>
      <c r="G386" s="14"/>
      <c r="H386" s="14"/>
      <c r="I386" s="14"/>
      <c r="J386" s="14"/>
      <c r="K386" s="7"/>
      <c r="L386" s="14"/>
      <c r="M386" s="7"/>
      <c r="N386" s="14"/>
      <c r="O386" s="14"/>
      <c r="P386" s="7"/>
      <c r="Q386" s="21"/>
      <c r="R386" s="14"/>
      <c r="S386" s="14"/>
      <c r="T386" s="14"/>
      <c r="U386" s="14"/>
      <c r="V386" s="14"/>
      <c r="W386" s="14"/>
      <c r="X386" s="14"/>
      <c r="Y386" s="13"/>
      <c r="Z386" s="14"/>
    </row>
    <row r="387" spans="1:26" ht="14.25" customHeight="1" x14ac:dyDescent="0.25">
      <c r="A387" s="14"/>
      <c r="B387" s="14"/>
      <c r="C387" s="14"/>
      <c r="D387" s="14"/>
      <c r="E387" s="122"/>
      <c r="F387" s="14"/>
      <c r="G387" s="14"/>
      <c r="H387" s="14"/>
      <c r="I387" s="14"/>
      <c r="J387" s="14"/>
      <c r="K387" s="7"/>
      <c r="L387" s="14"/>
      <c r="M387" s="7"/>
      <c r="N387" s="14"/>
      <c r="O387" s="14"/>
      <c r="P387" s="7"/>
      <c r="Q387" s="21"/>
      <c r="R387" s="14"/>
      <c r="S387" s="14"/>
      <c r="T387" s="14"/>
      <c r="U387" s="14"/>
      <c r="V387" s="14"/>
      <c r="W387" s="14"/>
      <c r="X387" s="14"/>
      <c r="Y387" s="13"/>
      <c r="Z387" s="14"/>
    </row>
    <row r="388" spans="1:26" ht="14.25" customHeight="1" x14ac:dyDescent="0.25">
      <c r="A388" s="14"/>
      <c r="B388" s="14"/>
      <c r="C388" s="14"/>
      <c r="D388" s="14"/>
      <c r="E388" s="122"/>
      <c r="F388" s="14"/>
      <c r="G388" s="14"/>
      <c r="H388" s="14"/>
      <c r="I388" s="14"/>
      <c r="J388" s="14"/>
      <c r="K388" s="7"/>
      <c r="L388" s="14"/>
      <c r="M388" s="7"/>
      <c r="N388" s="14"/>
      <c r="O388" s="14"/>
      <c r="P388" s="7"/>
      <c r="Q388" s="21"/>
      <c r="R388" s="14"/>
      <c r="S388" s="14"/>
      <c r="T388" s="14"/>
      <c r="U388" s="14"/>
      <c r="V388" s="14"/>
      <c r="W388" s="14"/>
      <c r="X388" s="14"/>
      <c r="Y388" s="13"/>
      <c r="Z388" s="14"/>
    </row>
    <row r="389" spans="1:26" ht="14.25" customHeight="1" x14ac:dyDescent="0.25">
      <c r="A389" s="14"/>
      <c r="B389" s="14"/>
      <c r="C389" s="14"/>
      <c r="D389" s="14"/>
      <c r="E389" s="122"/>
      <c r="F389" s="14"/>
      <c r="G389" s="14"/>
      <c r="H389" s="14"/>
      <c r="I389" s="14"/>
      <c r="J389" s="14"/>
      <c r="K389" s="7"/>
      <c r="L389" s="14"/>
      <c r="M389" s="7"/>
      <c r="N389" s="14"/>
      <c r="O389" s="14"/>
      <c r="P389" s="7"/>
      <c r="Q389" s="21"/>
      <c r="R389" s="14"/>
      <c r="S389" s="14"/>
      <c r="T389" s="14"/>
      <c r="U389" s="14"/>
      <c r="V389" s="14"/>
      <c r="W389" s="14"/>
      <c r="X389" s="14"/>
      <c r="Y389" s="13"/>
      <c r="Z389" s="14"/>
    </row>
    <row r="390" spans="1:26" ht="14.25" customHeight="1" x14ac:dyDescent="0.25">
      <c r="A390" s="14"/>
      <c r="B390" s="14"/>
      <c r="C390" s="14"/>
      <c r="D390" s="14"/>
      <c r="E390" s="122"/>
      <c r="F390" s="14"/>
      <c r="G390" s="14"/>
      <c r="H390" s="14"/>
      <c r="I390" s="14"/>
      <c r="J390" s="14"/>
      <c r="K390" s="7"/>
      <c r="L390" s="14"/>
      <c r="M390" s="7"/>
      <c r="N390" s="14"/>
      <c r="O390" s="14"/>
      <c r="P390" s="7"/>
      <c r="Q390" s="21"/>
      <c r="R390" s="14"/>
      <c r="S390" s="14"/>
      <c r="T390" s="14"/>
      <c r="U390" s="14"/>
      <c r="V390" s="14"/>
      <c r="W390" s="14"/>
      <c r="X390" s="14"/>
      <c r="Y390" s="13"/>
      <c r="Z390" s="14"/>
    </row>
    <row r="391" spans="1:26" ht="14.25" customHeight="1" x14ac:dyDescent="0.25">
      <c r="A391" s="14"/>
      <c r="B391" s="14"/>
      <c r="C391" s="14"/>
      <c r="D391" s="14"/>
      <c r="E391" s="122"/>
      <c r="F391" s="14"/>
      <c r="G391" s="14"/>
      <c r="H391" s="14"/>
      <c r="I391" s="14"/>
      <c r="J391" s="14"/>
      <c r="K391" s="7"/>
      <c r="L391" s="14"/>
      <c r="M391" s="7"/>
      <c r="N391" s="14"/>
      <c r="O391" s="14"/>
      <c r="P391" s="7"/>
      <c r="Q391" s="21"/>
      <c r="R391" s="14"/>
      <c r="S391" s="14"/>
      <c r="T391" s="14"/>
      <c r="U391" s="14"/>
      <c r="V391" s="14"/>
      <c r="W391" s="14"/>
      <c r="X391" s="14"/>
      <c r="Y391" s="13"/>
      <c r="Z391" s="14"/>
    </row>
    <row r="392" spans="1:26" ht="14.25" customHeight="1" x14ac:dyDescent="0.25">
      <c r="A392" s="14"/>
      <c r="B392" s="14"/>
      <c r="C392" s="14"/>
      <c r="D392" s="14"/>
      <c r="E392" s="122"/>
      <c r="F392" s="14"/>
      <c r="G392" s="14"/>
      <c r="H392" s="14"/>
      <c r="I392" s="14"/>
      <c r="J392" s="14"/>
      <c r="K392" s="7"/>
      <c r="L392" s="14"/>
      <c r="M392" s="7"/>
      <c r="N392" s="14"/>
      <c r="O392" s="14"/>
      <c r="P392" s="7"/>
      <c r="Q392" s="21"/>
      <c r="R392" s="14"/>
      <c r="S392" s="14"/>
      <c r="T392" s="14"/>
      <c r="U392" s="14"/>
      <c r="V392" s="14"/>
      <c r="W392" s="14"/>
      <c r="X392" s="14"/>
      <c r="Y392" s="13"/>
      <c r="Z392" s="14"/>
    </row>
    <row r="393" spans="1:26" ht="14.25" customHeight="1" x14ac:dyDescent="0.25">
      <c r="A393" s="14"/>
      <c r="B393" s="14"/>
      <c r="C393" s="14"/>
      <c r="D393" s="14"/>
      <c r="E393" s="122"/>
      <c r="F393" s="14"/>
      <c r="G393" s="14"/>
      <c r="H393" s="14"/>
      <c r="I393" s="14"/>
      <c r="J393" s="14"/>
      <c r="K393" s="7"/>
      <c r="L393" s="14"/>
      <c r="M393" s="7"/>
      <c r="N393" s="14"/>
      <c r="O393" s="14"/>
      <c r="P393" s="7"/>
      <c r="Q393" s="21"/>
      <c r="R393" s="14"/>
      <c r="S393" s="14"/>
      <c r="T393" s="14"/>
      <c r="U393" s="14"/>
      <c r="V393" s="14"/>
      <c r="W393" s="14"/>
      <c r="X393" s="14"/>
      <c r="Y393" s="13"/>
      <c r="Z393" s="14"/>
    </row>
    <row r="394" spans="1:26" ht="14.25" customHeight="1" x14ac:dyDescent="0.25">
      <c r="A394" s="14"/>
      <c r="B394" s="14"/>
      <c r="C394" s="14"/>
      <c r="D394" s="14"/>
      <c r="E394" s="122"/>
      <c r="F394" s="14"/>
      <c r="G394" s="14"/>
      <c r="H394" s="14"/>
      <c r="I394" s="14"/>
      <c r="J394" s="14"/>
      <c r="K394" s="7"/>
      <c r="L394" s="14"/>
      <c r="M394" s="7"/>
      <c r="N394" s="14"/>
      <c r="O394" s="14"/>
      <c r="P394" s="7"/>
      <c r="Q394" s="21"/>
      <c r="R394" s="14"/>
      <c r="S394" s="14"/>
      <c r="T394" s="14"/>
      <c r="U394" s="14"/>
      <c r="V394" s="14"/>
      <c r="W394" s="14"/>
      <c r="X394" s="14"/>
      <c r="Y394" s="13"/>
      <c r="Z394" s="14"/>
    </row>
    <row r="395" spans="1:26" ht="14.25" customHeight="1" x14ac:dyDescent="0.25">
      <c r="A395" s="14"/>
      <c r="B395" s="14"/>
      <c r="C395" s="14"/>
      <c r="D395" s="14"/>
      <c r="E395" s="122"/>
      <c r="F395" s="14"/>
      <c r="G395" s="14"/>
      <c r="H395" s="14"/>
      <c r="I395" s="14"/>
      <c r="J395" s="14"/>
      <c r="K395" s="7"/>
      <c r="L395" s="14"/>
      <c r="M395" s="7"/>
      <c r="N395" s="14"/>
      <c r="O395" s="14"/>
      <c r="P395" s="7"/>
      <c r="Q395" s="21"/>
      <c r="R395" s="14"/>
      <c r="S395" s="14"/>
      <c r="T395" s="14"/>
      <c r="U395" s="14"/>
      <c r="V395" s="14"/>
      <c r="W395" s="14"/>
      <c r="X395" s="14"/>
      <c r="Y395" s="13"/>
      <c r="Z395" s="14"/>
    </row>
    <row r="396" spans="1:26" ht="14.25" customHeight="1" x14ac:dyDescent="0.25">
      <c r="A396" s="14"/>
      <c r="B396" s="14"/>
      <c r="C396" s="14"/>
      <c r="D396" s="14"/>
      <c r="E396" s="122"/>
      <c r="F396" s="14"/>
      <c r="G396" s="14"/>
      <c r="H396" s="14"/>
      <c r="I396" s="14"/>
      <c r="J396" s="14"/>
      <c r="K396" s="7"/>
      <c r="L396" s="14"/>
      <c r="M396" s="7"/>
      <c r="N396" s="14"/>
      <c r="O396" s="14"/>
      <c r="P396" s="7"/>
      <c r="Q396" s="21"/>
      <c r="R396" s="14"/>
      <c r="S396" s="14"/>
      <c r="T396" s="14"/>
      <c r="U396" s="14"/>
      <c r="V396" s="14"/>
      <c r="W396" s="14"/>
      <c r="X396" s="14"/>
      <c r="Y396" s="13"/>
      <c r="Z396" s="14"/>
    </row>
    <row r="397" spans="1:26" ht="14.25" customHeight="1" x14ac:dyDescent="0.25">
      <c r="A397" s="14"/>
      <c r="B397" s="14"/>
      <c r="C397" s="14"/>
      <c r="D397" s="14"/>
      <c r="E397" s="122"/>
      <c r="F397" s="14"/>
      <c r="G397" s="14"/>
      <c r="H397" s="14"/>
      <c r="I397" s="14"/>
      <c r="J397" s="14"/>
      <c r="K397" s="7"/>
      <c r="L397" s="14"/>
      <c r="M397" s="7"/>
      <c r="N397" s="14"/>
      <c r="O397" s="14"/>
      <c r="P397" s="7"/>
      <c r="Q397" s="21"/>
      <c r="R397" s="14"/>
      <c r="S397" s="14"/>
      <c r="T397" s="14"/>
      <c r="U397" s="14"/>
      <c r="V397" s="14"/>
      <c r="W397" s="14"/>
      <c r="X397" s="14"/>
      <c r="Y397" s="13"/>
      <c r="Z397" s="14"/>
    </row>
    <row r="398" spans="1:26" ht="14.25" customHeight="1" x14ac:dyDescent="0.25">
      <c r="A398" s="14"/>
      <c r="B398" s="14"/>
      <c r="C398" s="14"/>
      <c r="D398" s="14"/>
      <c r="E398" s="122"/>
      <c r="F398" s="14"/>
      <c r="G398" s="14"/>
      <c r="H398" s="14"/>
      <c r="I398" s="14"/>
      <c r="J398" s="14"/>
      <c r="K398" s="7"/>
      <c r="L398" s="14"/>
      <c r="M398" s="7"/>
      <c r="N398" s="14"/>
      <c r="O398" s="14"/>
      <c r="P398" s="7"/>
      <c r="Q398" s="21"/>
      <c r="R398" s="14"/>
      <c r="S398" s="14"/>
      <c r="T398" s="14"/>
      <c r="U398" s="14"/>
      <c r="V398" s="14"/>
      <c r="W398" s="14"/>
      <c r="X398" s="14"/>
      <c r="Y398" s="13"/>
      <c r="Z398" s="14"/>
    </row>
    <row r="399" spans="1:26" ht="14.25" customHeight="1" x14ac:dyDescent="0.25">
      <c r="A399" s="14"/>
      <c r="B399" s="14"/>
      <c r="C399" s="14"/>
      <c r="D399" s="14"/>
      <c r="E399" s="122"/>
      <c r="F399" s="14"/>
      <c r="G399" s="14"/>
      <c r="H399" s="14"/>
      <c r="I399" s="14"/>
      <c r="J399" s="14"/>
      <c r="K399" s="7"/>
      <c r="L399" s="14"/>
      <c r="M399" s="7"/>
      <c r="N399" s="14"/>
      <c r="O399" s="14"/>
      <c r="P399" s="7"/>
      <c r="Q399" s="21"/>
      <c r="R399" s="14"/>
      <c r="S399" s="14"/>
      <c r="T399" s="14"/>
      <c r="U399" s="14"/>
      <c r="V399" s="14"/>
      <c r="W399" s="14"/>
      <c r="X399" s="14"/>
      <c r="Y399" s="13"/>
      <c r="Z399" s="14"/>
    </row>
    <row r="400" spans="1:26" ht="14.25" customHeight="1" x14ac:dyDescent="0.25">
      <c r="A400" s="14"/>
      <c r="B400" s="14"/>
      <c r="C400" s="14"/>
      <c r="D400" s="14"/>
      <c r="E400" s="122"/>
      <c r="F400" s="14"/>
      <c r="G400" s="14"/>
      <c r="H400" s="14"/>
      <c r="I400" s="14"/>
      <c r="J400" s="14"/>
      <c r="K400" s="7"/>
      <c r="L400" s="14"/>
      <c r="M400" s="7"/>
      <c r="N400" s="14"/>
      <c r="O400" s="14"/>
      <c r="P400" s="7"/>
      <c r="Q400" s="21"/>
      <c r="R400" s="14"/>
      <c r="S400" s="14"/>
      <c r="T400" s="14"/>
      <c r="U400" s="14"/>
      <c r="V400" s="14"/>
      <c r="W400" s="14"/>
      <c r="X400" s="14"/>
      <c r="Y400" s="13"/>
      <c r="Z400" s="14"/>
    </row>
    <row r="401" spans="1:26" ht="14.25" customHeight="1" x14ac:dyDescent="0.25">
      <c r="A401" s="14"/>
      <c r="B401" s="14"/>
      <c r="C401" s="14"/>
      <c r="D401" s="14"/>
      <c r="E401" s="122"/>
      <c r="F401" s="14"/>
      <c r="G401" s="14"/>
      <c r="H401" s="14"/>
      <c r="I401" s="14"/>
      <c r="J401" s="14"/>
      <c r="K401" s="7"/>
      <c r="L401" s="14"/>
      <c r="M401" s="7"/>
      <c r="N401" s="14"/>
      <c r="O401" s="14"/>
      <c r="P401" s="7"/>
      <c r="Q401" s="21"/>
      <c r="R401" s="14"/>
      <c r="S401" s="14"/>
      <c r="T401" s="14"/>
      <c r="U401" s="14"/>
      <c r="V401" s="14"/>
      <c r="W401" s="14"/>
      <c r="X401" s="14"/>
      <c r="Y401" s="13"/>
      <c r="Z401" s="14"/>
    </row>
    <row r="402" spans="1:26" ht="14.25" customHeight="1" x14ac:dyDescent="0.25">
      <c r="A402" s="14"/>
      <c r="B402" s="14"/>
      <c r="C402" s="14"/>
      <c r="D402" s="14"/>
      <c r="E402" s="122"/>
      <c r="F402" s="14"/>
      <c r="G402" s="14"/>
      <c r="H402" s="14"/>
      <c r="I402" s="14"/>
      <c r="J402" s="14"/>
      <c r="K402" s="7"/>
      <c r="L402" s="14"/>
      <c r="M402" s="7"/>
      <c r="N402" s="14"/>
      <c r="O402" s="14"/>
      <c r="P402" s="7"/>
      <c r="Q402" s="21"/>
      <c r="R402" s="14"/>
      <c r="S402" s="14"/>
      <c r="T402" s="14"/>
      <c r="U402" s="14"/>
      <c r="V402" s="14"/>
      <c r="W402" s="14"/>
      <c r="X402" s="14"/>
      <c r="Y402" s="13"/>
      <c r="Z402" s="14"/>
    </row>
    <row r="403" spans="1:26" ht="14.25" customHeight="1" x14ac:dyDescent="0.25">
      <c r="A403" s="14"/>
      <c r="B403" s="14"/>
      <c r="C403" s="14"/>
      <c r="D403" s="14"/>
      <c r="E403" s="122"/>
      <c r="F403" s="14"/>
      <c r="G403" s="14"/>
      <c r="H403" s="14"/>
      <c r="I403" s="14"/>
      <c r="J403" s="14"/>
      <c r="K403" s="7"/>
      <c r="L403" s="14"/>
      <c r="M403" s="7"/>
      <c r="N403" s="14"/>
      <c r="O403" s="14"/>
      <c r="P403" s="7"/>
      <c r="Q403" s="21"/>
      <c r="R403" s="14"/>
      <c r="S403" s="14"/>
      <c r="T403" s="14"/>
      <c r="U403" s="14"/>
      <c r="V403" s="14"/>
      <c r="W403" s="14"/>
      <c r="X403" s="14"/>
      <c r="Y403" s="13"/>
      <c r="Z403" s="14"/>
    </row>
    <row r="404" spans="1:26" ht="14.25" customHeight="1" x14ac:dyDescent="0.25">
      <c r="A404" s="14"/>
      <c r="B404" s="14"/>
      <c r="C404" s="14"/>
      <c r="D404" s="14"/>
      <c r="E404" s="122"/>
      <c r="F404" s="14"/>
      <c r="G404" s="14"/>
      <c r="H404" s="14"/>
      <c r="I404" s="14"/>
      <c r="J404" s="14"/>
      <c r="K404" s="7"/>
      <c r="L404" s="14"/>
      <c r="M404" s="7"/>
      <c r="N404" s="14"/>
      <c r="O404" s="14"/>
      <c r="P404" s="7"/>
      <c r="Q404" s="21"/>
      <c r="R404" s="14"/>
      <c r="S404" s="14"/>
      <c r="T404" s="14"/>
      <c r="U404" s="14"/>
      <c r="V404" s="14"/>
      <c r="W404" s="14"/>
      <c r="X404" s="14"/>
      <c r="Y404" s="13"/>
      <c r="Z404" s="14"/>
    </row>
    <row r="405" spans="1:26" ht="14.25" customHeight="1" x14ac:dyDescent="0.25">
      <c r="A405" s="14"/>
      <c r="B405" s="14"/>
      <c r="C405" s="14"/>
      <c r="D405" s="14"/>
      <c r="E405" s="122"/>
      <c r="F405" s="14"/>
      <c r="G405" s="14"/>
      <c r="H405" s="14"/>
      <c r="I405" s="14"/>
      <c r="J405" s="14"/>
      <c r="K405" s="7"/>
      <c r="L405" s="14"/>
      <c r="M405" s="7"/>
      <c r="N405" s="14"/>
      <c r="O405" s="14"/>
      <c r="P405" s="7"/>
      <c r="Q405" s="21"/>
      <c r="R405" s="14"/>
      <c r="S405" s="14"/>
      <c r="T405" s="14"/>
      <c r="U405" s="14"/>
      <c r="V405" s="14"/>
      <c r="W405" s="14"/>
      <c r="X405" s="14"/>
      <c r="Y405" s="13"/>
      <c r="Z405" s="14"/>
    </row>
    <row r="406" spans="1:26" ht="14.25" customHeight="1" x14ac:dyDescent="0.25">
      <c r="A406" s="14"/>
      <c r="B406" s="14"/>
      <c r="C406" s="14"/>
      <c r="D406" s="14"/>
      <c r="E406" s="122"/>
      <c r="F406" s="14"/>
      <c r="G406" s="14"/>
      <c r="H406" s="14"/>
      <c r="I406" s="14"/>
      <c r="J406" s="14"/>
      <c r="K406" s="7"/>
      <c r="L406" s="14"/>
      <c r="M406" s="7"/>
      <c r="N406" s="14"/>
      <c r="O406" s="14"/>
      <c r="P406" s="7"/>
      <c r="Q406" s="21"/>
      <c r="R406" s="14"/>
      <c r="S406" s="14"/>
      <c r="T406" s="14"/>
      <c r="U406" s="14"/>
      <c r="V406" s="14"/>
      <c r="W406" s="14"/>
      <c r="X406" s="14"/>
      <c r="Y406" s="13"/>
      <c r="Z406" s="14"/>
    </row>
    <row r="407" spans="1:26" ht="14.25" customHeight="1" x14ac:dyDescent="0.25">
      <c r="A407" s="14"/>
      <c r="B407" s="14"/>
      <c r="C407" s="14"/>
      <c r="D407" s="14"/>
      <c r="E407" s="122"/>
      <c r="F407" s="14"/>
      <c r="G407" s="14"/>
      <c r="H407" s="14"/>
      <c r="I407" s="14"/>
      <c r="J407" s="14"/>
      <c r="K407" s="7"/>
      <c r="L407" s="14"/>
      <c r="M407" s="7"/>
      <c r="N407" s="14"/>
      <c r="O407" s="14"/>
      <c r="P407" s="7"/>
      <c r="Q407" s="21"/>
      <c r="R407" s="14"/>
      <c r="S407" s="14"/>
      <c r="T407" s="14"/>
      <c r="U407" s="14"/>
      <c r="V407" s="14"/>
      <c r="W407" s="14"/>
      <c r="X407" s="14"/>
      <c r="Y407" s="13"/>
      <c r="Z407" s="14"/>
    </row>
    <row r="408" spans="1:26" ht="14.25" customHeight="1" x14ac:dyDescent="0.25">
      <c r="A408" s="14"/>
      <c r="B408" s="14"/>
      <c r="C408" s="14"/>
      <c r="D408" s="14"/>
      <c r="E408" s="122"/>
      <c r="F408" s="14"/>
      <c r="G408" s="14"/>
      <c r="H408" s="14"/>
      <c r="I408" s="14"/>
      <c r="J408" s="14"/>
      <c r="K408" s="7"/>
      <c r="L408" s="14"/>
      <c r="M408" s="7"/>
      <c r="N408" s="14"/>
      <c r="O408" s="14"/>
      <c r="P408" s="7"/>
      <c r="Q408" s="21"/>
      <c r="R408" s="14"/>
      <c r="S408" s="14"/>
      <c r="T408" s="14"/>
      <c r="U408" s="14"/>
      <c r="V408" s="14"/>
      <c r="W408" s="14"/>
      <c r="X408" s="14"/>
      <c r="Y408" s="13"/>
      <c r="Z408" s="14"/>
    </row>
    <row r="409" spans="1:26" ht="14.25" customHeight="1" x14ac:dyDescent="0.25">
      <c r="A409" s="14"/>
      <c r="B409" s="14"/>
      <c r="C409" s="14"/>
      <c r="D409" s="14"/>
      <c r="E409" s="122"/>
      <c r="F409" s="14"/>
      <c r="G409" s="14"/>
      <c r="H409" s="14"/>
      <c r="I409" s="14"/>
      <c r="J409" s="14"/>
      <c r="K409" s="7"/>
      <c r="L409" s="14"/>
      <c r="M409" s="7"/>
      <c r="N409" s="14"/>
      <c r="O409" s="14"/>
      <c r="P409" s="7"/>
      <c r="Q409" s="21"/>
      <c r="R409" s="14"/>
      <c r="S409" s="14"/>
      <c r="T409" s="14"/>
      <c r="U409" s="14"/>
      <c r="V409" s="14"/>
      <c r="W409" s="14"/>
      <c r="X409" s="14"/>
      <c r="Y409" s="13"/>
      <c r="Z409" s="14"/>
    </row>
    <row r="410" spans="1:26" ht="14.25" customHeight="1" x14ac:dyDescent="0.25">
      <c r="A410" s="14"/>
      <c r="B410" s="14"/>
      <c r="C410" s="14"/>
      <c r="D410" s="14"/>
      <c r="E410" s="122"/>
      <c r="F410" s="14"/>
      <c r="G410" s="14"/>
      <c r="H410" s="14"/>
      <c r="I410" s="14"/>
      <c r="J410" s="14"/>
      <c r="K410" s="7"/>
      <c r="L410" s="14"/>
      <c r="M410" s="7"/>
      <c r="N410" s="14"/>
      <c r="O410" s="14"/>
      <c r="P410" s="7"/>
      <c r="Q410" s="21"/>
      <c r="R410" s="14"/>
      <c r="S410" s="14"/>
      <c r="T410" s="14"/>
      <c r="U410" s="14"/>
      <c r="V410" s="14"/>
      <c r="W410" s="14"/>
      <c r="X410" s="14"/>
      <c r="Y410" s="13"/>
      <c r="Z410" s="14"/>
    </row>
    <row r="411" spans="1:26" ht="14.25" customHeight="1" x14ac:dyDescent="0.25">
      <c r="A411" s="14"/>
      <c r="B411" s="14"/>
      <c r="C411" s="14"/>
      <c r="D411" s="14"/>
      <c r="E411" s="122"/>
      <c r="F411" s="14"/>
      <c r="G411" s="14"/>
      <c r="H411" s="14"/>
      <c r="I411" s="14"/>
      <c r="J411" s="14"/>
      <c r="K411" s="7"/>
      <c r="L411" s="14"/>
      <c r="M411" s="7"/>
      <c r="N411" s="14"/>
      <c r="O411" s="14"/>
      <c r="P411" s="7"/>
      <c r="Q411" s="21"/>
      <c r="R411" s="14"/>
      <c r="S411" s="14"/>
      <c r="T411" s="14"/>
      <c r="U411" s="14"/>
      <c r="V411" s="14"/>
      <c r="W411" s="14"/>
      <c r="X411" s="14"/>
      <c r="Y411" s="13"/>
      <c r="Z411" s="14"/>
    </row>
    <row r="412" spans="1:26" ht="14.25" customHeight="1" x14ac:dyDescent="0.25">
      <c r="A412" s="14"/>
      <c r="B412" s="14"/>
      <c r="C412" s="14"/>
      <c r="D412" s="14"/>
      <c r="E412" s="122"/>
      <c r="F412" s="14"/>
      <c r="G412" s="14"/>
      <c r="H412" s="14"/>
      <c r="I412" s="14"/>
      <c r="J412" s="14"/>
      <c r="K412" s="7"/>
      <c r="L412" s="14"/>
      <c r="M412" s="7"/>
      <c r="N412" s="14"/>
      <c r="O412" s="14"/>
      <c r="P412" s="7"/>
      <c r="Q412" s="21"/>
      <c r="R412" s="14"/>
      <c r="S412" s="14"/>
      <c r="T412" s="14"/>
      <c r="U412" s="14"/>
      <c r="V412" s="14"/>
      <c r="W412" s="14"/>
      <c r="X412" s="14"/>
      <c r="Y412" s="13"/>
      <c r="Z412" s="14"/>
    </row>
    <row r="413" spans="1:26" ht="14.25" customHeight="1" x14ac:dyDescent="0.25">
      <c r="A413" s="14"/>
      <c r="B413" s="14"/>
      <c r="C413" s="14"/>
      <c r="D413" s="14"/>
      <c r="E413" s="122"/>
      <c r="F413" s="14"/>
      <c r="G413" s="14"/>
      <c r="H413" s="14"/>
      <c r="I413" s="14"/>
      <c r="J413" s="14"/>
      <c r="K413" s="7"/>
      <c r="L413" s="14"/>
      <c r="M413" s="7"/>
      <c r="N413" s="14"/>
      <c r="O413" s="14"/>
      <c r="P413" s="7"/>
      <c r="Q413" s="21"/>
      <c r="R413" s="14"/>
      <c r="S413" s="14"/>
      <c r="T413" s="14"/>
      <c r="U413" s="14"/>
      <c r="V413" s="14"/>
      <c r="W413" s="14"/>
      <c r="X413" s="14"/>
      <c r="Y413" s="13"/>
      <c r="Z413" s="14"/>
    </row>
    <row r="414" spans="1:26" ht="14.25" customHeight="1" x14ac:dyDescent="0.25">
      <c r="A414" s="14"/>
      <c r="B414" s="14"/>
      <c r="C414" s="14"/>
      <c r="D414" s="14"/>
      <c r="E414" s="122"/>
      <c r="F414" s="14"/>
      <c r="G414" s="14"/>
      <c r="H414" s="14"/>
      <c r="I414" s="14"/>
      <c r="J414" s="14"/>
      <c r="K414" s="7"/>
      <c r="L414" s="14"/>
      <c r="M414" s="7"/>
      <c r="N414" s="14"/>
      <c r="O414" s="14"/>
      <c r="P414" s="7"/>
      <c r="Q414" s="21"/>
      <c r="R414" s="14"/>
      <c r="S414" s="14"/>
      <c r="T414" s="14"/>
      <c r="U414" s="14"/>
      <c r="V414" s="14"/>
      <c r="W414" s="14"/>
      <c r="X414" s="14"/>
      <c r="Y414" s="13"/>
      <c r="Z414" s="14"/>
    </row>
    <row r="415" spans="1:26" ht="14.25" customHeight="1" x14ac:dyDescent="0.25">
      <c r="A415" s="14"/>
      <c r="B415" s="14"/>
      <c r="C415" s="14"/>
      <c r="D415" s="14"/>
      <c r="E415" s="122"/>
      <c r="F415" s="14"/>
      <c r="G415" s="14"/>
      <c r="H415" s="14"/>
      <c r="I415" s="14"/>
      <c r="J415" s="14"/>
      <c r="K415" s="7"/>
      <c r="L415" s="14"/>
      <c r="M415" s="7"/>
      <c r="N415" s="14"/>
      <c r="O415" s="14"/>
      <c r="P415" s="7"/>
      <c r="Q415" s="21"/>
      <c r="R415" s="14"/>
      <c r="S415" s="14"/>
      <c r="T415" s="14"/>
      <c r="U415" s="14"/>
      <c r="V415" s="14"/>
      <c r="W415" s="14"/>
      <c r="X415" s="14"/>
      <c r="Y415" s="13"/>
      <c r="Z415" s="14"/>
    </row>
    <row r="416" spans="1:26" ht="14.25" customHeight="1" x14ac:dyDescent="0.25">
      <c r="A416" s="14"/>
      <c r="B416" s="14"/>
      <c r="C416" s="14"/>
      <c r="D416" s="14"/>
      <c r="E416" s="122"/>
      <c r="F416" s="14"/>
      <c r="G416" s="14"/>
      <c r="H416" s="14"/>
      <c r="I416" s="14"/>
      <c r="J416" s="14"/>
      <c r="K416" s="7"/>
      <c r="L416" s="14"/>
      <c r="M416" s="7"/>
      <c r="N416" s="14"/>
      <c r="O416" s="14"/>
      <c r="P416" s="7"/>
      <c r="Q416" s="21"/>
      <c r="R416" s="14"/>
      <c r="S416" s="14"/>
      <c r="T416" s="14"/>
      <c r="U416" s="14"/>
      <c r="V416" s="14"/>
      <c r="W416" s="14"/>
      <c r="X416" s="14"/>
      <c r="Y416" s="13"/>
      <c r="Z416" s="14"/>
    </row>
    <row r="417" spans="1:26" ht="14.25" customHeight="1" x14ac:dyDescent="0.25">
      <c r="A417" s="14"/>
      <c r="B417" s="14"/>
      <c r="C417" s="14"/>
      <c r="D417" s="14"/>
      <c r="E417" s="122"/>
      <c r="F417" s="14"/>
      <c r="G417" s="14"/>
      <c r="H417" s="14"/>
      <c r="I417" s="14"/>
      <c r="J417" s="14"/>
      <c r="K417" s="7"/>
      <c r="L417" s="14"/>
      <c r="M417" s="7"/>
      <c r="N417" s="14"/>
      <c r="O417" s="14"/>
      <c r="P417" s="7"/>
      <c r="Q417" s="21"/>
      <c r="R417" s="14"/>
      <c r="S417" s="14"/>
      <c r="T417" s="14"/>
      <c r="U417" s="14"/>
      <c r="V417" s="14"/>
      <c r="W417" s="14"/>
      <c r="X417" s="14"/>
      <c r="Y417" s="13"/>
      <c r="Z417" s="14"/>
    </row>
    <row r="418" spans="1:26" ht="14.25" customHeight="1" x14ac:dyDescent="0.25">
      <c r="A418" s="14"/>
      <c r="B418" s="14"/>
      <c r="C418" s="14"/>
      <c r="D418" s="14"/>
      <c r="E418" s="122"/>
      <c r="F418" s="14"/>
      <c r="G418" s="14"/>
      <c r="H418" s="14"/>
      <c r="I418" s="14"/>
      <c r="J418" s="14"/>
      <c r="K418" s="7"/>
      <c r="L418" s="14"/>
      <c r="M418" s="7"/>
      <c r="N418" s="14"/>
      <c r="O418" s="14"/>
      <c r="P418" s="7"/>
      <c r="Q418" s="21"/>
      <c r="R418" s="14"/>
      <c r="S418" s="14"/>
      <c r="T418" s="14"/>
      <c r="U418" s="14"/>
      <c r="V418" s="14"/>
      <c r="W418" s="14"/>
      <c r="X418" s="14"/>
      <c r="Y418" s="13"/>
      <c r="Z418" s="14"/>
    </row>
    <row r="419" spans="1:26" ht="14.25" customHeight="1" x14ac:dyDescent="0.25">
      <c r="A419" s="14"/>
      <c r="B419" s="14"/>
      <c r="C419" s="14"/>
      <c r="D419" s="14"/>
      <c r="E419" s="122"/>
      <c r="F419" s="14"/>
      <c r="G419" s="14"/>
      <c r="H419" s="14"/>
      <c r="I419" s="14"/>
      <c r="J419" s="14"/>
      <c r="K419" s="7"/>
      <c r="L419" s="14"/>
      <c r="M419" s="7"/>
      <c r="N419" s="14"/>
      <c r="O419" s="14"/>
      <c r="P419" s="7"/>
      <c r="Q419" s="21"/>
      <c r="R419" s="14"/>
      <c r="S419" s="14"/>
      <c r="T419" s="14"/>
      <c r="U419" s="14"/>
      <c r="V419" s="14"/>
      <c r="W419" s="14"/>
      <c r="X419" s="14"/>
      <c r="Y419" s="13"/>
      <c r="Z419" s="14"/>
    </row>
    <row r="420" spans="1:26" ht="14.25" customHeight="1" x14ac:dyDescent="0.25">
      <c r="A420" s="14"/>
      <c r="B420" s="14"/>
      <c r="C420" s="14"/>
      <c r="D420" s="14"/>
      <c r="E420" s="122"/>
      <c r="F420" s="14"/>
      <c r="G420" s="14"/>
      <c r="H420" s="14"/>
      <c r="I420" s="14"/>
      <c r="J420" s="14"/>
      <c r="K420" s="7"/>
      <c r="L420" s="14"/>
      <c r="M420" s="7"/>
      <c r="N420" s="14"/>
      <c r="O420" s="14"/>
      <c r="P420" s="7"/>
      <c r="Q420" s="21"/>
      <c r="R420" s="14"/>
      <c r="S420" s="14"/>
      <c r="T420" s="14"/>
      <c r="U420" s="14"/>
      <c r="V420" s="14"/>
      <c r="W420" s="14"/>
      <c r="X420" s="14"/>
      <c r="Y420" s="13"/>
      <c r="Z420" s="14"/>
    </row>
    <row r="421" spans="1:26" ht="14.25" customHeight="1" x14ac:dyDescent="0.25">
      <c r="A421" s="14"/>
      <c r="B421" s="14"/>
      <c r="C421" s="14"/>
      <c r="D421" s="14"/>
      <c r="E421" s="122"/>
      <c r="F421" s="14"/>
      <c r="G421" s="14"/>
      <c r="H421" s="14"/>
      <c r="I421" s="14"/>
      <c r="J421" s="14"/>
      <c r="K421" s="7"/>
      <c r="L421" s="14"/>
      <c r="M421" s="7"/>
      <c r="N421" s="14"/>
      <c r="O421" s="14"/>
      <c r="P421" s="7"/>
      <c r="Q421" s="21"/>
      <c r="R421" s="14"/>
      <c r="S421" s="14"/>
      <c r="T421" s="14"/>
      <c r="U421" s="14"/>
      <c r="V421" s="14"/>
      <c r="W421" s="14"/>
      <c r="X421" s="14"/>
      <c r="Y421" s="13"/>
      <c r="Z421" s="14"/>
    </row>
    <row r="422" spans="1:26" ht="14.25" customHeight="1" x14ac:dyDescent="0.25">
      <c r="A422" s="14"/>
      <c r="B422" s="14"/>
      <c r="C422" s="14"/>
      <c r="D422" s="14"/>
      <c r="E422" s="122"/>
      <c r="F422" s="14"/>
      <c r="G422" s="14"/>
      <c r="H422" s="14"/>
      <c r="I422" s="14"/>
      <c r="J422" s="14"/>
      <c r="K422" s="7"/>
      <c r="L422" s="14"/>
      <c r="M422" s="7"/>
      <c r="N422" s="14"/>
      <c r="O422" s="14"/>
      <c r="P422" s="7"/>
      <c r="Q422" s="21"/>
      <c r="R422" s="14"/>
      <c r="S422" s="14"/>
      <c r="T422" s="14"/>
      <c r="U422" s="14"/>
      <c r="V422" s="14"/>
      <c r="W422" s="14"/>
      <c r="X422" s="14"/>
      <c r="Y422" s="13"/>
      <c r="Z422" s="14"/>
    </row>
    <row r="423" spans="1:26" ht="14.25" customHeight="1" x14ac:dyDescent="0.25">
      <c r="A423" s="14"/>
      <c r="B423" s="14"/>
      <c r="C423" s="14"/>
      <c r="D423" s="14"/>
      <c r="E423" s="122"/>
      <c r="F423" s="14"/>
      <c r="G423" s="14"/>
      <c r="H423" s="14"/>
      <c r="I423" s="14"/>
      <c r="J423" s="14"/>
      <c r="K423" s="7"/>
      <c r="L423" s="14"/>
      <c r="M423" s="7"/>
      <c r="N423" s="14"/>
      <c r="O423" s="14"/>
      <c r="P423" s="7"/>
      <c r="Q423" s="21"/>
      <c r="R423" s="14"/>
      <c r="S423" s="14"/>
      <c r="T423" s="14"/>
      <c r="U423" s="14"/>
      <c r="V423" s="14"/>
      <c r="W423" s="14"/>
      <c r="X423" s="14"/>
      <c r="Y423" s="13"/>
      <c r="Z423" s="14"/>
    </row>
    <row r="424" spans="1:26" ht="14.25" customHeight="1" x14ac:dyDescent="0.25">
      <c r="A424" s="14"/>
      <c r="B424" s="14"/>
      <c r="C424" s="14"/>
      <c r="D424" s="14"/>
      <c r="E424" s="122"/>
      <c r="F424" s="14"/>
      <c r="G424" s="14"/>
      <c r="H424" s="14"/>
      <c r="I424" s="14"/>
      <c r="J424" s="14"/>
      <c r="K424" s="7"/>
      <c r="L424" s="14"/>
      <c r="M424" s="7"/>
      <c r="N424" s="14"/>
      <c r="O424" s="14"/>
      <c r="P424" s="7"/>
      <c r="Q424" s="21"/>
      <c r="R424" s="14"/>
      <c r="S424" s="14"/>
      <c r="T424" s="14"/>
      <c r="U424" s="14"/>
      <c r="V424" s="14"/>
      <c r="W424" s="14"/>
      <c r="X424" s="14"/>
      <c r="Y424" s="13"/>
      <c r="Z424" s="14"/>
    </row>
    <row r="425" spans="1:26" ht="14.25" customHeight="1" x14ac:dyDescent="0.25">
      <c r="A425" s="14"/>
      <c r="B425" s="14"/>
      <c r="C425" s="14"/>
      <c r="D425" s="14"/>
      <c r="E425" s="122"/>
      <c r="F425" s="14"/>
      <c r="G425" s="14"/>
      <c r="H425" s="14"/>
      <c r="I425" s="14"/>
      <c r="J425" s="14"/>
      <c r="K425" s="7"/>
      <c r="L425" s="14"/>
      <c r="M425" s="7"/>
      <c r="N425" s="14"/>
      <c r="O425" s="14"/>
      <c r="P425" s="7"/>
      <c r="Q425" s="21"/>
      <c r="R425" s="14"/>
      <c r="S425" s="14"/>
      <c r="T425" s="14"/>
      <c r="U425" s="14"/>
      <c r="V425" s="14"/>
      <c r="W425" s="14"/>
      <c r="X425" s="14"/>
      <c r="Y425" s="13"/>
      <c r="Z425" s="14"/>
    </row>
    <row r="426" spans="1:26" ht="14.25" customHeight="1" x14ac:dyDescent="0.25">
      <c r="A426" s="14"/>
      <c r="B426" s="14"/>
      <c r="C426" s="14"/>
      <c r="D426" s="14"/>
      <c r="E426" s="122"/>
      <c r="F426" s="14"/>
      <c r="G426" s="14"/>
      <c r="H426" s="14"/>
      <c r="I426" s="14"/>
      <c r="J426" s="14"/>
      <c r="K426" s="7"/>
      <c r="L426" s="14"/>
      <c r="M426" s="7"/>
      <c r="N426" s="14"/>
      <c r="O426" s="14"/>
      <c r="P426" s="7"/>
      <c r="Q426" s="21"/>
      <c r="R426" s="14"/>
      <c r="S426" s="14"/>
      <c r="T426" s="14"/>
      <c r="U426" s="14"/>
      <c r="V426" s="14"/>
      <c r="W426" s="14"/>
      <c r="X426" s="14"/>
      <c r="Y426" s="13"/>
      <c r="Z426" s="14"/>
    </row>
    <row r="427" spans="1:26" ht="14.25" customHeight="1" x14ac:dyDescent="0.25">
      <c r="A427" s="14"/>
      <c r="B427" s="14"/>
      <c r="C427" s="14"/>
      <c r="D427" s="14"/>
      <c r="E427" s="122"/>
      <c r="F427" s="14"/>
      <c r="G427" s="14"/>
      <c r="H427" s="14"/>
      <c r="I427" s="14"/>
      <c r="J427" s="14"/>
      <c r="K427" s="7"/>
      <c r="L427" s="14"/>
      <c r="M427" s="7"/>
      <c r="N427" s="14"/>
      <c r="O427" s="14"/>
      <c r="P427" s="7"/>
      <c r="Q427" s="21"/>
      <c r="R427" s="14"/>
      <c r="S427" s="14"/>
      <c r="T427" s="14"/>
      <c r="U427" s="14"/>
      <c r="V427" s="14"/>
      <c r="W427" s="14"/>
      <c r="X427" s="14"/>
      <c r="Y427" s="13"/>
      <c r="Z427" s="14"/>
    </row>
    <row r="428" spans="1:26" ht="14.25" customHeight="1" x14ac:dyDescent="0.25">
      <c r="A428" s="14"/>
      <c r="B428" s="14"/>
      <c r="C428" s="14"/>
      <c r="D428" s="14"/>
      <c r="E428" s="122"/>
      <c r="F428" s="14"/>
      <c r="G428" s="14"/>
      <c r="H428" s="14"/>
      <c r="I428" s="14"/>
      <c r="J428" s="14"/>
      <c r="K428" s="7"/>
      <c r="L428" s="14"/>
      <c r="M428" s="7"/>
      <c r="N428" s="14"/>
      <c r="O428" s="14"/>
      <c r="P428" s="7"/>
      <c r="Q428" s="21"/>
      <c r="R428" s="14"/>
      <c r="S428" s="14"/>
      <c r="T428" s="14"/>
      <c r="U428" s="14"/>
      <c r="V428" s="14"/>
      <c r="W428" s="14"/>
      <c r="X428" s="14"/>
      <c r="Y428" s="13"/>
      <c r="Z428" s="14"/>
    </row>
    <row r="429" spans="1:26" ht="14.25" customHeight="1" x14ac:dyDescent="0.25">
      <c r="A429" s="14"/>
      <c r="B429" s="14"/>
      <c r="C429" s="14"/>
      <c r="D429" s="14"/>
      <c r="E429" s="122"/>
      <c r="F429" s="14"/>
      <c r="G429" s="14"/>
      <c r="H429" s="14"/>
      <c r="I429" s="14"/>
      <c r="J429" s="14"/>
      <c r="K429" s="7"/>
      <c r="L429" s="14"/>
      <c r="M429" s="7"/>
      <c r="N429" s="14"/>
      <c r="O429" s="14"/>
      <c r="P429" s="7"/>
      <c r="Q429" s="21"/>
      <c r="R429" s="14"/>
      <c r="S429" s="14"/>
      <c r="T429" s="14"/>
      <c r="U429" s="14"/>
      <c r="V429" s="14"/>
      <c r="W429" s="14"/>
      <c r="X429" s="14"/>
      <c r="Y429" s="13"/>
      <c r="Z429" s="14"/>
    </row>
    <row r="430" spans="1:26" ht="14.25" customHeight="1" x14ac:dyDescent="0.25">
      <c r="A430" s="14"/>
      <c r="B430" s="14"/>
      <c r="C430" s="14"/>
      <c r="D430" s="14"/>
      <c r="E430" s="122"/>
      <c r="F430" s="14"/>
      <c r="G430" s="14"/>
      <c r="H430" s="14"/>
      <c r="I430" s="14"/>
      <c r="J430" s="14"/>
      <c r="K430" s="7"/>
      <c r="L430" s="14"/>
      <c r="M430" s="7"/>
      <c r="N430" s="14"/>
      <c r="O430" s="14"/>
      <c r="P430" s="7"/>
      <c r="Q430" s="21"/>
      <c r="R430" s="14"/>
      <c r="S430" s="14"/>
      <c r="T430" s="14"/>
      <c r="U430" s="14"/>
      <c r="V430" s="14"/>
      <c r="W430" s="14"/>
      <c r="X430" s="14"/>
      <c r="Y430" s="13"/>
      <c r="Z430" s="14"/>
    </row>
    <row r="431" spans="1:26" ht="14.25" customHeight="1" x14ac:dyDescent="0.25">
      <c r="A431" s="14"/>
      <c r="B431" s="14"/>
      <c r="C431" s="14"/>
      <c r="D431" s="14"/>
      <c r="E431" s="122"/>
      <c r="F431" s="14"/>
      <c r="G431" s="14"/>
      <c r="H431" s="14"/>
      <c r="I431" s="14"/>
      <c r="J431" s="14"/>
      <c r="K431" s="7"/>
      <c r="L431" s="14"/>
      <c r="M431" s="7"/>
      <c r="N431" s="14"/>
      <c r="O431" s="14"/>
      <c r="P431" s="7"/>
      <c r="Q431" s="21"/>
      <c r="R431" s="14"/>
      <c r="S431" s="14"/>
      <c r="T431" s="14"/>
      <c r="U431" s="14"/>
      <c r="V431" s="14"/>
      <c r="W431" s="14"/>
      <c r="X431" s="14"/>
      <c r="Y431" s="13"/>
      <c r="Z431" s="14"/>
    </row>
    <row r="432" spans="1:26" ht="14.25" customHeight="1" x14ac:dyDescent="0.25">
      <c r="A432" s="14"/>
      <c r="B432" s="14"/>
      <c r="C432" s="14"/>
      <c r="D432" s="14"/>
      <c r="E432" s="122"/>
      <c r="F432" s="14"/>
      <c r="G432" s="14"/>
      <c r="H432" s="14"/>
      <c r="I432" s="14"/>
      <c r="J432" s="14"/>
      <c r="K432" s="7"/>
      <c r="L432" s="14"/>
      <c r="M432" s="7"/>
      <c r="N432" s="14"/>
      <c r="O432" s="14"/>
      <c r="P432" s="7"/>
      <c r="Q432" s="21"/>
      <c r="R432" s="14"/>
      <c r="S432" s="14"/>
      <c r="T432" s="14"/>
      <c r="U432" s="14"/>
      <c r="V432" s="14"/>
      <c r="W432" s="14"/>
      <c r="X432" s="14"/>
      <c r="Y432" s="13"/>
      <c r="Z432" s="14"/>
    </row>
    <row r="433" spans="1:26" ht="14.25" customHeight="1" x14ac:dyDescent="0.25">
      <c r="A433" s="14"/>
      <c r="B433" s="14"/>
      <c r="C433" s="14"/>
      <c r="D433" s="14"/>
      <c r="E433" s="122"/>
      <c r="F433" s="14"/>
      <c r="G433" s="14"/>
      <c r="H433" s="14"/>
      <c r="I433" s="14"/>
      <c r="J433" s="14"/>
      <c r="K433" s="7"/>
      <c r="L433" s="14"/>
      <c r="M433" s="7"/>
      <c r="N433" s="14"/>
      <c r="O433" s="14"/>
      <c r="P433" s="7"/>
      <c r="Q433" s="21"/>
      <c r="R433" s="14"/>
      <c r="S433" s="14"/>
      <c r="T433" s="14"/>
      <c r="U433" s="14"/>
      <c r="V433" s="14"/>
      <c r="W433" s="14"/>
      <c r="X433" s="14"/>
      <c r="Y433" s="13"/>
      <c r="Z433" s="14"/>
    </row>
    <row r="434" spans="1:26" ht="14.25" customHeight="1" x14ac:dyDescent="0.25">
      <c r="A434" s="14"/>
      <c r="B434" s="14"/>
      <c r="C434" s="14"/>
      <c r="D434" s="14"/>
      <c r="E434" s="122"/>
      <c r="F434" s="14"/>
      <c r="G434" s="14"/>
      <c r="H434" s="14"/>
      <c r="I434" s="14"/>
      <c r="J434" s="14"/>
      <c r="K434" s="7"/>
      <c r="L434" s="14"/>
      <c r="M434" s="7"/>
      <c r="N434" s="14"/>
      <c r="O434" s="14"/>
      <c r="P434" s="7"/>
      <c r="Q434" s="21"/>
      <c r="R434" s="14"/>
      <c r="S434" s="14"/>
      <c r="T434" s="14"/>
      <c r="U434" s="14"/>
      <c r="V434" s="14"/>
      <c r="W434" s="14"/>
      <c r="X434" s="14"/>
      <c r="Y434" s="13"/>
      <c r="Z434" s="14"/>
    </row>
    <row r="435" spans="1:26" ht="14.25" customHeight="1" x14ac:dyDescent="0.25">
      <c r="A435" s="14"/>
      <c r="B435" s="14"/>
      <c r="C435" s="14"/>
      <c r="D435" s="14"/>
      <c r="E435" s="122"/>
      <c r="F435" s="14"/>
      <c r="G435" s="14"/>
      <c r="H435" s="14"/>
      <c r="I435" s="14"/>
      <c r="J435" s="14"/>
      <c r="K435" s="7"/>
      <c r="L435" s="14"/>
      <c r="M435" s="7"/>
      <c r="N435" s="14"/>
      <c r="O435" s="14"/>
      <c r="P435" s="7"/>
      <c r="Q435" s="21"/>
      <c r="R435" s="14"/>
      <c r="S435" s="14"/>
      <c r="T435" s="14"/>
      <c r="U435" s="14"/>
      <c r="V435" s="14"/>
      <c r="W435" s="14"/>
      <c r="X435" s="14"/>
      <c r="Y435" s="13"/>
      <c r="Z435" s="14"/>
    </row>
    <row r="436" spans="1:26" ht="14.25" customHeight="1" x14ac:dyDescent="0.25">
      <c r="A436" s="14"/>
      <c r="B436" s="14"/>
      <c r="C436" s="14"/>
      <c r="D436" s="14"/>
      <c r="E436" s="122"/>
      <c r="F436" s="14"/>
      <c r="G436" s="14"/>
      <c r="H436" s="14"/>
      <c r="I436" s="14"/>
      <c r="J436" s="14"/>
      <c r="K436" s="7"/>
      <c r="L436" s="14"/>
      <c r="M436" s="7"/>
      <c r="N436" s="14"/>
      <c r="O436" s="14"/>
      <c r="P436" s="7"/>
      <c r="Q436" s="21"/>
      <c r="R436" s="14"/>
      <c r="S436" s="14"/>
      <c r="T436" s="14"/>
      <c r="U436" s="14"/>
      <c r="V436" s="14"/>
      <c r="W436" s="14"/>
      <c r="X436" s="14"/>
      <c r="Y436" s="13"/>
      <c r="Z436" s="14"/>
    </row>
    <row r="437" spans="1:26" ht="14.25" customHeight="1" x14ac:dyDescent="0.25">
      <c r="A437" s="14"/>
      <c r="B437" s="14"/>
      <c r="C437" s="14"/>
      <c r="D437" s="14"/>
      <c r="E437" s="122"/>
      <c r="F437" s="14"/>
      <c r="G437" s="14"/>
      <c r="H437" s="14"/>
      <c r="I437" s="14"/>
      <c r="J437" s="14"/>
      <c r="K437" s="7"/>
      <c r="L437" s="14"/>
      <c r="M437" s="7"/>
      <c r="N437" s="14"/>
      <c r="O437" s="14"/>
      <c r="P437" s="7"/>
      <c r="Q437" s="21"/>
      <c r="R437" s="14"/>
      <c r="S437" s="14"/>
      <c r="T437" s="14"/>
      <c r="U437" s="14"/>
      <c r="V437" s="14"/>
      <c r="W437" s="14"/>
      <c r="X437" s="14"/>
      <c r="Y437" s="13"/>
      <c r="Z437" s="14"/>
    </row>
    <row r="438" spans="1:26" ht="14.25" customHeight="1" x14ac:dyDescent="0.25">
      <c r="A438" s="14"/>
      <c r="B438" s="14"/>
      <c r="C438" s="14"/>
      <c r="D438" s="14"/>
      <c r="E438" s="122"/>
      <c r="F438" s="14"/>
      <c r="G438" s="14"/>
      <c r="H438" s="14"/>
      <c r="I438" s="14"/>
      <c r="J438" s="14"/>
      <c r="K438" s="7"/>
      <c r="L438" s="14"/>
      <c r="M438" s="7"/>
      <c r="N438" s="14"/>
      <c r="O438" s="14"/>
      <c r="P438" s="7"/>
      <c r="Q438" s="21"/>
      <c r="R438" s="14"/>
      <c r="S438" s="14"/>
      <c r="T438" s="14"/>
      <c r="U438" s="14"/>
      <c r="V438" s="14"/>
      <c r="W438" s="14"/>
      <c r="X438" s="14"/>
      <c r="Y438" s="13"/>
      <c r="Z438" s="14"/>
    </row>
    <row r="439" spans="1:26" ht="14.25" customHeight="1" x14ac:dyDescent="0.25">
      <c r="A439" s="14"/>
      <c r="B439" s="14"/>
      <c r="C439" s="14"/>
      <c r="D439" s="14"/>
      <c r="E439" s="122"/>
      <c r="F439" s="14"/>
      <c r="G439" s="14"/>
      <c r="H439" s="14"/>
      <c r="I439" s="14"/>
      <c r="J439" s="14"/>
      <c r="K439" s="7"/>
      <c r="L439" s="14"/>
      <c r="M439" s="7"/>
      <c r="N439" s="14"/>
      <c r="O439" s="14"/>
      <c r="P439" s="7"/>
      <c r="Q439" s="21"/>
      <c r="R439" s="14"/>
      <c r="S439" s="14"/>
      <c r="T439" s="14"/>
      <c r="U439" s="14"/>
      <c r="V439" s="14"/>
      <c r="W439" s="14"/>
      <c r="X439" s="14"/>
      <c r="Y439" s="13"/>
      <c r="Z439" s="14"/>
    </row>
    <row r="440" spans="1:26" ht="14.25" customHeight="1" x14ac:dyDescent="0.25">
      <c r="A440" s="14"/>
      <c r="B440" s="14"/>
      <c r="C440" s="14"/>
      <c r="D440" s="14"/>
      <c r="E440" s="122"/>
      <c r="F440" s="14"/>
      <c r="G440" s="14"/>
      <c r="H440" s="14"/>
      <c r="I440" s="14"/>
      <c r="J440" s="14"/>
      <c r="K440" s="7"/>
      <c r="L440" s="14"/>
      <c r="M440" s="7"/>
      <c r="N440" s="14"/>
      <c r="O440" s="14"/>
      <c r="P440" s="7"/>
      <c r="Q440" s="21"/>
      <c r="R440" s="14"/>
      <c r="S440" s="14"/>
      <c r="T440" s="14"/>
      <c r="U440" s="14"/>
      <c r="V440" s="14"/>
      <c r="W440" s="14"/>
      <c r="X440" s="14"/>
      <c r="Y440" s="13"/>
      <c r="Z440" s="14"/>
    </row>
    <row r="441" spans="1:26" ht="14.25" customHeight="1" x14ac:dyDescent="0.25">
      <c r="A441" s="14"/>
      <c r="B441" s="14"/>
      <c r="C441" s="14"/>
      <c r="D441" s="14"/>
      <c r="E441" s="122"/>
      <c r="F441" s="14"/>
      <c r="G441" s="14"/>
      <c r="H441" s="14"/>
      <c r="I441" s="14"/>
      <c r="J441" s="14"/>
      <c r="K441" s="7"/>
      <c r="L441" s="14"/>
      <c r="M441" s="7"/>
      <c r="N441" s="14"/>
      <c r="O441" s="14"/>
      <c r="P441" s="7"/>
      <c r="Q441" s="21"/>
      <c r="R441" s="14"/>
      <c r="S441" s="14"/>
      <c r="T441" s="14"/>
      <c r="U441" s="14"/>
      <c r="V441" s="14"/>
      <c r="W441" s="14"/>
      <c r="X441" s="14"/>
      <c r="Y441" s="13"/>
      <c r="Z441" s="14"/>
    </row>
    <row r="442" spans="1:26" ht="14.25" customHeight="1" x14ac:dyDescent="0.25">
      <c r="A442" s="14"/>
      <c r="B442" s="14"/>
      <c r="C442" s="14"/>
      <c r="D442" s="14"/>
      <c r="E442" s="122"/>
      <c r="F442" s="14"/>
      <c r="G442" s="14"/>
      <c r="H442" s="14"/>
      <c r="I442" s="14"/>
      <c r="J442" s="14"/>
      <c r="K442" s="7"/>
      <c r="L442" s="14"/>
      <c r="M442" s="7"/>
      <c r="N442" s="14"/>
      <c r="O442" s="14"/>
      <c r="P442" s="7"/>
      <c r="Q442" s="21"/>
      <c r="R442" s="14"/>
      <c r="S442" s="14"/>
      <c r="T442" s="14"/>
      <c r="U442" s="14"/>
      <c r="V442" s="14"/>
      <c r="W442" s="14"/>
      <c r="X442" s="14"/>
      <c r="Y442" s="13"/>
      <c r="Z442" s="14"/>
    </row>
    <row r="443" spans="1:26" ht="14.25" customHeight="1" x14ac:dyDescent="0.25">
      <c r="A443" s="14"/>
      <c r="B443" s="14"/>
      <c r="C443" s="14"/>
      <c r="D443" s="14"/>
      <c r="E443" s="122"/>
      <c r="F443" s="14"/>
      <c r="G443" s="14"/>
      <c r="H443" s="14"/>
      <c r="I443" s="14"/>
      <c r="J443" s="14"/>
      <c r="K443" s="7"/>
      <c r="L443" s="14"/>
      <c r="M443" s="7"/>
      <c r="N443" s="14"/>
      <c r="O443" s="14"/>
      <c r="P443" s="7"/>
      <c r="Q443" s="21"/>
      <c r="R443" s="14"/>
      <c r="S443" s="14"/>
      <c r="T443" s="14"/>
      <c r="U443" s="14"/>
      <c r="V443" s="14"/>
      <c r="W443" s="14"/>
      <c r="X443" s="14"/>
      <c r="Y443" s="13"/>
      <c r="Z443" s="14"/>
    </row>
    <row r="444" spans="1:26" ht="14.25" customHeight="1" x14ac:dyDescent="0.25">
      <c r="A444" s="14"/>
      <c r="B444" s="14"/>
      <c r="C444" s="14"/>
      <c r="D444" s="14"/>
      <c r="E444" s="122"/>
      <c r="F444" s="14"/>
      <c r="G444" s="14"/>
      <c r="H444" s="14"/>
      <c r="I444" s="14"/>
      <c r="J444" s="14"/>
      <c r="K444" s="7"/>
      <c r="L444" s="14"/>
      <c r="M444" s="7"/>
      <c r="N444" s="14"/>
      <c r="O444" s="14"/>
      <c r="P444" s="7"/>
      <c r="Q444" s="21"/>
      <c r="R444" s="14"/>
      <c r="S444" s="14"/>
      <c r="T444" s="14"/>
      <c r="U444" s="14"/>
      <c r="V444" s="14"/>
      <c r="W444" s="14"/>
      <c r="X444" s="14"/>
      <c r="Y444" s="13"/>
      <c r="Z444" s="14"/>
    </row>
    <row r="445" spans="1:26" ht="14.25" customHeight="1" x14ac:dyDescent="0.25">
      <c r="A445" s="14"/>
      <c r="B445" s="14"/>
      <c r="C445" s="14"/>
      <c r="D445" s="14"/>
      <c r="E445" s="122"/>
      <c r="F445" s="14"/>
      <c r="G445" s="14"/>
      <c r="H445" s="14"/>
      <c r="I445" s="14"/>
      <c r="J445" s="14"/>
      <c r="K445" s="7"/>
      <c r="L445" s="14"/>
      <c r="M445" s="7"/>
      <c r="N445" s="14"/>
      <c r="O445" s="14"/>
      <c r="P445" s="7"/>
      <c r="Q445" s="21"/>
      <c r="R445" s="14"/>
      <c r="S445" s="14"/>
      <c r="T445" s="14"/>
      <c r="U445" s="14"/>
      <c r="V445" s="14"/>
      <c r="W445" s="14"/>
      <c r="X445" s="14"/>
      <c r="Y445" s="13"/>
      <c r="Z445" s="14"/>
    </row>
    <row r="446" spans="1:26" ht="14.25" customHeight="1" x14ac:dyDescent="0.25">
      <c r="A446" s="14"/>
      <c r="B446" s="14"/>
      <c r="C446" s="14"/>
      <c r="D446" s="14"/>
      <c r="E446" s="122"/>
      <c r="F446" s="14"/>
      <c r="G446" s="14"/>
      <c r="H446" s="14"/>
      <c r="I446" s="14"/>
      <c r="J446" s="14"/>
      <c r="K446" s="7"/>
      <c r="L446" s="14"/>
      <c r="M446" s="7"/>
      <c r="N446" s="14"/>
      <c r="O446" s="14"/>
      <c r="P446" s="7"/>
      <c r="Q446" s="21"/>
      <c r="R446" s="14"/>
      <c r="S446" s="14"/>
      <c r="T446" s="14"/>
      <c r="U446" s="14"/>
      <c r="V446" s="14"/>
      <c r="W446" s="14"/>
      <c r="X446" s="14"/>
      <c r="Y446" s="13"/>
      <c r="Z446" s="14"/>
    </row>
    <row r="447" spans="1:26" ht="14.25" customHeight="1" x14ac:dyDescent="0.25">
      <c r="A447" s="14"/>
      <c r="B447" s="14"/>
      <c r="C447" s="14"/>
      <c r="D447" s="14"/>
      <c r="E447" s="122"/>
      <c r="F447" s="14"/>
      <c r="G447" s="14"/>
      <c r="H447" s="14"/>
      <c r="I447" s="14"/>
      <c r="J447" s="14"/>
      <c r="K447" s="7"/>
      <c r="L447" s="14"/>
      <c r="M447" s="7"/>
      <c r="N447" s="14"/>
      <c r="O447" s="14"/>
      <c r="P447" s="7"/>
      <c r="Q447" s="21"/>
      <c r="R447" s="14"/>
      <c r="S447" s="14"/>
      <c r="T447" s="14"/>
      <c r="U447" s="14"/>
      <c r="V447" s="14"/>
      <c r="W447" s="14"/>
      <c r="X447" s="14"/>
      <c r="Y447" s="13"/>
      <c r="Z447" s="14"/>
    </row>
    <row r="448" spans="1:26" ht="14.25" customHeight="1" x14ac:dyDescent="0.25">
      <c r="A448" s="14"/>
      <c r="B448" s="14"/>
      <c r="C448" s="14"/>
      <c r="D448" s="14"/>
      <c r="E448" s="122"/>
      <c r="F448" s="14"/>
      <c r="G448" s="14"/>
      <c r="H448" s="14"/>
      <c r="I448" s="14"/>
      <c r="J448" s="14"/>
      <c r="K448" s="7"/>
      <c r="L448" s="14"/>
      <c r="M448" s="7"/>
      <c r="N448" s="14"/>
      <c r="O448" s="14"/>
      <c r="P448" s="7"/>
      <c r="Q448" s="21"/>
      <c r="R448" s="14"/>
      <c r="S448" s="14"/>
      <c r="T448" s="14"/>
      <c r="U448" s="14"/>
      <c r="V448" s="14"/>
      <c r="W448" s="14"/>
      <c r="X448" s="14"/>
      <c r="Y448" s="13"/>
      <c r="Z448" s="14"/>
    </row>
    <row r="449" spans="1:26" ht="14.25" customHeight="1" x14ac:dyDescent="0.25">
      <c r="A449" s="14"/>
      <c r="B449" s="14"/>
      <c r="C449" s="14"/>
      <c r="D449" s="14"/>
      <c r="E449" s="122"/>
      <c r="F449" s="14"/>
      <c r="G449" s="14"/>
      <c r="H449" s="14"/>
      <c r="I449" s="14"/>
      <c r="J449" s="14"/>
      <c r="K449" s="7"/>
      <c r="L449" s="14"/>
      <c r="M449" s="7"/>
      <c r="N449" s="14"/>
      <c r="O449" s="14"/>
      <c r="P449" s="7"/>
      <c r="Q449" s="21"/>
      <c r="R449" s="14"/>
      <c r="S449" s="14"/>
      <c r="T449" s="14"/>
      <c r="U449" s="14"/>
      <c r="V449" s="14"/>
      <c r="W449" s="14"/>
      <c r="X449" s="14"/>
      <c r="Y449" s="13"/>
      <c r="Z449" s="14"/>
    </row>
    <row r="450" spans="1:26" ht="14.25" customHeight="1" x14ac:dyDescent="0.25">
      <c r="A450" s="14"/>
      <c r="B450" s="14"/>
      <c r="C450" s="14"/>
      <c r="D450" s="14"/>
      <c r="E450" s="122"/>
      <c r="F450" s="14"/>
      <c r="G450" s="14"/>
      <c r="H450" s="14"/>
      <c r="I450" s="14"/>
      <c r="J450" s="14"/>
      <c r="K450" s="7"/>
      <c r="L450" s="14"/>
      <c r="M450" s="7"/>
      <c r="N450" s="14"/>
      <c r="O450" s="14"/>
      <c r="P450" s="7"/>
      <c r="Q450" s="21"/>
      <c r="R450" s="14"/>
      <c r="S450" s="14"/>
      <c r="T450" s="14"/>
      <c r="U450" s="14"/>
      <c r="V450" s="14"/>
      <c r="W450" s="14"/>
      <c r="X450" s="14"/>
      <c r="Y450" s="13"/>
      <c r="Z450" s="14"/>
    </row>
    <row r="451" spans="1:26" ht="14.25" customHeight="1" x14ac:dyDescent="0.25">
      <c r="A451" s="14"/>
      <c r="B451" s="14"/>
      <c r="C451" s="14"/>
      <c r="D451" s="14"/>
      <c r="E451" s="122"/>
      <c r="F451" s="14"/>
      <c r="G451" s="14"/>
      <c r="H451" s="14"/>
      <c r="I451" s="14"/>
      <c r="J451" s="14"/>
      <c r="K451" s="7"/>
      <c r="L451" s="14"/>
      <c r="M451" s="7"/>
      <c r="N451" s="14"/>
      <c r="O451" s="14"/>
      <c r="P451" s="7"/>
      <c r="Q451" s="21"/>
      <c r="R451" s="14"/>
      <c r="S451" s="14"/>
      <c r="T451" s="14"/>
      <c r="U451" s="14"/>
      <c r="V451" s="14"/>
      <c r="W451" s="14"/>
      <c r="X451" s="14"/>
      <c r="Y451" s="13"/>
      <c r="Z451" s="14"/>
    </row>
    <row r="452" spans="1:26" ht="14.25" customHeight="1" x14ac:dyDescent="0.25">
      <c r="A452" s="14"/>
      <c r="B452" s="14"/>
      <c r="C452" s="14"/>
      <c r="D452" s="14"/>
      <c r="E452" s="122"/>
      <c r="F452" s="14"/>
      <c r="G452" s="14"/>
      <c r="H452" s="14"/>
      <c r="I452" s="14"/>
      <c r="J452" s="14"/>
      <c r="K452" s="7"/>
      <c r="L452" s="14"/>
      <c r="M452" s="7"/>
      <c r="N452" s="14"/>
      <c r="O452" s="14"/>
      <c r="P452" s="7"/>
      <c r="Q452" s="21"/>
      <c r="R452" s="14"/>
      <c r="S452" s="14"/>
      <c r="T452" s="14"/>
      <c r="U452" s="14"/>
      <c r="V452" s="14"/>
      <c r="W452" s="14"/>
      <c r="X452" s="14"/>
      <c r="Y452" s="13"/>
      <c r="Z452" s="14"/>
    </row>
    <row r="453" spans="1:26" ht="14.25" customHeight="1" x14ac:dyDescent="0.25">
      <c r="A453" s="14"/>
      <c r="B453" s="14"/>
      <c r="C453" s="14"/>
      <c r="D453" s="14"/>
      <c r="E453" s="122"/>
      <c r="F453" s="14"/>
      <c r="G453" s="14"/>
      <c r="H453" s="14"/>
      <c r="I453" s="14"/>
      <c r="J453" s="14"/>
      <c r="K453" s="7"/>
      <c r="L453" s="14"/>
      <c r="M453" s="7"/>
      <c r="N453" s="14"/>
      <c r="O453" s="14"/>
      <c r="P453" s="7"/>
      <c r="Q453" s="21"/>
      <c r="R453" s="14"/>
      <c r="S453" s="14"/>
      <c r="T453" s="14"/>
      <c r="U453" s="14"/>
      <c r="V453" s="14"/>
      <c r="W453" s="14"/>
      <c r="X453" s="14"/>
      <c r="Y453" s="13"/>
      <c r="Z453" s="14"/>
    </row>
    <row r="454" spans="1:26" ht="14.25" customHeight="1" x14ac:dyDescent="0.25">
      <c r="A454" s="14"/>
      <c r="B454" s="14"/>
      <c r="C454" s="14"/>
      <c r="D454" s="14"/>
      <c r="E454" s="122"/>
      <c r="F454" s="14"/>
      <c r="G454" s="14"/>
      <c r="H454" s="14"/>
      <c r="I454" s="14"/>
      <c r="J454" s="14"/>
      <c r="K454" s="7"/>
      <c r="L454" s="14"/>
      <c r="M454" s="7"/>
      <c r="N454" s="14"/>
      <c r="O454" s="14"/>
      <c r="P454" s="7"/>
      <c r="Q454" s="21"/>
      <c r="R454" s="14"/>
      <c r="S454" s="14"/>
      <c r="T454" s="14"/>
      <c r="U454" s="14"/>
      <c r="V454" s="14"/>
      <c r="W454" s="14"/>
      <c r="X454" s="14"/>
      <c r="Y454" s="13"/>
      <c r="Z454" s="14"/>
    </row>
    <row r="455" spans="1:26" ht="14.25" customHeight="1" x14ac:dyDescent="0.25">
      <c r="A455" s="14"/>
      <c r="B455" s="14"/>
      <c r="C455" s="14"/>
      <c r="D455" s="14"/>
      <c r="E455" s="122"/>
      <c r="F455" s="14"/>
      <c r="G455" s="14"/>
      <c r="H455" s="14"/>
      <c r="I455" s="14"/>
      <c r="J455" s="14"/>
      <c r="K455" s="7"/>
      <c r="L455" s="14"/>
      <c r="M455" s="7"/>
      <c r="N455" s="14"/>
      <c r="O455" s="14"/>
      <c r="P455" s="7"/>
      <c r="Q455" s="21"/>
      <c r="R455" s="14"/>
      <c r="S455" s="14"/>
      <c r="T455" s="14"/>
      <c r="U455" s="14"/>
      <c r="V455" s="14"/>
      <c r="W455" s="14"/>
      <c r="X455" s="14"/>
      <c r="Y455" s="13"/>
      <c r="Z455" s="14"/>
    </row>
    <row r="456" spans="1:26" ht="14.25" customHeight="1" x14ac:dyDescent="0.25">
      <c r="A456" s="14"/>
      <c r="B456" s="14"/>
      <c r="C456" s="14"/>
      <c r="D456" s="14"/>
      <c r="E456" s="122"/>
      <c r="F456" s="14"/>
      <c r="G456" s="14"/>
      <c r="H456" s="14"/>
      <c r="I456" s="14"/>
      <c r="J456" s="14"/>
      <c r="K456" s="7"/>
      <c r="L456" s="14"/>
      <c r="M456" s="7"/>
      <c r="N456" s="14"/>
      <c r="O456" s="14"/>
      <c r="P456" s="7"/>
      <c r="Q456" s="21"/>
      <c r="R456" s="14"/>
      <c r="S456" s="14"/>
      <c r="T456" s="14"/>
      <c r="U456" s="14"/>
      <c r="V456" s="14"/>
      <c r="W456" s="14"/>
      <c r="X456" s="14"/>
      <c r="Y456" s="13"/>
      <c r="Z456" s="14"/>
    </row>
    <row r="457" spans="1:26" ht="14.25" customHeight="1" x14ac:dyDescent="0.25">
      <c r="A457" s="14"/>
      <c r="B457" s="14"/>
      <c r="C457" s="14"/>
      <c r="D457" s="14"/>
      <c r="E457" s="122"/>
      <c r="F457" s="14"/>
      <c r="G457" s="14"/>
      <c r="H457" s="14"/>
      <c r="I457" s="14"/>
      <c r="J457" s="14"/>
      <c r="K457" s="7"/>
      <c r="L457" s="14"/>
      <c r="M457" s="7"/>
      <c r="N457" s="14"/>
      <c r="O457" s="14"/>
      <c r="P457" s="7"/>
      <c r="Q457" s="21"/>
      <c r="R457" s="14"/>
      <c r="S457" s="14"/>
      <c r="T457" s="14"/>
      <c r="U457" s="14"/>
      <c r="V457" s="14"/>
      <c r="W457" s="14"/>
      <c r="X457" s="14"/>
      <c r="Y457" s="13"/>
      <c r="Z457" s="14"/>
    </row>
    <row r="458" spans="1:26" ht="14.25" customHeight="1" x14ac:dyDescent="0.25">
      <c r="A458" s="14"/>
      <c r="B458" s="14"/>
      <c r="C458" s="14"/>
      <c r="D458" s="14"/>
      <c r="E458" s="122"/>
      <c r="F458" s="14"/>
      <c r="G458" s="14"/>
      <c r="H458" s="14"/>
      <c r="I458" s="14"/>
      <c r="J458" s="14"/>
      <c r="K458" s="7"/>
      <c r="L458" s="14"/>
      <c r="M458" s="7"/>
      <c r="N458" s="14"/>
      <c r="O458" s="14"/>
      <c r="P458" s="7"/>
      <c r="Q458" s="21"/>
      <c r="R458" s="14"/>
      <c r="S458" s="14"/>
      <c r="T458" s="14"/>
      <c r="U458" s="14"/>
      <c r="V458" s="14"/>
      <c r="W458" s="14"/>
      <c r="X458" s="14"/>
      <c r="Y458" s="13"/>
      <c r="Z458" s="14"/>
    </row>
    <row r="459" spans="1:26" ht="14.25" customHeight="1" x14ac:dyDescent="0.25">
      <c r="A459" s="14"/>
      <c r="B459" s="14"/>
      <c r="C459" s="14"/>
      <c r="D459" s="14"/>
      <c r="E459" s="122"/>
      <c r="F459" s="14"/>
      <c r="G459" s="14"/>
      <c r="H459" s="14"/>
      <c r="I459" s="14"/>
      <c r="J459" s="14"/>
      <c r="K459" s="7"/>
      <c r="L459" s="14"/>
      <c r="M459" s="7"/>
      <c r="N459" s="14"/>
      <c r="O459" s="14"/>
      <c r="P459" s="7"/>
      <c r="Q459" s="21"/>
      <c r="R459" s="14"/>
      <c r="S459" s="14"/>
      <c r="T459" s="14"/>
      <c r="U459" s="14"/>
      <c r="V459" s="14"/>
      <c r="W459" s="14"/>
      <c r="X459" s="14"/>
      <c r="Y459" s="13"/>
      <c r="Z459" s="14"/>
    </row>
    <row r="460" spans="1:26" ht="14.25" customHeight="1" x14ac:dyDescent="0.25">
      <c r="A460" s="14"/>
      <c r="B460" s="14"/>
      <c r="C460" s="14"/>
      <c r="D460" s="14"/>
      <c r="E460" s="122"/>
      <c r="F460" s="14"/>
      <c r="G460" s="14"/>
      <c r="H460" s="14"/>
      <c r="I460" s="14"/>
      <c r="J460" s="14"/>
      <c r="K460" s="7"/>
      <c r="L460" s="14"/>
      <c r="M460" s="7"/>
      <c r="N460" s="14"/>
      <c r="O460" s="14"/>
      <c r="P460" s="7"/>
      <c r="Q460" s="21"/>
      <c r="R460" s="14"/>
      <c r="S460" s="14"/>
      <c r="T460" s="14"/>
      <c r="U460" s="14"/>
      <c r="V460" s="14"/>
      <c r="W460" s="14"/>
      <c r="X460" s="14"/>
      <c r="Y460" s="13"/>
      <c r="Z460" s="14"/>
    </row>
    <row r="461" spans="1:26" ht="14.25" customHeight="1" x14ac:dyDescent="0.25">
      <c r="A461" s="14"/>
      <c r="B461" s="14"/>
      <c r="C461" s="14"/>
      <c r="D461" s="14"/>
      <c r="E461" s="122"/>
      <c r="F461" s="14"/>
      <c r="G461" s="14"/>
      <c r="H461" s="14"/>
      <c r="I461" s="14"/>
      <c r="J461" s="14"/>
      <c r="K461" s="7"/>
      <c r="L461" s="14"/>
      <c r="M461" s="7"/>
      <c r="N461" s="14"/>
      <c r="O461" s="14"/>
      <c r="P461" s="7"/>
      <c r="Q461" s="21"/>
      <c r="R461" s="14"/>
      <c r="S461" s="14"/>
      <c r="T461" s="14"/>
      <c r="U461" s="14"/>
      <c r="V461" s="14"/>
      <c r="W461" s="14"/>
      <c r="X461" s="14"/>
      <c r="Y461" s="13"/>
      <c r="Z461" s="14"/>
    </row>
    <row r="462" spans="1:26" ht="14.25" customHeight="1" x14ac:dyDescent="0.25">
      <c r="A462" s="14"/>
      <c r="B462" s="14"/>
      <c r="C462" s="14"/>
      <c r="D462" s="14"/>
      <c r="E462" s="122"/>
      <c r="F462" s="14"/>
      <c r="G462" s="14"/>
      <c r="H462" s="14"/>
      <c r="I462" s="14"/>
      <c r="J462" s="14"/>
      <c r="K462" s="7"/>
      <c r="L462" s="14"/>
      <c r="M462" s="7"/>
      <c r="N462" s="14"/>
      <c r="O462" s="14"/>
      <c r="P462" s="7"/>
      <c r="Q462" s="21"/>
      <c r="R462" s="14"/>
      <c r="S462" s="14"/>
      <c r="T462" s="14"/>
      <c r="U462" s="14"/>
      <c r="V462" s="14"/>
      <c r="W462" s="14"/>
      <c r="X462" s="14"/>
      <c r="Y462" s="13"/>
      <c r="Z462" s="14"/>
    </row>
    <row r="463" spans="1:26" ht="14.25" customHeight="1" x14ac:dyDescent="0.25">
      <c r="A463" s="14"/>
      <c r="B463" s="14"/>
      <c r="C463" s="14"/>
      <c r="D463" s="14"/>
      <c r="E463" s="122"/>
      <c r="F463" s="14"/>
      <c r="G463" s="14"/>
      <c r="H463" s="14"/>
      <c r="I463" s="14"/>
      <c r="J463" s="14"/>
      <c r="K463" s="7"/>
      <c r="L463" s="14"/>
      <c r="M463" s="7"/>
      <c r="N463" s="14"/>
      <c r="O463" s="14"/>
      <c r="P463" s="7"/>
      <c r="Q463" s="21"/>
      <c r="R463" s="14"/>
      <c r="S463" s="14"/>
      <c r="T463" s="14"/>
      <c r="U463" s="14"/>
      <c r="V463" s="14"/>
      <c r="W463" s="14"/>
      <c r="X463" s="14"/>
      <c r="Y463" s="13"/>
      <c r="Z463" s="14"/>
    </row>
    <row r="464" spans="1:26" ht="14.25" customHeight="1" x14ac:dyDescent="0.25">
      <c r="A464" s="14"/>
      <c r="B464" s="14"/>
      <c r="C464" s="14"/>
      <c r="D464" s="14"/>
      <c r="E464" s="122"/>
      <c r="F464" s="14"/>
      <c r="G464" s="14"/>
      <c r="H464" s="14"/>
      <c r="I464" s="14"/>
      <c r="J464" s="14"/>
      <c r="K464" s="7"/>
      <c r="L464" s="14"/>
      <c r="M464" s="7"/>
      <c r="N464" s="14"/>
      <c r="O464" s="14"/>
      <c r="P464" s="7"/>
      <c r="Q464" s="21"/>
      <c r="R464" s="14"/>
      <c r="S464" s="14"/>
      <c r="T464" s="14"/>
      <c r="U464" s="14"/>
      <c r="V464" s="14"/>
      <c r="W464" s="14"/>
      <c r="X464" s="14"/>
      <c r="Y464" s="13"/>
      <c r="Z464" s="14"/>
    </row>
    <row r="465" spans="1:26" ht="14.25" customHeight="1" x14ac:dyDescent="0.25">
      <c r="A465" s="14"/>
      <c r="B465" s="14"/>
      <c r="C465" s="14"/>
      <c r="D465" s="14"/>
      <c r="E465" s="122"/>
      <c r="F465" s="14"/>
      <c r="G465" s="14"/>
      <c r="H465" s="14"/>
      <c r="I465" s="14"/>
      <c r="J465" s="14"/>
      <c r="K465" s="7"/>
      <c r="L465" s="14"/>
      <c r="M465" s="7"/>
      <c r="N465" s="14"/>
      <c r="O465" s="14"/>
      <c r="P465" s="7"/>
      <c r="Q465" s="21"/>
      <c r="R465" s="14"/>
      <c r="S465" s="14"/>
      <c r="T465" s="14"/>
      <c r="U465" s="14"/>
      <c r="V465" s="14"/>
      <c r="W465" s="14"/>
      <c r="X465" s="14"/>
      <c r="Y465" s="13"/>
      <c r="Z465" s="14"/>
    </row>
    <row r="466" spans="1:26" ht="14.25" customHeight="1" x14ac:dyDescent="0.25">
      <c r="A466" s="14"/>
      <c r="B466" s="14"/>
      <c r="C466" s="14"/>
      <c r="D466" s="14"/>
      <c r="E466" s="122"/>
      <c r="F466" s="14"/>
      <c r="G466" s="14"/>
      <c r="H466" s="14"/>
      <c r="I466" s="14"/>
      <c r="J466" s="14"/>
      <c r="K466" s="7"/>
      <c r="L466" s="14"/>
      <c r="M466" s="7"/>
      <c r="N466" s="14"/>
      <c r="O466" s="14"/>
      <c r="P466" s="7"/>
      <c r="Q466" s="21"/>
      <c r="R466" s="14"/>
      <c r="S466" s="14"/>
      <c r="T466" s="14"/>
      <c r="U466" s="14"/>
      <c r="V466" s="14"/>
      <c r="W466" s="14"/>
      <c r="X466" s="14"/>
      <c r="Y466" s="13"/>
      <c r="Z466" s="14"/>
    </row>
    <row r="467" spans="1:26" ht="14.25" customHeight="1" x14ac:dyDescent="0.25">
      <c r="A467" s="14"/>
      <c r="B467" s="14"/>
      <c r="C467" s="14"/>
      <c r="D467" s="14"/>
      <c r="E467" s="122"/>
      <c r="F467" s="14"/>
      <c r="G467" s="14"/>
      <c r="H467" s="14"/>
      <c r="I467" s="14"/>
      <c r="J467" s="14"/>
      <c r="K467" s="7"/>
      <c r="L467" s="14"/>
      <c r="M467" s="7"/>
      <c r="N467" s="14"/>
      <c r="O467" s="14"/>
      <c r="P467" s="7"/>
      <c r="Q467" s="21"/>
      <c r="R467" s="14"/>
      <c r="S467" s="14"/>
      <c r="T467" s="14"/>
      <c r="U467" s="14"/>
      <c r="V467" s="14"/>
      <c r="W467" s="14"/>
      <c r="X467" s="14"/>
      <c r="Y467" s="13"/>
      <c r="Z467" s="14"/>
    </row>
    <row r="468" spans="1:26" ht="14.25" customHeight="1" x14ac:dyDescent="0.25">
      <c r="A468" s="14"/>
      <c r="B468" s="14"/>
      <c r="C468" s="14"/>
      <c r="D468" s="14"/>
      <c r="E468" s="122"/>
      <c r="F468" s="14"/>
      <c r="G468" s="14"/>
      <c r="H468" s="14"/>
      <c r="I468" s="14"/>
      <c r="J468" s="14"/>
      <c r="K468" s="7"/>
      <c r="L468" s="14"/>
      <c r="M468" s="7"/>
      <c r="N468" s="14"/>
      <c r="O468" s="14"/>
      <c r="P468" s="7"/>
      <c r="Q468" s="21"/>
      <c r="R468" s="14"/>
      <c r="S468" s="14"/>
      <c r="T468" s="14"/>
      <c r="U468" s="14"/>
      <c r="V468" s="14"/>
      <c r="W468" s="14"/>
      <c r="X468" s="14"/>
      <c r="Y468" s="13"/>
      <c r="Z468" s="14"/>
    </row>
    <row r="469" spans="1:26" ht="14.25" customHeight="1" x14ac:dyDescent="0.25">
      <c r="A469" s="14"/>
      <c r="B469" s="14"/>
      <c r="C469" s="14"/>
      <c r="D469" s="14"/>
      <c r="E469" s="122"/>
      <c r="F469" s="14"/>
      <c r="G469" s="14"/>
      <c r="H469" s="14"/>
      <c r="I469" s="14"/>
      <c r="J469" s="14"/>
      <c r="K469" s="7"/>
      <c r="L469" s="14"/>
      <c r="M469" s="7"/>
      <c r="N469" s="14"/>
      <c r="O469" s="14"/>
      <c r="P469" s="7"/>
      <c r="Q469" s="21"/>
      <c r="R469" s="14"/>
      <c r="S469" s="14"/>
      <c r="T469" s="14"/>
      <c r="U469" s="14"/>
      <c r="V469" s="14"/>
      <c r="W469" s="14"/>
      <c r="X469" s="14"/>
      <c r="Y469" s="13"/>
      <c r="Z469" s="14"/>
    </row>
    <row r="470" spans="1:26" ht="14.25" customHeight="1" x14ac:dyDescent="0.25">
      <c r="A470" s="14"/>
      <c r="B470" s="14"/>
      <c r="C470" s="14"/>
      <c r="D470" s="14"/>
      <c r="E470" s="122"/>
      <c r="F470" s="14"/>
      <c r="G470" s="14"/>
      <c r="H470" s="14"/>
      <c r="I470" s="14"/>
      <c r="J470" s="14"/>
      <c r="K470" s="7"/>
      <c r="L470" s="14"/>
      <c r="M470" s="7"/>
      <c r="N470" s="14"/>
      <c r="O470" s="14"/>
      <c r="P470" s="7"/>
      <c r="Q470" s="21"/>
      <c r="R470" s="14"/>
      <c r="S470" s="14"/>
      <c r="T470" s="14"/>
      <c r="U470" s="14"/>
      <c r="V470" s="14"/>
      <c r="W470" s="14"/>
      <c r="X470" s="14"/>
      <c r="Y470" s="13"/>
      <c r="Z470" s="14"/>
    </row>
    <row r="471" spans="1:26" ht="14.25" customHeight="1" x14ac:dyDescent="0.25">
      <c r="A471" s="14"/>
      <c r="B471" s="14"/>
      <c r="C471" s="14"/>
      <c r="D471" s="14"/>
      <c r="E471" s="122"/>
      <c r="F471" s="14"/>
      <c r="G471" s="14"/>
      <c r="H471" s="14"/>
      <c r="I471" s="14"/>
      <c r="J471" s="14"/>
      <c r="K471" s="7"/>
      <c r="L471" s="14"/>
      <c r="M471" s="7"/>
      <c r="N471" s="14"/>
      <c r="O471" s="14"/>
      <c r="P471" s="7"/>
      <c r="Q471" s="21"/>
      <c r="R471" s="14"/>
      <c r="S471" s="14"/>
      <c r="T471" s="14"/>
      <c r="U471" s="14"/>
      <c r="V471" s="14"/>
      <c r="W471" s="14"/>
      <c r="X471" s="14"/>
      <c r="Y471" s="13"/>
      <c r="Z471" s="14"/>
    </row>
    <row r="472" spans="1:26" ht="14.25" customHeight="1" x14ac:dyDescent="0.25">
      <c r="A472" s="14"/>
      <c r="B472" s="14"/>
      <c r="C472" s="14"/>
      <c r="D472" s="14"/>
      <c r="E472" s="122"/>
      <c r="F472" s="14"/>
      <c r="G472" s="14"/>
      <c r="H472" s="14"/>
      <c r="I472" s="14"/>
      <c r="J472" s="14"/>
      <c r="K472" s="7"/>
      <c r="L472" s="14"/>
      <c r="M472" s="7"/>
      <c r="N472" s="14"/>
      <c r="O472" s="14"/>
      <c r="P472" s="7"/>
      <c r="Q472" s="21"/>
      <c r="R472" s="14"/>
      <c r="S472" s="14"/>
      <c r="T472" s="14"/>
      <c r="U472" s="14"/>
      <c r="V472" s="14"/>
      <c r="W472" s="14"/>
      <c r="X472" s="14"/>
      <c r="Y472" s="13"/>
      <c r="Z472" s="14"/>
    </row>
    <row r="473" spans="1:26" ht="14.25" customHeight="1" x14ac:dyDescent="0.25">
      <c r="A473" s="14"/>
      <c r="B473" s="14"/>
      <c r="C473" s="14"/>
      <c r="D473" s="14"/>
      <c r="E473" s="122"/>
      <c r="F473" s="14"/>
      <c r="G473" s="14"/>
      <c r="H473" s="14"/>
      <c r="I473" s="14"/>
      <c r="J473" s="14"/>
      <c r="K473" s="7"/>
      <c r="L473" s="14"/>
      <c r="M473" s="7"/>
      <c r="N473" s="14"/>
      <c r="O473" s="14"/>
      <c r="P473" s="7"/>
      <c r="Q473" s="21"/>
      <c r="R473" s="14"/>
      <c r="S473" s="14"/>
      <c r="T473" s="14"/>
      <c r="U473" s="14"/>
      <c r="V473" s="14"/>
      <c r="W473" s="14"/>
      <c r="X473" s="14"/>
      <c r="Y473" s="13"/>
      <c r="Z473" s="14"/>
    </row>
    <row r="474" spans="1:26" ht="14.25" customHeight="1" x14ac:dyDescent="0.25">
      <c r="A474" s="14"/>
      <c r="B474" s="14"/>
      <c r="C474" s="14"/>
      <c r="D474" s="14"/>
      <c r="E474" s="122"/>
      <c r="F474" s="14"/>
      <c r="G474" s="14"/>
      <c r="H474" s="14"/>
      <c r="I474" s="14"/>
      <c r="J474" s="14"/>
      <c r="K474" s="7"/>
      <c r="L474" s="14"/>
      <c r="M474" s="7"/>
      <c r="N474" s="14"/>
      <c r="O474" s="14"/>
      <c r="P474" s="7"/>
      <c r="Q474" s="21"/>
      <c r="R474" s="14"/>
      <c r="S474" s="14"/>
      <c r="T474" s="14"/>
      <c r="U474" s="14"/>
      <c r="V474" s="14"/>
      <c r="W474" s="14"/>
      <c r="X474" s="14"/>
      <c r="Y474" s="13"/>
      <c r="Z474" s="14"/>
    </row>
    <row r="475" spans="1:26" ht="14.25" customHeight="1" x14ac:dyDescent="0.25">
      <c r="A475" s="14"/>
      <c r="B475" s="14"/>
      <c r="C475" s="14"/>
      <c r="D475" s="14"/>
      <c r="E475" s="122"/>
      <c r="F475" s="14"/>
      <c r="G475" s="14"/>
      <c r="H475" s="14"/>
      <c r="I475" s="14"/>
      <c r="J475" s="14"/>
      <c r="K475" s="7"/>
      <c r="L475" s="14"/>
      <c r="M475" s="7"/>
      <c r="N475" s="14"/>
      <c r="O475" s="14"/>
      <c r="P475" s="7"/>
      <c r="Q475" s="21"/>
      <c r="R475" s="14"/>
      <c r="S475" s="14"/>
      <c r="T475" s="14"/>
      <c r="U475" s="14"/>
      <c r="V475" s="14"/>
      <c r="W475" s="14"/>
      <c r="X475" s="14"/>
      <c r="Y475" s="13"/>
      <c r="Z475" s="14"/>
    </row>
    <row r="476" spans="1:26" ht="14.25" customHeight="1" x14ac:dyDescent="0.25">
      <c r="A476" s="14"/>
      <c r="B476" s="14"/>
      <c r="C476" s="14"/>
      <c r="D476" s="14"/>
      <c r="E476" s="122"/>
      <c r="F476" s="14"/>
      <c r="G476" s="14"/>
      <c r="H476" s="14"/>
      <c r="I476" s="14"/>
      <c r="J476" s="14"/>
      <c r="K476" s="7"/>
      <c r="L476" s="14"/>
      <c r="M476" s="7"/>
      <c r="N476" s="14"/>
      <c r="O476" s="14"/>
      <c r="P476" s="7"/>
      <c r="Q476" s="21"/>
      <c r="R476" s="14"/>
      <c r="S476" s="14"/>
      <c r="T476" s="14"/>
      <c r="U476" s="14"/>
      <c r="V476" s="14"/>
      <c r="W476" s="14"/>
      <c r="X476" s="14"/>
      <c r="Y476" s="13"/>
      <c r="Z476" s="14"/>
    </row>
    <row r="477" spans="1:26" ht="14.25" customHeight="1" x14ac:dyDescent="0.25">
      <c r="A477" s="14"/>
      <c r="B477" s="14"/>
      <c r="C477" s="14"/>
      <c r="D477" s="14"/>
      <c r="E477" s="122"/>
      <c r="F477" s="14"/>
      <c r="G477" s="14"/>
      <c r="H477" s="14"/>
      <c r="I477" s="14"/>
      <c r="J477" s="14"/>
      <c r="K477" s="7"/>
      <c r="L477" s="14"/>
      <c r="M477" s="7"/>
      <c r="N477" s="14"/>
      <c r="O477" s="14"/>
      <c r="P477" s="7"/>
      <c r="Q477" s="21"/>
      <c r="R477" s="14"/>
      <c r="S477" s="14"/>
      <c r="T477" s="14"/>
      <c r="U477" s="14"/>
      <c r="V477" s="14"/>
      <c r="W477" s="14"/>
      <c r="X477" s="14"/>
      <c r="Y477" s="13"/>
      <c r="Z477" s="14"/>
    </row>
    <row r="478" spans="1:26" ht="14.25" customHeight="1" x14ac:dyDescent="0.25">
      <c r="A478" s="14"/>
      <c r="B478" s="14"/>
      <c r="C478" s="14"/>
      <c r="D478" s="14"/>
      <c r="E478" s="122"/>
      <c r="F478" s="14"/>
      <c r="G478" s="14"/>
      <c r="H478" s="14"/>
      <c r="I478" s="14"/>
      <c r="J478" s="14"/>
      <c r="K478" s="7"/>
      <c r="L478" s="14"/>
      <c r="M478" s="7"/>
      <c r="N478" s="14"/>
      <c r="O478" s="14"/>
      <c r="P478" s="7"/>
      <c r="Q478" s="21"/>
      <c r="R478" s="14"/>
      <c r="S478" s="14"/>
      <c r="T478" s="14"/>
      <c r="U478" s="14"/>
      <c r="V478" s="14"/>
      <c r="W478" s="14"/>
      <c r="X478" s="14"/>
      <c r="Y478" s="13"/>
      <c r="Z478" s="14"/>
    </row>
    <row r="479" spans="1:26" ht="14.25" customHeight="1" x14ac:dyDescent="0.25">
      <c r="A479" s="14"/>
      <c r="B479" s="14"/>
      <c r="C479" s="14"/>
      <c r="D479" s="14"/>
      <c r="E479" s="122"/>
      <c r="F479" s="14"/>
      <c r="G479" s="14"/>
      <c r="H479" s="14"/>
      <c r="I479" s="14"/>
      <c r="J479" s="14"/>
      <c r="K479" s="7"/>
      <c r="L479" s="14"/>
      <c r="M479" s="7"/>
      <c r="N479" s="14"/>
      <c r="O479" s="14"/>
      <c r="P479" s="7"/>
      <c r="Q479" s="21"/>
      <c r="R479" s="14"/>
      <c r="S479" s="14"/>
      <c r="T479" s="14"/>
      <c r="U479" s="14"/>
      <c r="V479" s="14"/>
      <c r="W479" s="14"/>
      <c r="X479" s="14"/>
      <c r="Y479" s="13"/>
      <c r="Z479" s="14"/>
    </row>
    <row r="480" spans="1:26" ht="14.25" customHeight="1" x14ac:dyDescent="0.25">
      <c r="A480" s="14"/>
      <c r="B480" s="14"/>
      <c r="C480" s="14"/>
      <c r="D480" s="14"/>
      <c r="E480" s="122"/>
      <c r="F480" s="14"/>
      <c r="G480" s="14"/>
      <c r="H480" s="14"/>
      <c r="I480" s="14"/>
      <c r="J480" s="14"/>
      <c r="K480" s="7"/>
      <c r="L480" s="14"/>
      <c r="M480" s="7"/>
      <c r="N480" s="14"/>
      <c r="O480" s="14"/>
      <c r="P480" s="7"/>
      <c r="Q480" s="21"/>
      <c r="R480" s="14"/>
      <c r="S480" s="14"/>
      <c r="T480" s="14"/>
      <c r="U480" s="14"/>
      <c r="V480" s="14"/>
      <c r="W480" s="14"/>
      <c r="X480" s="14"/>
      <c r="Y480" s="13"/>
      <c r="Z480" s="14"/>
    </row>
    <row r="481" spans="1:26" ht="14.25" customHeight="1" x14ac:dyDescent="0.25">
      <c r="A481" s="14"/>
      <c r="B481" s="14"/>
      <c r="C481" s="14"/>
      <c r="D481" s="14"/>
      <c r="E481" s="122"/>
      <c r="F481" s="14"/>
      <c r="G481" s="14"/>
      <c r="H481" s="14"/>
      <c r="I481" s="14"/>
      <c r="J481" s="14"/>
      <c r="K481" s="7"/>
      <c r="L481" s="14"/>
      <c r="M481" s="7"/>
      <c r="N481" s="14"/>
      <c r="O481" s="14"/>
      <c r="P481" s="7"/>
      <c r="Q481" s="21"/>
      <c r="R481" s="14"/>
      <c r="S481" s="14"/>
      <c r="T481" s="14"/>
      <c r="U481" s="14"/>
      <c r="V481" s="14"/>
      <c r="W481" s="14"/>
      <c r="X481" s="14"/>
      <c r="Y481" s="13"/>
      <c r="Z481" s="14"/>
    </row>
    <row r="482" spans="1:26" ht="14.25" customHeight="1" x14ac:dyDescent="0.25">
      <c r="A482" s="14"/>
      <c r="B482" s="14"/>
      <c r="C482" s="14"/>
      <c r="D482" s="14"/>
      <c r="E482" s="122"/>
      <c r="F482" s="14"/>
      <c r="G482" s="14"/>
      <c r="H482" s="14"/>
      <c r="I482" s="14"/>
      <c r="J482" s="14"/>
      <c r="K482" s="7"/>
      <c r="L482" s="14"/>
      <c r="M482" s="7"/>
      <c r="N482" s="14"/>
      <c r="O482" s="14"/>
      <c r="P482" s="7"/>
      <c r="Q482" s="21"/>
      <c r="R482" s="14"/>
      <c r="S482" s="14"/>
      <c r="T482" s="14"/>
      <c r="U482" s="14"/>
      <c r="V482" s="14"/>
      <c r="W482" s="14"/>
      <c r="X482" s="14"/>
      <c r="Y482" s="13"/>
      <c r="Z482" s="14"/>
    </row>
    <row r="483" spans="1:26" ht="14.25" customHeight="1" x14ac:dyDescent="0.25">
      <c r="A483" s="14"/>
      <c r="B483" s="14"/>
      <c r="C483" s="14"/>
      <c r="D483" s="14"/>
      <c r="E483" s="122"/>
      <c r="F483" s="14"/>
      <c r="G483" s="14"/>
      <c r="H483" s="14"/>
      <c r="I483" s="14"/>
      <c r="J483" s="14"/>
      <c r="K483" s="7"/>
      <c r="L483" s="14"/>
      <c r="M483" s="7"/>
      <c r="N483" s="14"/>
      <c r="O483" s="14"/>
      <c r="P483" s="7"/>
      <c r="Q483" s="21"/>
      <c r="R483" s="14"/>
      <c r="S483" s="14"/>
      <c r="T483" s="14"/>
      <c r="U483" s="14"/>
      <c r="V483" s="14"/>
      <c r="W483" s="14"/>
      <c r="X483" s="14"/>
      <c r="Y483" s="13"/>
      <c r="Z483" s="14"/>
    </row>
    <row r="484" spans="1:26" ht="14.25" customHeight="1" x14ac:dyDescent="0.25">
      <c r="A484" s="14"/>
      <c r="B484" s="14"/>
      <c r="C484" s="14"/>
      <c r="D484" s="14"/>
      <c r="E484" s="122"/>
      <c r="F484" s="14"/>
      <c r="G484" s="14"/>
      <c r="H484" s="14"/>
      <c r="I484" s="14"/>
      <c r="J484" s="14"/>
      <c r="K484" s="7"/>
      <c r="L484" s="14"/>
      <c r="M484" s="7"/>
      <c r="N484" s="14"/>
      <c r="O484" s="14"/>
      <c r="P484" s="7"/>
      <c r="Q484" s="21"/>
      <c r="R484" s="14"/>
      <c r="S484" s="14"/>
      <c r="T484" s="14"/>
      <c r="U484" s="14"/>
      <c r="V484" s="14"/>
      <c r="W484" s="14"/>
      <c r="X484" s="14"/>
      <c r="Y484" s="13"/>
      <c r="Z484" s="14"/>
    </row>
    <row r="485" spans="1:26" ht="14.25" customHeight="1" x14ac:dyDescent="0.25">
      <c r="A485" s="14"/>
      <c r="B485" s="14"/>
      <c r="C485" s="14"/>
      <c r="D485" s="14"/>
      <c r="E485" s="122"/>
      <c r="F485" s="14"/>
      <c r="G485" s="14"/>
      <c r="H485" s="14"/>
      <c r="I485" s="14"/>
      <c r="J485" s="14"/>
      <c r="K485" s="7"/>
      <c r="L485" s="14"/>
      <c r="M485" s="7"/>
      <c r="N485" s="14"/>
      <c r="O485" s="14"/>
      <c r="P485" s="7"/>
      <c r="Q485" s="21"/>
      <c r="R485" s="14"/>
      <c r="S485" s="14"/>
      <c r="T485" s="14"/>
      <c r="U485" s="14"/>
      <c r="V485" s="14"/>
      <c r="W485" s="14"/>
      <c r="X485" s="14"/>
      <c r="Y485" s="13"/>
      <c r="Z485" s="14"/>
    </row>
    <row r="486" spans="1:26" ht="14.25" customHeight="1" x14ac:dyDescent="0.25">
      <c r="A486" s="14"/>
      <c r="B486" s="14"/>
      <c r="C486" s="14"/>
      <c r="D486" s="14"/>
      <c r="E486" s="122"/>
      <c r="F486" s="14"/>
      <c r="G486" s="14"/>
      <c r="H486" s="14"/>
      <c r="I486" s="14"/>
      <c r="J486" s="14"/>
      <c r="K486" s="7"/>
      <c r="L486" s="14"/>
      <c r="M486" s="7"/>
      <c r="N486" s="14"/>
      <c r="O486" s="14"/>
      <c r="P486" s="7"/>
      <c r="Q486" s="21"/>
      <c r="R486" s="14"/>
      <c r="S486" s="14"/>
      <c r="T486" s="14"/>
      <c r="U486" s="14"/>
      <c r="V486" s="14"/>
      <c r="W486" s="14"/>
      <c r="X486" s="14"/>
      <c r="Y486" s="13"/>
      <c r="Z486" s="14"/>
    </row>
    <row r="487" spans="1:26" ht="14.25" customHeight="1" x14ac:dyDescent="0.25">
      <c r="A487" s="14"/>
      <c r="B487" s="14"/>
      <c r="C487" s="14"/>
      <c r="D487" s="14"/>
      <c r="E487" s="122"/>
      <c r="F487" s="14"/>
      <c r="G487" s="14"/>
      <c r="H487" s="14"/>
      <c r="I487" s="14"/>
      <c r="J487" s="14"/>
      <c r="K487" s="7"/>
      <c r="L487" s="14"/>
      <c r="M487" s="7"/>
      <c r="N487" s="14"/>
      <c r="O487" s="14"/>
      <c r="P487" s="7"/>
      <c r="Q487" s="21"/>
      <c r="R487" s="14"/>
      <c r="S487" s="14"/>
      <c r="T487" s="14"/>
      <c r="U487" s="14"/>
      <c r="V487" s="14"/>
      <c r="W487" s="14"/>
      <c r="X487" s="14"/>
      <c r="Y487" s="13"/>
      <c r="Z487" s="14"/>
    </row>
    <row r="488" spans="1:26" ht="14.25" customHeight="1" x14ac:dyDescent="0.25">
      <c r="A488" s="14"/>
      <c r="B488" s="14"/>
      <c r="C488" s="14"/>
      <c r="D488" s="14"/>
      <c r="E488" s="122"/>
      <c r="F488" s="14"/>
      <c r="G488" s="14"/>
      <c r="H488" s="14"/>
      <c r="I488" s="14"/>
      <c r="J488" s="14"/>
      <c r="K488" s="7"/>
      <c r="L488" s="14"/>
      <c r="M488" s="7"/>
      <c r="N488" s="14"/>
      <c r="O488" s="14"/>
      <c r="P488" s="7"/>
      <c r="Q488" s="21"/>
      <c r="R488" s="14"/>
      <c r="S488" s="14"/>
      <c r="T488" s="14"/>
      <c r="U488" s="14"/>
      <c r="V488" s="14"/>
      <c r="W488" s="14"/>
      <c r="X488" s="14"/>
      <c r="Y488" s="13"/>
      <c r="Z488" s="14"/>
    </row>
    <row r="489" spans="1:26" ht="14.25" customHeight="1" x14ac:dyDescent="0.25">
      <c r="A489" s="14"/>
      <c r="B489" s="14"/>
      <c r="C489" s="14"/>
      <c r="D489" s="14"/>
      <c r="E489" s="122"/>
      <c r="F489" s="14"/>
      <c r="G489" s="14"/>
      <c r="H489" s="14"/>
      <c r="I489" s="14"/>
      <c r="J489" s="14"/>
      <c r="K489" s="7"/>
      <c r="L489" s="14"/>
      <c r="M489" s="7"/>
      <c r="N489" s="14"/>
      <c r="O489" s="14"/>
      <c r="P489" s="7"/>
      <c r="Q489" s="21"/>
      <c r="R489" s="14"/>
      <c r="S489" s="14"/>
      <c r="T489" s="14"/>
      <c r="U489" s="14"/>
      <c r="V489" s="14"/>
      <c r="W489" s="14"/>
      <c r="X489" s="14"/>
      <c r="Y489" s="13"/>
      <c r="Z489" s="14"/>
    </row>
    <row r="490" spans="1:26" ht="14.25" customHeight="1" x14ac:dyDescent="0.25">
      <c r="A490" s="14"/>
      <c r="B490" s="14"/>
      <c r="C490" s="14"/>
      <c r="D490" s="14"/>
      <c r="E490" s="122"/>
      <c r="F490" s="14"/>
      <c r="G490" s="14"/>
      <c r="H490" s="14"/>
      <c r="I490" s="14"/>
      <c r="J490" s="14"/>
      <c r="K490" s="7"/>
      <c r="L490" s="14"/>
      <c r="M490" s="7"/>
      <c r="N490" s="14"/>
      <c r="O490" s="14"/>
      <c r="P490" s="7"/>
      <c r="Q490" s="21"/>
      <c r="R490" s="14"/>
      <c r="S490" s="14"/>
      <c r="T490" s="14"/>
      <c r="U490" s="14"/>
      <c r="V490" s="14"/>
      <c r="W490" s="14"/>
      <c r="X490" s="14"/>
      <c r="Y490" s="13"/>
      <c r="Z490" s="14"/>
    </row>
    <row r="491" spans="1:26" ht="14.25" customHeight="1" x14ac:dyDescent="0.25">
      <c r="A491" s="14"/>
      <c r="B491" s="14"/>
      <c r="C491" s="14"/>
      <c r="D491" s="14"/>
      <c r="E491" s="122"/>
      <c r="F491" s="14"/>
      <c r="G491" s="14"/>
      <c r="H491" s="14"/>
      <c r="I491" s="14"/>
      <c r="J491" s="14"/>
      <c r="K491" s="7"/>
      <c r="L491" s="14"/>
      <c r="M491" s="7"/>
      <c r="N491" s="14"/>
      <c r="O491" s="14"/>
      <c r="P491" s="7"/>
      <c r="Q491" s="21"/>
      <c r="R491" s="14"/>
      <c r="S491" s="14"/>
      <c r="T491" s="14"/>
      <c r="U491" s="14"/>
      <c r="V491" s="14"/>
      <c r="W491" s="14"/>
      <c r="X491" s="14"/>
      <c r="Y491" s="13"/>
      <c r="Z491" s="14"/>
    </row>
    <row r="492" spans="1:26" ht="14.25" customHeight="1" x14ac:dyDescent="0.25">
      <c r="A492" s="14"/>
      <c r="B492" s="14"/>
      <c r="C492" s="14"/>
      <c r="D492" s="14"/>
      <c r="E492" s="122"/>
      <c r="F492" s="14"/>
      <c r="G492" s="14"/>
      <c r="H492" s="14"/>
      <c r="I492" s="14"/>
      <c r="J492" s="14"/>
      <c r="K492" s="7"/>
      <c r="L492" s="14"/>
      <c r="M492" s="7"/>
      <c r="N492" s="14"/>
      <c r="O492" s="14"/>
      <c r="P492" s="7"/>
      <c r="Q492" s="21"/>
      <c r="R492" s="14"/>
      <c r="S492" s="14"/>
      <c r="T492" s="14"/>
      <c r="U492" s="14"/>
      <c r="V492" s="14"/>
      <c r="W492" s="14"/>
      <c r="X492" s="14"/>
      <c r="Y492" s="13"/>
      <c r="Z492" s="14"/>
    </row>
    <row r="493" spans="1:26" ht="14.25" customHeight="1" x14ac:dyDescent="0.25">
      <c r="A493" s="14"/>
      <c r="B493" s="14"/>
      <c r="C493" s="14"/>
      <c r="D493" s="14"/>
      <c r="E493" s="122"/>
      <c r="F493" s="14"/>
      <c r="G493" s="14"/>
      <c r="H493" s="14"/>
      <c r="I493" s="14"/>
      <c r="J493" s="14"/>
      <c r="K493" s="7"/>
      <c r="L493" s="14"/>
      <c r="M493" s="7"/>
      <c r="N493" s="14"/>
      <c r="O493" s="14"/>
      <c r="P493" s="7"/>
      <c r="Q493" s="21"/>
      <c r="R493" s="14"/>
      <c r="S493" s="14"/>
      <c r="T493" s="14"/>
      <c r="U493" s="14"/>
      <c r="V493" s="14"/>
      <c r="W493" s="14"/>
      <c r="X493" s="14"/>
      <c r="Y493" s="13"/>
      <c r="Z493" s="14"/>
    </row>
    <row r="494" spans="1:26" ht="14.25" customHeight="1" x14ac:dyDescent="0.25">
      <c r="A494" s="14"/>
      <c r="B494" s="14"/>
      <c r="C494" s="14"/>
      <c r="D494" s="14"/>
      <c r="E494" s="122"/>
      <c r="F494" s="14"/>
      <c r="G494" s="14"/>
      <c r="H494" s="14"/>
      <c r="I494" s="14"/>
      <c r="J494" s="14"/>
      <c r="K494" s="7"/>
      <c r="L494" s="14"/>
      <c r="M494" s="7"/>
      <c r="N494" s="14"/>
      <c r="O494" s="14"/>
      <c r="P494" s="7"/>
      <c r="Q494" s="21"/>
      <c r="R494" s="14"/>
      <c r="S494" s="14"/>
      <c r="T494" s="14"/>
      <c r="U494" s="14"/>
      <c r="V494" s="14"/>
      <c r="W494" s="14"/>
      <c r="X494" s="14"/>
      <c r="Y494" s="13"/>
      <c r="Z494" s="14"/>
    </row>
    <row r="495" spans="1:26" ht="14.25" customHeight="1" x14ac:dyDescent="0.25">
      <c r="A495" s="14"/>
      <c r="B495" s="14"/>
      <c r="C495" s="14"/>
      <c r="D495" s="14"/>
      <c r="E495" s="122"/>
      <c r="F495" s="14"/>
      <c r="G495" s="14"/>
      <c r="H495" s="14"/>
      <c r="I495" s="14"/>
      <c r="J495" s="14"/>
      <c r="K495" s="7"/>
      <c r="L495" s="14"/>
      <c r="M495" s="7"/>
      <c r="N495" s="14"/>
      <c r="O495" s="14"/>
      <c r="P495" s="7"/>
      <c r="Q495" s="21"/>
      <c r="R495" s="14"/>
      <c r="S495" s="14"/>
      <c r="T495" s="14"/>
      <c r="U495" s="14"/>
      <c r="V495" s="14"/>
      <c r="W495" s="14"/>
      <c r="X495" s="14"/>
      <c r="Y495" s="13"/>
      <c r="Z495" s="14"/>
    </row>
    <row r="496" spans="1:26" ht="14.25" customHeight="1" x14ac:dyDescent="0.25">
      <c r="A496" s="14"/>
      <c r="B496" s="14"/>
      <c r="C496" s="14"/>
      <c r="D496" s="14"/>
      <c r="E496" s="122"/>
      <c r="F496" s="14"/>
      <c r="G496" s="14"/>
      <c r="H496" s="14"/>
      <c r="I496" s="14"/>
      <c r="J496" s="14"/>
      <c r="K496" s="7"/>
      <c r="L496" s="14"/>
      <c r="M496" s="7"/>
      <c r="N496" s="14"/>
      <c r="O496" s="14"/>
      <c r="P496" s="7"/>
      <c r="Q496" s="21"/>
      <c r="R496" s="14"/>
      <c r="S496" s="14"/>
      <c r="T496" s="14"/>
      <c r="U496" s="14"/>
      <c r="V496" s="14"/>
      <c r="W496" s="14"/>
      <c r="X496" s="14"/>
      <c r="Y496" s="13"/>
      <c r="Z496" s="14"/>
    </row>
    <row r="497" spans="1:26" ht="14.25" customHeight="1" x14ac:dyDescent="0.25">
      <c r="A497" s="14"/>
      <c r="B497" s="14"/>
      <c r="C497" s="14"/>
      <c r="D497" s="14"/>
      <c r="E497" s="122"/>
      <c r="F497" s="14"/>
      <c r="G497" s="14"/>
      <c r="H497" s="14"/>
      <c r="I497" s="14"/>
      <c r="J497" s="14"/>
      <c r="K497" s="7"/>
      <c r="L497" s="14"/>
      <c r="M497" s="7"/>
      <c r="N497" s="14"/>
      <c r="O497" s="14"/>
      <c r="P497" s="7"/>
      <c r="Q497" s="21"/>
      <c r="R497" s="14"/>
      <c r="S497" s="14"/>
      <c r="T497" s="14"/>
      <c r="U497" s="14"/>
      <c r="V497" s="14"/>
      <c r="W497" s="14"/>
      <c r="X497" s="14"/>
      <c r="Y497" s="13"/>
      <c r="Z497" s="14"/>
    </row>
    <row r="498" spans="1:26" ht="14.25" customHeight="1" x14ac:dyDescent="0.25">
      <c r="A498" s="14"/>
      <c r="B498" s="14"/>
      <c r="C498" s="14"/>
      <c r="D498" s="14"/>
      <c r="E498" s="122"/>
      <c r="F498" s="14"/>
      <c r="G498" s="14"/>
      <c r="H498" s="14"/>
      <c r="I498" s="14"/>
      <c r="J498" s="14"/>
      <c r="K498" s="7"/>
      <c r="L498" s="14"/>
      <c r="M498" s="7"/>
      <c r="N498" s="14"/>
      <c r="O498" s="14"/>
      <c r="P498" s="7"/>
      <c r="Q498" s="21"/>
      <c r="R498" s="14"/>
      <c r="S498" s="14"/>
      <c r="T498" s="14"/>
      <c r="U498" s="14"/>
      <c r="V498" s="14"/>
      <c r="W498" s="14"/>
      <c r="X498" s="14"/>
      <c r="Y498" s="13"/>
      <c r="Z498" s="14"/>
    </row>
    <row r="499" spans="1:26" ht="14.25" customHeight="1" x14ac:dyDescent="0.25">
      <c r="A499" s="14"/>
      <c r="B499" s="14"/>
      <c r="C499" s="14"/>
      <c r="D499" s="14"/>
      <c r="E499" s="122"/>
      <c r="F499" s="14"/>
      <c r="G499" s="14"/>
      <c r="H499" s="14"/>
      <c r="I499" s="14"/>
      <c r="J499" s="14"/>
      <c r="K499" s="7"/>
      <c r="L499" s="14"/>
      <c r="M499" s="7"/>
      <c r="N499" s="14"/>
      <c r="O499" s="14"/>
      <c r="P499" s="7"/>
      <c r="Q499" s="21"/>
      <c r="R499" s="14"/>
      <c r="S499" s="14"/>
      <c r="T499" s="14"/>
      <c r="U499" s="14"/>
      <c r="V499" s="14"/>
      <c r="W499" s="14"/>
      <c r="X499" s="14"/>
      <c r="Y499" s="13"/>
      <c r="Z499" s="14"/>
    </row>
    <row r="500" spans="1:26" ht="14.25" customHeight="1" x14ac:dyDescent="0.25">
      <c r="A500" s="14"/>
      <c r="B500" s="14"/>
      <c r="C500" s="14"/>
      <c r="D500" s="14"/>
      <c r="E500" s="122"/>
      <c r="F500" s="14"/>
      <c r="G500" s="14"/>
      <c r="H500" s="14"/>
      <c r="I500" s="14"/>
      <c r="J500" s="14"/>
      <c r="K500" s="7"/>
      <c r="L500" s="14"/>
      <c r="M500" s="7"/>
      <c r="N500" s="14"/>
      <c r="O500" s="14"/>
      <c r="P500" s="7"/>
      <c r="Q500" s="21"/>
      <c r="R500" s="14"/>
      <c r="S500" s="14"/>
      <c r="T500" s="14"/>
      <c r="U500" s="14"/>
      <c r="V500" s="14"/>
      <c r="W500" s="14"/>
      <c r="X500" s="14"/>
      <c r="Y500" s="13"/>
      <c r="Z500" s="14"/>
    </row>
    <row r="501" spans="1:26" ht="14.25" customHeight="1" x14ac:dyDescent="0.25">
      <c r="A501" s="14"/>
      <c r="B501" s="14"/>
      <c r="C501" s="14"/>
      <c r="D501" s="14"/>
      <c r="E501" s="122"/>
      <c r="F501" s="14"/>
      <c r="G501" s="14"/>
      <c r="H501" s="14"/>
      <c r="I501" s="14"/>
      <c r="J501" s="14"/>
      <c r="K501" s="7"/>
      <c r="L501" s="14"/>
      <c r="M501" s="7"/>
      <c r="N501" s="14"/>
      <c r="O501" s="14"/>
      <c r="P501" s="7"/>
      <c r="Q501" s="21"/>
      <c r="R501" s="14"/>
      <c r="S501" s="14"/>
      <c r="T501" s="14"/>
      <c r="U501" s="14"/>
      <c r="V501" s="14"/>
      <c r="W501" s="14"/>
      <c r="X501" s="14"/>
      <c r="Y501" s="13"/>
      <c r="Z501" s="14"/>
    </row>
    <row r="502" spans="1:26" ht="14.25" customHeight="1" x14ac:dyDescent="0.25">
      <c r="A502" s="14"/>
      <c r="B502" s="14"/>
      <c r="C502" s="14"/>
      <c r="D502" s="14"/>
      <c r="E502" s="122"/>
      <c r="F502" s="14"/>
      <c r="G502" s="14"/>
      <c r="H502" s="14"/>
      <c r="I502" s="14"/>
      <c r="J502" s="14"/>
      <c r="K502" s="7"/>
      <c r="L502" s="14"/>
      <c r="M502" s="7"/>
      <c r="N502" s="14"/>
      <c r="O502" s="14"/>
      <c r="P502" s="7"/>
      <c r="Q502" s="21"/>
      <c r="R502" s="14"/>
      <c r="S502" s="14"/>
      <c r="T502" s="14"/>
      <c r="U502" s="14"/>
      <c r="V502" s="14"/>
      <c r="W502" s="14"/>
      <c r="X502" s="14"/>
      <c r="Y502" s="13"/>
      <c r="Z502" s="14"/>
    </row>
    <row r="503" spans="1:26" ht="14.25" customHeight="1" x14ac:dyDescent="0.25">
      <c r="A503" s="14"/>
      <c r="B503" s="14"/>
      <c r="C503" s="14"/>
      <c r="D503" s="14"/>
      <c r="E503" s="122"/>
      <c r="F503" s="14"/>
      <c r="G503" s="14"/>
      <c r="H503" s="14"/>
      <c r="I503" s="14"/>
      <c r="J503" s="14"/>
      <c r="K503" s="7"/>
      <c r="L503" s="14"/>
      <c r="M503" s="7"/>
      <c r="N503" s="14"/>
      <c r="O503" s="14"/>
      <c r="P503" s="7"/>
      <c r="Q503" s="21"/>
      <c r="R503" s="14"/>
      <c r="S503" s="14"/>
      <c r="T503" s="14"/>
      <c r="U503" s="14"/>
      <c r="V503" s="14"/>
      <c r="W503" s="14"/>
      <c r="X503" s="14"/>
      <c r="Y503" s="13"/>
      <c r="Z503" s="14"/>
    </row>
    <row r="504" spans="1:26" ht="14.25" customHeight="1" x14ac:dyDescent="0.25">
      <c r="A504" s="14"/>
      <c r="B504" s="14"/>
      <c r="C504" s="14"/>
      <c r="D504" s="14"/>
      <c r="E504" s="122"/>
      <c r="F504" s="14"/>
      <c r="G504" s="14"/>
      <c r="H504" s="14"/>
      <c r="I504" s="14"/>
      <c r="J504" s="14"/>
      <c r="K504" s="7"/>
      <c r="L504" s="14"/>
      <c r="M504" s="7"/>
      <c r="N504" s="14"/>
      <c r="O504" s="14"/>
      <c r="P504" s="7"/>
      <c r="Q504" s="21"/>
      <c r="R504" s="14"/>
      <c r="S504" s="14"/>
      <c r="T504" s="14"/>
      <c r="U504" s="14"/>
      <c r="V504" s="14"/>
      <c r="W504" s="14"/>
      <c r="X504" s="14"/>
      <c r="Y504" s="13"/>
      <c r="Z504" s="14"/>
    </row>
    <row r="505" spans="1:26" ht="14.25" customHeight="1" x14ac:dyDescent="0.25">
      <c r="A505" s="14"/>
      <c r="B505" s="14"/>
      <c r="C505" s="14"/>
      <c r="D505" s="14"/>
      <c r="E505" s="122"/>
      <c r="F505" s="14"/>
      <c r="G505" s="14"/>
      <c r="H505" s="14"/>
      <c r="I505" s="14"/>
      <c r="J505" s="14"/>
      <c r="K505" s="7"/>
      <c r="L505" s="14"/>
      <c r="M505" s="7"/>
      <c r="N505" s="14"/>
      <c r="O505" s="14"/>
      <c r="P505" s="7"/>
      <c r="Q505" s="21"/>
      <c r="R505" s="14"/>
      <c r="S505" s="14"/>
      <c r="T505" s="14"/>
      <c r="U505" s="14"/>
      <c r="V505" s="14"/>
      <c r="W505" s="14"/>
      <c r="X505" s="14"/>
      <c r="Y505" s="13"/>
      <c r="Z505" s="14"/>
    </row>
    <row r="506" spans="1:26" ht="14.25" customHeight="1" x14ac:dyDescent="0.25">
      <c r="A506" s="14"/>
      <c r="B506" s="14"/>
      <c r="C506" s="14"/>
      <c r="D506" s="14"/>
      <c r="E506" s="122"/>
      <c r="F506" s="14"/>
      <c r="G506" s="14"/>
      <c r="H506" s="14"/>
      <c r="I506" s="14"/>
      <c r="J506" s="14"/>
      <c r="K506" s="7"/>
      <c r="L506" s="14"/>
      <c r="M506" s="7"/>
      <c r="N506" s="14"/>
      <c r="O506" s="14"/>
      <c r="P506" s="7"/>
      <c r="Q506" s="21"/>
      <c r="R506" s="14"/>
      <c r="S506" s="14"/>
      <c r="T506" s="14"/>
      <c r="U506" s="14"/>
      <c r="V506" s="14"/>
      <c r="W506" s="14"/>
      <c r="X506" s="14"/>
      <c r="Y506" s="13"/>
      <c r="Z506" s="14"/>
    </row>
    <row r="507" spans="1:26" ht="14.25" customHeight="1" x14ac:dyDescent="0.25">
      <c r="A507" s="14"/>
      <c r="B507" s="14"/>
      <c r="C507" s="14"/>
      <c r="D507" s="14"/>
      <c r="E507" s="122"/>
      <c r="F507" s="14"/>
      <c r="G507" s="14"/>
      <c r="H507" s="14"/>
      <c r="I507" s="14"/>
      <c r="J507" s="14"/>
      <c r="K507" s="7"/>
      <c r="L507" s="14"/>
      <c r="M507" s="7"/>
      <c r="N507" s="14"/>
      <c r="O507" s="14"/>
      <c r="P507" s="7"/>
      <c r="Q507" s="21"/>
      <c r="R507" s="14"/>
      <c r="S507" s="14"/>
      <c r="T507" s="14"/>
      <c r="U507" s="14"/>
      <c r="V507" s="14"/>
      <c r="W507" s="14"/>
      <c r="X507" s="14"/>
      <c r="Y507" s="13"/>
      <c r="Z507" s="14"/>
    </row>
    <row r="508" spans="1:26" ht="14.25" customHeight="1" x14ac:dyDescent="0.25">
      <c r="A508" s="14"/>
      <c r="B508" s="14"/>
      <c r="C508" s="14"/>
      <c r="D508" s="14"/>
      <c r="E508" s="122"/>
      <c r="F508" s="14"/>
      <c r="G508" s="14"/>
      <c r="H508" s="14"/>
      <c r="I508" s="14"/>
      <c r="J508" s="14"/>
      <c r="K508" s="7"/>
      <c r="L508" s="14"/>
      <c r="M508" s="7"/>
      <c r="N508" s="14"/>
      <c r="O508" s="14"/>
      <c r="P508" s="7"/>
      <c r="Q508" s="21"/>
      <c r="R508" s="14"/>
      <c r="S508" s="14"/>
      <c r="T508" s="14"/>
      <c r="U508" s="14"/>
      <c r="V508" s="14"/>
      <c r="W508" s="14"/>
      <c r="X508" s="14"/>
      <c r="Y508" s="13"/>
      <c r="Z508" s="14"/>
    </row>
    <row r="509" spans="1:26" ht="14.25" customHeight="1" x14ac:dyDescent="0.25">
      <c r="A509" s="14"/>
      <c r="B509" s="14"/>
      <c r="C509" s="14"/>
      <c r="D509" s="14"/>
      <c r="E509" s="122"/>
      <c r="F509" s="14"/>
      <c r="G509" s="14"/>
      <c r="H509" s="14"/>
      <c r="I509" s="14"/>
      <c r="J509" s="14"/>
      <c r="K509" s="7"/>
      <c r="L509" s="14"/>
      <c r="M509" s="7"/>
      <c r="N509" s="14"/>
      <c r="O509" s="14"/>
      <c r="P509" s="7"/>
      <c r="Q509" s="21"/>
      <c r="R509" s="14"/>
      <c r="S509" s="14"/>
      <c r="T509" s="14"/>
      <c r="U509" s="14"/>
      <c r="V509" s="14"/>
      <c r="W509" s="14"/>
      <c r="X509" s="14"/>
      <c r="Y509" s="13"/>
      <c r="Z509" s="14"/>
    </row>
    <row r="510" spans="1:26" ht="14.25" customHeight="1" x14ac:dyDescent="0.25">
      <c r="A510" s="14"/>
      <c r="B510" s="14"/>
      <c r="C510" s="14"/>
      <c r="D510" s="14"/>
      <c r="E510" s="122"/>
      <c r="F510" s="14"/>
      <c r="G510" s="14"/>
      <c r="H510" s="14"/>
      <c r="I510" s="14"/>
      <c r="J510" s="14"/>
      <c r="K510" s="7"/>
      <c r="L510" s="14"/>
      <c r="M510" s="7"/>
      <c r="N510" s="14"/>
      <c r="O510" s="14"/>
      <c r="P510" s="7"/>
      <c r="Q510" s="21"/>
      <c r="R510" s="14"/>
      <c r="S510" s="14"/>
      <c r="T510" s="14"/>
      <c r="U510" s="14"/>
      <c r="V510" s="14"/>
      <c r="W510" s="14"/>
      <c r="X510" s="14"/>
      <c r="Y510" s="13"/>
      <c r="Z510" s="14"/>
    </row>
    <row r="511" spans="1:26" ht="14.25" customHeight="1" x14ac:dyDescent="0.25">
      <c r="A511" s="14"/>
      <c r="B511" s="14"/>
      <c r="C511" s="14"/>
      <c r="D511" s="14"/>
      <c r="E511" s="122"/>
      <c r="F511" s="14"/>
      <c r="G511" s="14"/>
      <c r="H511" s="14"/>
      <c r="I511" s="14"/>
      <c r="J511" s="14"/>
      <c r="K511" s="7"/>
      <c r="L511" s="14"/>
      <c r="M511" s="7"/>
      <c r="N511" s="14"/>
      <c r="O511" s="14"/>
      <c r="P511" s="7"/>
      <c r="Q511" s="21"/>
      <c r="R511" s="14"/>
      <c r="S511" s="14"/>
      <c r="T511" s="14"/>
      <c r="U511" s="14"/>
      <c r="V511" s="14"/>
      <c r="W511" s="14"/>
      <c r="X511" s="14"/>
      <c r="Y511" s="13"/>
      <c r="Z511" s="14"/>
    </row>
    <row r="512" spans="1:26" ht="14.25" customHeight="1" x14ac:dyDescent="0.25">
      <c r="A512" s="14"/>
      <c r="B512" s="14"/>
      <c r="C512" s="14"/>
      <c r="D512" s="14"/>
      <c r="E512" s="122"/>
      <c r="F512" s="14"/>
      <c r="G512" s="14"/>
      <c r="H512" s="14"/>
      <c r="I512" s="14"/>
      <c r="J512" s="14"/>
      <c r="K512" s="7"/>
      <c r="L512" s="14"/>
      <c r="M512" s="7"/>
      <c r="N512" s="14"/>
      <c r="O512" s="14"/>
      <c r="P512" s="7"/>
      <c r="Q512" s="21"/>
      <c r="R512" s="14"/>
      <c r="S512" s="14"/>
      <c r="T512" s="14"/>
      <c r="U512" s="14"/>
      <c r="V512" s="14"/>
      <c r="W512" s="14"/>
      <c r="X512" s="14"/>
      <c r="Y512" s="13"/>
      <c r="Z512" s="14"/>
    </row>
    <row r="513" spans="1:26" ht="14.25" customHeight="1" x14ac:dyDescent="0.25">
      <c r="A513" s="14"/>
      <c r="B513" s="14"/>
      <c r="C513" s="14"/>
      <c r="D513" s="14"/>
      <c r="E513" s="122"/>
      <c r="F513" s="14"/>
      <c r="G513" s="14"/>
      <c r="H513" s="14"/>
      <c r="I513" s="14"/>
      <c r="J513" s="14"/>
      <c r="K513" s="7"/>
      <c r="L513" s="14"/>
      <c r="M513" s="7"/>
      <c r="N513" s="14"/>
      <c r="O513" s="14"/>
      <c r="P513" s="7"/>
      <c r="Q513" s="21"/>
      <c r="R513" s="14"/>
      <c r="S513" s="14"/>
      <c r="T513" s="14"/>
      <c r="U513" s="14"/>
      <c r="V513" s="14"/>
      <c r="W513" s="14"/>
      <c r="X513" s="14"/>
      <c r="Y513" s="13"/>
      <c r="Z513" s="14"/>
    </row>
    <row r="514" spans="1:26" ht="14.25" customHeight="1" x14ac:dyDescent="0.25">
      <c r="A514" s="14"/>
      <c r="B514" s="14"/>
      <c r="C514" s="14"/>
      <c r="D514" s="14"/>
      <c r="E514" s="122"/>
      <c r="F514" s="14"/>
      <c r="G514" s="14"/>
      <c r="H514" s="14"/>
      <c r="I514" s="14"/>
      <c r="J514" s="14"/>
      <c r="K514" s="7"/>
      <c r="L514" s="14"/>
      <c r="M514" s="7"/>
      <c r="N514" s="14"/>
      <c r="O514" s="14"/>
      <c r="P514" s="7"/>
      <c r="Q514" s="21"/>
      <c r="R514" s="14"/>
      <c r="S514" s="14"/>
      <c r="T514" s="14"/>
      <c r="U514" s="14"/>
      <c r="V514" s="14"/>
      <c r="W514" s="14"/>
      <c r="X514" s="14"/>
      <c r="Y514" s="13"/>
      <c r="Z514" s="14"/>
    </row>
    <row r="515" spans="1:26" ht="14.25" customHeight="1" x14ac:dyDescent="0.25">
      <c r="A515" s="14"/>
      <c r="B515" s="14"/>
      <c r="C515" s="14"/>
      <c r="D515" s="14"/>
      <c r="E515" s="122"/>
      <c r="F515" s="14"/>
      <c r="G515" s="14"/>
      <c r="H515" s="14"/>
      <c r="I515" s="14"/>
      <c r="J515" s="14"/>
      <c r="K515" s="7"/>
      <c r="L515" s="14"/>
      <c r="M515" s="7"/>
      <c r="N515" s="14"/>
      <c r="O515" s="14"/>
      <c r="P515" s="7"/>
      <c r="Q515" s="21"/>
      <c r="R515" s="14"/>
      <c r="S515" s="14"/>
      <c r="T515" s="14"/>
      <c r="U515" s="14"/>
      <c r="V515" s="14"/>
      <c r="W515" s="14"/>
      <c r="X515" s="14"/>
      <c r="Y515" s="13"/>
      <c r="Z515" s="14"/>
    </row>
    <row r="516" spans="1:26" ht="14.25" customHeight="1" x14ac:dyDescent="0.25">
      <c r="A516" s="14"/>
      <c r="B516" s="14"/>
      <c r="C516" s="14"/>
      <c r="D516" s="14"/>
      <c r="E516" s="122"/>
      <c r="F516" s="14"/>
      <c r="G516" s="14"/>
      <c r="H516" s="14"/>
      <c r="I516" s="14"/>
      <c r="J516" s="14"/>
      <c r="K516" s="7"/>
      <c r="L516" s="14"/>
      <c r="M516" s="7"/>
      <c r="N516" s="14"/>
      <c r="O516" s="14"/>
      <c r="P516" s="7"/>
      <c r="Q516" s="21"/>
      <c r="R516" s="14"/>
      <c r="S516" s="14"/>
      <c r="T516" s="14"/>
      <c r="U516" s="14"/>
      <c r="V516" s="14"/>
      <c r="W516" s="14"/>
      <c r="X516" s="14"/>
      <c r="Y516" s="13"/>
      <c r="Z516" s="14"/>
    </row>
    <row r="517" spans="1:26" ht="14.25" customHeight="1" x14ac:dyDescent="0.25">
      <c r="A517" s="14"/>
      <c r="B517" s="14"/>
      <c r="C517" s="14"/>
      <c r="D517" s="14"/>
      <c r="E517" s="122"/>
      <c r="F517" s="14"/>
      <c r="G517" s="14"/>
      <c r="H517" s="14"/>
      <c r="I517" s="14"/>
      <c r="J517" s="14"/>
      <c r="K517" s="7"/>
      <c r="L517" s="14"/>
      <c r="M517" s="7"/>
      <c r="N517" s="14"/>
      <c r="O517" s="14"/>
      <c r="P517" s="7"/>
      <c r="Q517" s="21"/>
      <c r="R517" s="14"/>
      <c r="S517" s="14"/>
      <c r="T517" s="14"/>
      <c r="U517" s="14"/>
      <c r="V517" s="14"/>
      <c r="W517" s="14"/>
      <c r="X517" s="14"/>
      <c r="Y517" s="13"/>
      <c r="Z517" s="14"/>
    </row>
    <row r="518" spans="1:26" ht="14.25" customHeight="1" x14ac:dyDescent="0.25">
      <c r="A518" s="14"/>
      <c r="B518" s="14"/>
      <c r="C518" s="14"/>
      <c r="D518" s="14"/>
      <c r="E518" s="122"/>
      <c r="F518" s="14"/>
      <c r="G518" s="14"/>
      <c r="H518" s="14"/>
      <c r="I518" s="14"/>
      <c r="J518" s="14"/>
      <c r="K518" s="7"/>
      <c r="L518" s="14"/>
      <c r="M518" s="7"/>
      <c r="N518" s="14"/>
      <c r="O518" s="14"/>
      <c r="P518" s="7"/>
      <c r="Q518" s="21"/>
      <c r="R518" s="14"/>
      <c r="S518" s="14"/>
      <c r="T518" s="14"/>
      <c r="U518" s="14"/>
      <c r="V518" s="14"/>
      <c r="W518" s="14"/>
      <c r="X518" s="14"/>
      <c r="Y518" s="13"/>
      <c r="Z518" s="14"/>
    </row>
    <row r="519" spans="1:26" ht="14.25" customHeight="1" x14ac:dyDescent="0.25">
      <c r="A519" s="14"/>
      <c r="B519" s="14"/>
      <c r="C519" s="14"/>
      <c r="D519" s="14"/>
      <c r="E519" s="122"/>
      <c r="F519" s="14"/>
      <c r="G519" s="14"/>
      <c r="H519" s="14"/>
      <c r="I519" s="14"/>
      <c r="J519" s="14"/>
      <c r="K519" s="7"/>
      <c r="L519" s="14"/>
      <c r="M519" s="7"/>
      <c r="N519" s="14"/>
      <c r="O519" s="14"/>
      <c r="P519" s="7"/>
      <c r="Q519" s="21"/>
      <c r="R519" s="14"/>
      <c r="S519" s="14"/>
      <c r="T519" s="14"/>
      <c r="U519" s="14"/>
      <c r="V519" s="14"/>
      <c r="W519" s="14"/>
      <c r="X519" s="14"/>
      <c r="Y519" s="13"/>
      <c r="Z519" s="14"/>
    </row>
    <row r="520" spans="1:26" ht="14.25" customHeight="1" x14ac:dyDescent="0.25">
      <c r="A520" s="14"/>
      <c r="B520" s="14"/>
      <c r="C520" s="14"/>
      <c r="D520" s="14"/>
      <c r="E520" s="122"/>
      <c r="F520" s="14"/>
      <c r="G520" s="14"/>
      <c r="H520" s="14"/>
      <c r="I520" s="14"/>
      <c r="J520" s="14"/>
      <c r="K520" s="7"/>
      <c r="L520" s="14"/>
      <c r="M520" s="7"/>
      <c r="N520" s="14"/>
      <c r="O520" s="14"/>
      <c r="P520" s="7"/>
      <c r="Q520" s="21"/>
      <c r="R520" s="14"/>
      <c r="S520" s="14"/>
      <c r="T520" s="14"/>
      <c r="U520" s="14"/>
      <c r="V520" s="14"/>
      <c r="W520" s="14"/>
      <c r="X520" s="14"/>
      <c r="Y520" s="13"/>
      <c r="Z520" s="14"/>
    </row>
    <row r="521" spans="1:26" ht="14.25" customHeight="1" x14ac:dyDescent="0.25">
      <c r="A521" s="14"/>
      <c r="B521" s="14"/>
      <c r="C521" s="14"/>
      <c r="D521" s="14"/>
      <c r="E521" s="122"/>
      <c r="F521" s="14"/>
      <c r="G521" s="14"/>
      <c r="H521" s="14"/>
      <c r="I521" s="14"/>
      <c r="J521" s="14"/>
      <c r="K521" s="7"/>
      <c r="L521" s="14"/>
      <c r="M521" s="7"/>
      <c r="N521" s="14"/>
      <c r="O521" s="14"/>
      <c r="P521" s="7"/>
      <c r="Q521" s="21"/>
      <c r="R521" s="14"/>
      <c r="S521" s="14"/>
      <c r="T521" s="14"/>
      <c r="U521" s="14"/>
      <c r="V521" s="14"/>
      <c r="W521" s="14"/>
      <c r="X521" s="14"/>
      <c r="Y521" s="13"/>
      <c r="Z521" s="14"/>
    </row>
    <row r="522" spans="1:26" ht="14.25" customHeight="1" x14ac:dyDescent="0.25">
      <c r="A522" s="14"/>
      <c r="B522" s="14"/>
      <c r="C522" s="14"/>
      <c r="D522" s="14"/>
      <c r="E522" s="122"/>
      <c r="F522" s="14"/>
      <c r="G522" s="14"/>
      <c r="H522" s="14"/>
      <c r="I522" s="14"/>
      <c r="J522" s="14"/>
      <c r="K522" s="7"/>
      <c r="L522" s="14"/>
      <c r="M522" s="7"/>
      <c r="N522" s="14"/>
      <c r="O522" s="14"/>
      <c r="P522" s="7"/>
      <c r="Q522" s="21"/>
      <c r="R522" s="14"/>
      <c r="S522" s="14"/>
      <c r="T522" s="14"/>
      <c r="U522" s="14"/>
      <c r="V522" s="14"/>
      <c r="W522" s="14"/>
      <c r="X522" s="14"/>
      <c r="Y522" s="13"/>
      <c r="Z522" s="14"/>
    </row>
    <row r="523" spans="1:26" ht="14.25" customHeight="1" x14ac:dyDescent="0.25">
      <c r="A523" s="14"/>
      <c r="B523" s="14"/>
      <c r="C523" s="14"/>
      <c r="D523" s="14"/>
      <c r="E523" s="122"/>
      <c r="F523" s="14"/>
      <c r="G523" s="14"/>
      <c r="H523" s="14"/>
      <c r="I523" s="14"/>
      <c r="J523" s="14"/>
      <c r="K523" s="7"/>
      <c r="L523" s="14"/>
      <c r="M523" s="7"/>
      <c r="N523" s="14"/>
      <c r="O523" s="14"/>
      <c r="P523" s="7"/>
      <c r="Q523" s="21"/>
      <c r="R523" s="14"/>
      <c r="S523" s="14"/>
      <c r="T523" s="14"/>
      <c r="U523" s="14"/>
      <c r="V523" s="14"/>
      <c r="W523" s="14"/>
      <c r="X523" s="14"/>
      <c r="Y523" s="13"/>
      <c r="Z523" s="14"/>
    </row>
    <row r="524" spans="1:26" ht="14.25" customHeight="1" x14ac:dyDescent="0.25">
      <c r="A524" s="14"/>
      <c r="B524" s="14"/>
      <c r="C524" s="14"/>
      <c r="D524" s="14"/>
      <c r="E524" s="122"/>
      <c r="F524" s="14"/>
      <c r="G524" s="14"/>
      <c r="H524" s="14"/>
      <c r="I524" s="14"/>
      <c r="J524" s="14"/>
      <c r="K524" s="7"/>
      <c r="L524" s="14"/>
      <c r="M524" s="7"/>
      <c r="N524" s="14"/>
      <c r="O524" s="14"/>
      <c r="P524" s="7"/>
      <c r="Q524" s="21"/>
      <c r="R524" s="14"/>
      <c r="S524" s="14"/>
      <c r="T524" s="14"/>
      <c r="U524" s="14"/>
      <c r="V524" s="14"/>
      <c r="W524" s="14"/>
      <c r="X524" s="14"/>
      <c r="Y524" s="13"/>
      <c r="Z524" s="14"/>
    </row>
    <row r="525" spans="1:26" ht="14.25" customHeight="1" x14ac:dyDescent="0.25">
      <c r="A525" s="14"/>
      <c r="B525" s="14"/>
      <c r="C525" s="14"/>
      <c r="D525" s="14"/>
      <c r="E525" s="122"/>
      <c r="F525" s="14"/>
      <c r="G525" s="14"/>
      <c r="H525" s="14"/>
      <c r="I525" s="14"/>
      <c r="J525" s="14"/>
      <c r="K525" s="7"/>
      <c r="L525" s="14"/>
      <c r="M525" s="7"/>
      <c r="N525" s="14"/>
      <c r="O525" s="14"/>
      <c r="P525" s="7"/>
      <c r="Q525" s="21"/>
      <c r="R525" s="14"/>
      <c r="S525" s="14"/>
      <c r="T525" s="14"/>
      <c r="U525" s="14"/>
      <c r="V525" s="14"/>
      <c r="W525" s="14"/>
      <c r="X525" s="14"/>
      <c r="Y525" s="13"/>
      <c r="Z525" s="14"/>
    </row>
    <row r="526" spans="1:26" ht="14.25" customHeight="1" x14ac:dyDescent="0.25">
      <c r="A526" s="14"/>
      <c r="B526" s="14"/>
      <c r="C526" s="14"/>
      <c r="D526" s="14"/>
      <c r="E526" s="122"/>
      <c r="F526" s="14"/>
      <c r="G526" s="14"/>
      <c r="H526" s="14"/>
      <c r="I526" s="14"/>
      <c r="J526" s="14"/>
      <c r="K526" s="7"/>
      <c r="L526" s="14"/>
      <c r="M526" s="7"/>
      <c r="N526" s="14"/>
      <c r="O526" s="14"/>
      <c r="P526" s="7"/>
      <c r="Q526" s="21"/>
      <c r="R526" s="14"/>
      <c r="S526" s="14"/>
      <c r="T526" s="14"/>
      <c r="U526" s="14"/>
      <c r="V526" s="14"/>
      <c r="W526" s="14"/>
      <c r="X526" s="14"/>
      <c r="Y526" s="13"/>
      <c r="Z526" s="14"/>
    </row>
    <row r="527" spans="1:26" ht="14.25" customHeight="1" x14ac:dyDescent="0.25">
      <c r="A527" s="14"/>
      <c r="B527" s="14"/>
      <c r="C527" s="14"/>
      <c r="D527" s="14"/>
      <c r="E527" s="122"/>
      <c r="F527" s="14"/>
      <c r="G527" s="14"/>
      <c r="H527" s="14"/>
      <c r="I527" s="14"/>
      <c r="J527" s="14"/>
      <c r="K527" s="7"/>
      <c r="L527" s="14"/>
      <c r="M527" s="7"/>
      <c r="N527" s="14"/>
      <c r="O527" s="14"/>
      <c r="P527" s="7"/>
      <c r="Q527" s="21"/>
      <c r="R527" s="14"/>
      <c r="S527" s="14"/>
      <c r="T527" s="14"/>
      <c r="U527" s="14"/>
      <c r="V527" s="14"/>
      <c r="W527" s="14"/>
      <c r="X527" s="14"/>
      <c r="Y527" s="13"/>
      <c r="Z527" s="14"/>
    </row>
    <row r="528" spans="1:26" ht="14.25" customHeight="1" x14ac:dyDescent="0.25">
      <c r="A528" s="14"/>
      <c r="B528" s="14"/>
      <c r="C528" s="14"/>
      <c r="D528" s="14"/>
      <c r="E528" s="122"/>
      <c r="F528" s="14"/>
      <c r="G528" s="14"/>
      <c r="H528" s="14"/>
      <c r="I528" s="14"/>
      <c r="J528" s="14"/>
      <c r="K528" s="7"/>
      <c r="L528" s="14"/>
      <c r="M528" s="7"/>
      <c r="N528" s="14"/>
      <c r="O528" s="14"/>
      <c r="P528" s="7"/>
      <c r="Q528" s="21"/>
      <c r="R528" s="14"/>
      <c r="S528" s="14"/>
      <c r="T528" s="14"/>
      <c r="U528" s="14"/>
      <c r="V528" s="14"/>
      <c r="W528" s="14"/>
      <c r="X528" s="14"/>
      <c r="Y528" s="13"/>
      <c r="Z528" s="14"/>
    </row>
    <row r="529" spans="1:26" ht="14.25" customHeight="1" x14ac:dyDescent="0.25">
      <c r="A529" s="14"/>
      <c r="B529" s="14"/>
      <c r="C529" s="14"/>
      <c r="D529" s="14"/>
      <c r="E529" s="122"/>
      <c r="F529" s="14"/>
      <c r="G529" s="14"/>
      <c r="H529" s="14"/>
      <c r="I529" s="14"/>
      <c r="J529" s="14"/>
      <c r="K529" s="7"/>
      <c r="L529" s="14"/>
      <c r="M529" s="7"/>
      <c r="N529" s="14"/>
      <c r="O529" s="14"/>
      <c r="P529" s="7"/>
      <c r="Q529" s="21"/>
      <c r="R529" s="14"/>
      <c r="S529" s="14"/>
      <c r="T529" s="14"/>
      <c r="U529" s="14"/>
      <c r="V529" s="14"/>
      <c r="W529" s="14"/>
      <c r="X529" s="14"/>
      <c r="Y529" s="13"/>
      <c r="Z529" s="14"/>
    </row>
    <row r="530" spans="1:26" ht="14.25" customHeight="1" x14ac:dyDescent="0.25">
      <c r="A530" s="14"/>
      <c r="B530" s="14"/>
      <c r="C530" s="14"/>
      <c r="D530" s="14"/>
      <c r="E530" s="122"/>
      <c r="F530" s="14"/>
      <c r="G530" s="14"/>
      <c r="H530" s="14"/>
      <c r="I530" s="14"/>
      <c r="J530" s="14"/>
      <c r="K530" s="7"/>
      <c r="L530" s="14"/>
      <c r="M530" s="7"/>
      <c r="N530" s="14"/>
      <c r="O530" s="14"/>
      <c r="P530" s="7"/>
      <c r="Q530" s="21"/>
      <c r="R530" s="14"/>
      <c r="S530" s="14"/>
      <c r="T530" s="14"/>
      <c r="U530" s="14"/>
      <c r="V530" s="14"/>
      <c r="W530" s="14"/>
      <c r="X530" s="14"/>
      <c r="Y530" s="13"/>
      <c r="Z530" s="14"/>
    </row>
    <row r="531" spans="1:26" ht="14.25" customHeight="1" x14ac:dyDescent="0.25">
      <c r="A531" s="14"/>
      <c r="B531" s="14"/>
      <c r="C531" s="14"/>
      <c r="D531" s="14"/>
      <c r="E531" s="122"/>
      <c r="F531" s="14"/>
      <c r="G531" s="14"/>
      <c r="H531" s="14"/>
      <c r="I531" s="14"/>
      <c r="J531" s="14"/>
      <c r="K531" s="7"/>
      <c r="L531" s="14"/>
      <c r="M531" s="7"/>
      <c r="N531" s="14"/>
      <c r="O531" s="14"/>
      <c r="P531" s="7"/>
      <c r="Q531" s="21"/>
      <c r="R531" s="14"/>
      <c r="S531" s="14"/>
      <c r="T531" s="14"/>
      <c r="U531" s="14"/>
      <c r="V531" s="14"/>
      <c r="W531" s="14"/>
      <c r="X531" s="14"/>
      <c r="Y531" s="13"/>
      <c r="Z531" s="14"/>
    </row>
    <row r="532" spans="1:26" ht="14.25" customHeight="1" x14ac:dyDescent="0.25">
      <c r="A532" s="14"/>
      <c r="B532" s="14"/>
      <c r="C532" s="14"/>
      <c r="D532" s="14"/>
      <c r="E532" s="122"/>
      <c r="F532" s="14"/>
      <c r="G532" s="14"/>
      <c r="H532" s="14"/>
      <c r="I532" s="14"/>
      <c r="J532" s="14"/>
      <c r="K532" s="7"/>
      <c r="L532" s="14"/>
      <c r="M532" s="7"/>
      <c r="N532" s="14"/>
      <c r="O532" s="14"/>
      <c r="P532" s="7"/>
      <c r="Q532" s="21"/>
      <c r="R532" s="14"/>
      <c r="S532" s="14"/>
      <c r="T532" s="14"/>
      <c r="U532" s="14"/>
      <c r="V532" s="14"/>
      <c r="W532" s="14"/>
      <c r="X532" s="14"/>
      <c r="Y532" s="13"/>
      <c r="Z532" s="14"/>
    </row>
    <row r="533" spans="1:26" ht="14.25" customHeight="1" x14ac:dyDescent="0.25">
      <c r="A533" s="14"/>
      <c r="B533" s="14"/>
      <c r="C533" s="14"/>
      <c r="D533" s="14"/>
      <c r="E533" s="122"/>
      <c r="F533" s="14"/>
      <c r="G533" s="14"/>
      <c r="H533" s="14"/>
      <c r="I533" s="14"/>
      <c r="J533" s="14"/>
      <c r="K533" s="7"/>
      <c r="L533" s="14"/>
      <c r="M533" s="7"/>
      <c r="N533" s="14"/>
      <c r="O533" s="14"/>
      <c r="P533" s="7"/>
      <c r="Q533" s="21"/>
      <c r="R533" s="14"/>
      <c r="S533" s="14"/>
      <c r="T533" s="14"/>
      <c r="U533" s="14"/>
      <c r="V533" s="14"/>
      <c r="W533" s="14"/>
      <c r="X533" s="14"/>
      <c r="Y533" s="13"/>
      <c r="Z533" s="14"/>
    </row>
    <row r="534" spans="1:26" ht="14.25" customHeight="1" x14ac:dyDescent="0.25">
      <c r="A534" s="14"/>
      <c r="B534" s="14"/>
      <c r="C534" s="14"/>
      <c r="D534" s="14"/>
      <c r="E534" s="122"/>
      <c r="F534" s="14"/>
      <c r="G534" s="14"/>
      <c r="H534" s="14"/>
      <c r="I534" s="14"/>
      <c r="J534" s="14"/>
      <c r="K534" s="7"/>
      <c r="L534" s="14"/>
      <c r="M534" s="7"/>
      <c r="N534" s="14"/>
      <c r="O534" s="14"/>
      <c r="P534" s="7"/>
      <c r="Q534" s="21"/>
      <c r="R534" s="14"/>
      <c r="S534" s="14"/>
      <c r="T534" s="14"/>
      <c r="U534" s="14"/>
      <c r="V534" s="14"/>
      <c r="W534" s="14"/>
      <c r="X534" s="14"/>
      <c r="Y534" s="13"/>
      <c r="Z534" s="14"/>
    </row>
    <row r="535" spans="1:26" ht="14.25" customHeight="1" x14ac:dyDescent="0.25">
      <c r="A535" s="14"/>
      <c r="B535" s="14"/>
      <c r="C535" s="14"/>
      <c r="D535" s="14"/>
      <c r="E535" s="122"/>
      <c r="F535" s="14"/>
      <c r="G535" s="14"/>
      <c r="H535" s="14"/>
      <c r="I535" s="14"/>
      <c r="J535" s="14"/>
      <c r="K535" s="7"/>
      <c r="L535" s="14"/>
      <c r="M535" s="7"/>
      <c r="N535" s="14"/>
      <c r="O535" s="14"/>
      <c r="P535" s="7"/>
      <c r="Q535" s="21"/>
      <c r="R535" s="14"/>
      <c r="S535" s="14"/>
      <c r="T535" s="14"/>
      <c r="U535" s="14"/>
      <c r="V535" s="14"/>
      <c r="W535" s="14"/>
      <c r="X535" s="14"/>
      <c r="Y535" s="13"/>
      <c r="Z535" s="14"/>
    </row>
    <row r="536" spans="1:26" ht="14.25" customHeight="1" x14ac:dyDescent="0.25">
      <c r="A536" s="14"/>
      <c r="B536" s="14"/>
      <c r="C536" s="14"/>
      <c r="D536" s="14"/>
      <c r="E536" s="122"/>
      <c r="F536" s="14"/>
      <c r="G536" s="14"/>
      <c r="H536" s="14"/>
      <c r="I536" s="14"/>
      <c r="J536" s="14"/>
      <c r="K536" s="7"/>
      <c r="L536" s="14"/>
      <c r="M536" s="7"/>
      <c r="N536" s="14"/>
      <c r="O536" s="14"/>
      <c r="P536" s="7"/>
      <c r="Q536" s="21"/>
      <c r="R536" s="14"/>
      <c r="S536" s="14"/>
      <c r="T536" s="14"/>
      <c r="U536" s="14"/>
      <c r="V536" s="14"/>
      <c r="W536" s="14"/>
      <c r="X536" s="14"/>
      <c r="Y536" s="13"/>
      <c r="Z536" s="14"/>
    </row>
    <row r="537" spans="1:26" ht="14.25" customHeight="1" x14ac:dyDescent="0.25">
      <c r="A537" s="14"/>
      <c r="B537" s="14"/>
      <c r="C537" s="14"/>
      <c r="D537" s="14"/>
      <c r="E537" s="122"/>
      <c r="F537" s="14"/>
      <c r="G537" s="14"/>
      <c r="H537" s="14"/>
      <c r="I537" s="14"/>
      <c r="J537" s="14"/>
      <c r="K537" s="7"/>
      <c r="L537" s="14"/>
      <c r="M537" s="7"/>
      <c r="N537" s="14"/>
      <c r="O537" s="14"/>
      <c r="P537" s="7"/>
      <c r="Q537" s="21"/>
      <c r="R537" s="14"/>
      <c r="S537" s="14"/>
      <c r="T537" s="14"/>
      <c r="U537" s="14"/>
      <c r="V537" s="14"/>
      <c r="W537" s="14"/>
      <c r="X537" s="14"/>
      <c r="Y537" s="13"/>
      <c r="Z537" s="14"/>
    </row>
    <row r="538" spans="1:26" ht="14.25" customHeight="1" x14ac:dyDescent="0.25">
      <c r="A538" s="14"/>
      <c r="B538" s="14"/>
      <c r="C538" s="14"/>
      <c r="D538" s="14"/>
      <c r="E538" s="122"/>
      <c r="F538" s="14"/>
      <c r="G538" s="14"/>
      <c r="H538" s="14"/>
      <c r="I538" s="14"/>
      <c r="J538" s="14"/>
      <c r="K538" s="7"/>
      <c r="L538" s="14"/>
      <c r="M538" s="7"/>
      <c r="N538" s="14"/>
      <c r="O538" s="14"/>
      <c r="P538" s="7"/>
      <c r="Q538" s="21"/>
      <c r="R538" s="14"/>
      <c r="S538" s="14"/>
      <c r="T538" s="14"/>
      <c r="U538" s="14"/>
      <c r="V538" s="14"/>
      <c r="W538" s="14"/>
      <c r="X538" s="14"/>
      <c r="Y538" s="13"/>
      <c r="Z538" s="14"/>
    </row>
    <row r="539" spans="1:26" ht="14.25" customHeight="1" x14ac:dyDescent="0.25">
      <c r="A539" s="14"/>
      <c r="B539" s="14"/>
      <c r="C539" s="14"/>
      <c r="D539" s="14"/>
      <c r="E539" s="122"/>
      <c r="F539" s="14"/>
      <c r="G539" s="14"/>
      <c r="H539" s="14"/>
      <c r="I539" s="14"/>
      <c r="J539" s="14"/>
      <c r="K539" s="7"/>
      <c r="L539" s="14"/>
      <c r="M539" s="7"/>
      <c r="N539" s="14"/>
      <c r="O539" s="14"/>
      <c r="P539" s="7"/>
      <c r="Q539" s="21"/>
      <c r="R539" s="14"/>
      <c r="S539" s="14"/>
      <c r="T539" s="14"/>
      <c r="U539" s="14"/>
      <c r="V539" s="14"/>
      <c r="W539" s="14"/>
      <c r="X539" s="14"/>
      <c r="Y539" s="13"/>
      <c r="Z539" s="14"/>
    </row>
    <row r="540" spans="1:26" ht="14.25" customHeight="1" x14ac:dyDescent="0.25">
      <c r="A540" s="14"/>
      <c r="B540" s="14"/>
      <c r="C540" s="14"/>
      <c r="D540" s="14"/>
      <c r="E540" s="122"/>
      <c r="F540" s="14"/>
      <c r="G540" s="14"/>
      <c r="H540" s="14"/>
      <c r="I540" s="14"/>
      <c r="J540" s="14"/>
      <c r="K540" s="7"/>
      <c r="L540" s="14"/>
      <c r="M540" s="7"/>
      <c r="N540" s="14"/>
      <c r="O540" s="14"/>
      <c r="P540" s="7"/>
      <c r="Q540" s="21"/>
      <c r="R540" s="14"/>
      <c r="S540" s="14"/>
      <c r="T540" s="14"/>
      <c r="U540" s="14"/>
      <c r="V540" s="14"/>
      <c r="W540" s="14"/>
      <c r="X540" s="14"/>
      <c r="Y540" s="13"/>
      <c r="Z540" s="14"/>
    </row>
    <row r="541" spans="1:26" ht="14.25" customHeight="1" x14ac:dyDescent="0.25">
      <c r="A541" s="14"/>
      <c r="B541" s="14"/>
      <c r="C541" s="14"/>
      <c r="D541" s="14"/>
      <c r="E541" s="122"/>
      <c r="F541" s="14"/>
      <c r="G541" s="14"/>
      <c r="H541" s="14"/>
      <c r="I541" s="14"/>
      <c r="J541" s="14"/>
      <c r="K541" s="7"/>
      <c r="L541" s="14"/>
      <c r="M541" s="7"/>
      <c r="N541" s="14"/>
      <c r="O541" s="14"/>
      <c r="P541" s="7"/>
      <c r="Q541" s="21"/>
      <c r="R541" s="14"/>
      <c r="S541" s="14"/>
      <c r="T541" s="14"/>
      <c r="U541" s="14"/>
      <c r="V541" s="14"/>
      <c r="W541" s="14"/>
      <c r="X541" s="14"/>
      <c r="Y541" s="13"/>
      <c r="Z541" s="14"/>
    </row>
    <row r="542" spans="1:26" ht="14.25" customHeight="1" x14ac:dyDescent="0.25">
      <c r="A542" s="14"/>
      <c r="B542" s="14"/>
      <c r="C542" s="14"/>
      <c r="D542" s="14"/>
      <c r="E542" s="122"/>
      <c r="F542" s="14"/>
      <c r="G542" s="14"/>
      <c r="H542" s="14"/>
      <c r="I542" s="14"/>
      <c r="J542" s="14"/>
      <c r="K542" s="7"/>
      <c r="L542" s="14"/>
      <c r="M542" s="7"/>
      <c r="N542" s="14"/>
      <c r="O542" s="14"/>
      <c r="P542" s="7"/>
      <c r="Q542" s="21"/>
      <c r="R542" s="14"/>
      <c r="S542" s="14"/>
      <c r="T542" s="14"/>
      <c r="U542" s="14"/>
      <c r="V542" s="14"/>
      <c r="W542" s="14"/>
      <c r="X542" s="14"/>
      <c r="Y542" s="13"/>
      <c r="Z542" s="14"/>
    </row>
    <row r="543" spans="1:26" ht="14.25" customHeight="1" x14ac:dyDescent="0.25">
      <c r="A543" s="14"/>
      <c r="B543" s="14"/>
      <c r="C543" s="14"/>
      <c r="D543" s="14"/>
      <c r="E543" s="122"/>
      <c r="F543" s="14"/>
      <c r="G543" s="14"/>
      <c r="H543" s="14"/>
      <c r="I543" s="14"/>
      <c r="J543" s="14"/>
      <c r="K543" s="7"/>
      <c r="L543" s="14"/>
      <c r="M543" s="7"/>
      <c r="N543" s="14"/>
      <c r="O543" s="14"/>
      <c r="P543" s="7"/>
      <c r="Q543" s="21"/>
      <c r="R543" s="14"/>
      <c r="S543" s="14"/>
      <c r="T543" s="14"/>
      <c r="U543" s="14"/>
      <c r="V543" s="14"/>
      <c r="W543" s="14"/>
      <c r="X543" s="14"/>
      <c r="Y543" s="13"/>
      <c r="Z543" s="14"/>
    </row>
    <row r="544" spans="1:26" ht="14.25" customHeight="1" x14ac:dyDescent="0.25">
      <c r="A544" s="14"/>
      <c r="B544" s="14"/>
      <c r="C544" s="14"/>
      <c r="D544" s="14"/>
      <c r="E544" s="122"/>
      <c r="F544" s="14"/>
      <c r="G544" s="14"/>
      <c r="H544" s="14"/>
      <c r="I544" s="14"/>
      <c r="J544" s="14"/>
      <c r="K544" s="7"/>
      <c r="L544" s="14"/>
      <c r="M544" s="7"/>
      <c r="N544" s="14"/>
      <c r="O544" s="14"/>
      <c r="P544" s="7"/>
      <c r="Q544" s="21"/>
      <c r="R544" s="14"/>
      <c r="S544" s="14"/>
      <c r="T544" s="14"/>
      <c r="U544" s="14"/>
      <c r="V544" s="14"/>
      <c r="W544" s="14"/>
      <c r="X544" s="14"/>
      <c r="Y544" s="13"/>
      <c r="Z544" s="14"/>
    </row>
    <row r="545" spans="1:26" ht="14.25" customHeight="1" x14ac:dyDescent="0.25">
      <c r="A545" s="14"/>
      <c r="B545" s="14"/>
      <c r="C545" s="14"/>
      <c r="D545" s="14"/>
      <c r="E545" s="122"/>
      <c r="F545" s="14"/>
      <c r="G545" s="14"/>
      <c r="H545" s="14"/>
      <c r="I545" s="14"/>
      <c r="J545" s="14"/>
      <c r="K545" s="7"/>
      <c r="L545" s="14"/>
      <c r="M545" s="7"/>
      <c r="N545" s="14"/>
      <c r="O545" s="14"/>
      <c r="P545" s="7"/>
      <c r="Q545" s="21"/>
      <c r="R545" s="14"/>
      <c r="S545" s="14"/>
      <c r="T545" s="14"/>
      <c r="U545" s="14"/>
      <c r="V545" s="14"/>
      <c r="W545" s="14"/>
      <c r="X545" s="14"/>
      <c r="Y545" s="13"/>
      <c r="Z545" s="14"/>
    </row>
    <row r="546" spans="1:26" ht="14.25" customHeight="1" x14ac:dyDescent="0.25">
      <c r="A546" s="14"/>
      <c r="B546" s="14"/>
      <c r="C546" s="14"/>
      <c r="D546" s="14"/>
      <c r="E546" s="122"/>
      <c r="F546" s="14"/>
      <c r="G546" s="14"/>
      <c r="H546" s="14"/>
      <c r="I546" s="14"/>
      <c r="J546" s="14"/>
      <c r="K546" s="7"/>
      <c r="L546" s="14"/>
      <c r="M546" s="7"/>
      <c r="N546" s="14"/>
      <c r="O546" s="14"/>
      <c r="P546" s="7"/>
      <c r="Q546" s="21"/>
      <c r="R546" s="14"/>
      <c r="S546" s="14"/>
      <c r="T546" s="14"/>
      <c r="U546" s="14"/>
      <c r="V546" s="14"/>
      <c r="W546" s="14"/>
      <c r="X546" s="14"/>
      <c r="Y546" s="13"/>
      <c r="Z546" s="14"/>
    </row>
    <row r="547" spans="1:26" ht="14.25" customHeight="1" x14ac:dyDescent="0.25">
      <c r="A547" s="14"/>
      <c r="B547" s="14"/>
      <c r="C547" s="14"/>
      <c r="D547" s="14"/>
      <c r="E547" s="122"/>
      <c r="F547" s="14"/>
      <c r="G547" s="14"/>
      <c r="H547" s="14"/>
      <c r="I547" s="14"/>
      <c r="J547" s="14"/>
      <c r="K547" s="7"/>
      <c r="L547" s="14"/>
      <c r="M547" s="7"/>
      <c r="N547" s="14"/>
      <c r="O547" s="14"/>
      <c r="P547" s="7"/>
      <c r="Q547" s="21"/>
      <c r="R547" s="14"/>
      <c r="S547" s="14"/>
      <c r="T547" s="14"/>
      <c r="U547" s="14"/>
      <c r="V547" s="14"/>
      <c r="W547" s="14"/>
      <c r="X547" s="14"/>
      <c r="Y547" s="13"/>
      <c r="Z547" s="14"/>
    </row>
    <row r="548" spans="1:26" ht="14.25" customHeight="1" x14ac:dyDescent="0.25">
      <c r="A548" s="14"/>
      <c r="B548" s="14"/>
      <c r="C548" s="14"/>
      <c r="D548" s="14"/>
      <c r="E548" s="122"/>
      <c r="F548" s="14"/>
      <c r="G548" s="14"/>
      <c r="H548" s="14"/>
      <c r="I548" s="14"/>
      <c r="J548" s="14"/>
      <c r="K548" s="7"/>
      <c r="L548" s="14"/>
      <c r="M548" s="7"/>
      <c r="N548" s="14"/>
      <c r="O548" s="14"/>
      <c r="P548" s="7"/>
      <c r="Q548" s="21"/>
      <c r="R548" s="14"/>
      <c r="S548" s="14"/>
      <c r="T548" s="14"/>
      <c r="U548" s="14"/>
      <c r="V548" s="14"/>
      <c r="W548" s="14"/>
      <c r="X548" s="14"/>
      <c r="Y548" s="13"/>
      <c r="Z548" s="14"/>
    </row>
    <row r="549" spans="1:26" ht="14.25" customHeight="1" x14ac:dyDescent="0.25">
      <c r="A549" s="14"/>
      <c r="B549" s="14"/>
      <c r="C549" s="14"/>
      <c r="D549" s="14"/>
      <c r="E549" s="122"/>
      <c r="F549" s="14"/>
      <c r="G549" s="14"/>
      <c r="H549" s="14"/>
      <c r="I549" s="14"/>
      <c r="J549" s="14"/>
      <c r="K549" s="7"/>
      <c r="L549" s="14"/>
      <c r="M549" s="7"/>
      <c r="N549" s="14"/>
      <c r="O549" s="14"/>
      <c r="P549" s="7"/>
      <c r="Q549" s="21"/>
      <c r="R549" s="14"/>
      <c r="S549" s="14"/>
      <c r="T549" s="14"/>
      <c r="U549" s="14"/>
      <c r="V549" s="14"/>
      <c r="W549" s="14"/>
      <c r="X549" s="14"/>
      <c r="Y549" s="13"/>
      <c r="Z549" s="14"/>
    </row>
    <row r="550" spans="1:26" ht="14.25" customHeight="1" x14ac:dyDescent="0.25">
      <c r="A550" s="14"/>
      <c r="B550" s="14"/>
      <c r="C550" s="14"/>
      <c r="D550" s="14"/>
      <c r="E550" s="122"/>
      <c r="F550" s="14"/>
      <c r="G550" s="14"/>
      <c r="H550" s="14"/>
      <c r="I550" s="14"/>
      <c r="J550" s="14"/>
      <c r="K550" s="7"/>
      <c r="L550" s="14"/>
      <c r="M550" s="7"/>
      <c r="N550" s="14"/>
      <c r="O550" s="14"/>
      <c r="P550" s="7"/>
      <c r="Q550" s="21"/>
      <c r="R550" s="14"/>
      <c r="S550" s="14"/>
      <c r="T550" s="14"/>
      <c r="U550" s="14"/>
      <c r="V550" s="14"/>
      <c r="W550" s="14"/>
      <c r="X550" s="14"/>
      <c r="Y550" s="13"/>
      <c r="Z550" s="14"/>
    </row>
    <row r="551" spans="1:26" ht="14.25" customHeight="1" x14ac:dyDescent="0.25">
      <c r="A551" s="14"/>
      <c r="B551" s="14"/>
      <c r="C551" s="14"/>
      <c r="D551" s="14"/>
      <c r="E551" s="122"/>
      <c r="F551" s="14"/>
      <c r="G551" s="14"/>
      <c r="H551" s="14"/>
      <c r="I551" s="14"/>
      <c r="J551" s="14"/>
      <c r="K551" s="7"/>
      <c r="L551" s="14"/>
      <c r="M551" s="7"/>
      <c r="N551" s="14"/>
      <c r="O551" s="14"/>
      <c r="P551" s="7"/>
      <c r="Q551" s="21"/>
      <c r="R551" s="14"/>
      <c r="S551" s="14"/>
      <c r="T551" s="14"/>
      <c r="U551" s="14"/>
      <c r="V551" s="14"/>
      <c r="W551" s="14"/>
      <c r="X551" s="14"/>
      <c r="Y551" s="13"/>
      <c r="Z551" s="14"/>
    </row>
    <row r="552" spans="1:26" ht="14.25" customHeight="1" x14ac:dyDescent="0.25">
      <c r="A552" s="14"/>
      <c r="B552" s="14"/>
      <c r="C552" s="14"/>
      <c r="D552" s="14"/>
      <c r="E552" s="122"/>
      <c r="F552" s="14"/>
      <c r="G552" s="14"/>
      <c r="H552" s="14"/>
      <c r="I552" s="14"/>
      <c r="J552" s="14"/>
      <c r="K552" s="7"/>
      <c r="L552" s="14"/>
      <c r="M552" s="7"/>
      <c r="N552" s="14"/>
      <c r="O552" s="14"/>
      <c r="P552" s="7"/>
      <c r="Q552" s="21"/>
      <c r="R552" s="14"/>
      <c r="S552" s="14"/>
      <c r="T552" s="14"/>
      <c r="U552" s="14"/>
      <c r="V552" s="14"/>
      <c r="W552" s="14"/>
      <c r="X552" s="14"/>
      <c r="Y552" s="13"/>
      <c r="Z552" s="14"/>
    </row>
    <row r="553" spans="1:26" ht="14.25" customHeight="1" x14ac:dyDescent="0.25">
      <c r="A553" s="14"/>
      <c r="B553" s="14"/>
      <c r="C553" s="14"/>
      <c r="D553" s="14"/>
      <c r="E553" s="122"/>
      <c r="F553" s="14"/>
      <c r="G553" s="14"/>
      <c r="H553" s="14"/>
      <c r="I553" s="14"/>
      <c r="J553" s="14"/>
      <c r="K553" s="7"/>
      <c r="L553" s="14"/>
      <c r="M553" s="7"/>
      <c r="N553" s="14"/>
      <c r="O553" s="14"/>
      <c r="P553" s="7"/>
      <c r="Q553" s="21"/>
      <c r="R553" s="14"/>
      <c r="S553" s="14"/>
      <c r="T553" s="14"/>
      <c r="U553" s="14"/>
      <c r="V553" s="14"/>
      <c r="W553" s="14"/>
      <c r="X553" s="14"/>
      <c r="Y553" s="13"/>
      <c r="Z553" s="14"/>
    </row>
    <row r="554" spans="1:26" ht="14.25" customHeight="1" x14ac:dyDescent="0.25">
      <c r="A554" s="14"/>
      <c r="B554" s="14"/>
      <c r="C554" s="14"/>
      <c r="D554" s="14"/>
      <c r="E554" s="122"/>
      <c r="F554" s="14"/>
      <c r="G554" s="14"/>
      <c r="H554" s="14"/>
      <c r="I554" s="14"/>
      <c r="J554" s="14"/>
      <c r="K554" s="7"/>
      <c r="L554" s="14"/>
      <c r="M554" s="7"/>
      <c r="N554" s="14"/>
      <c r="O554" s="14"/>
      <c r="P554" s="7"/>
      <c r="Q554" s="21"/>
      <c r="R554" s="14"/>
      <c r="S554" s="14"/>
      <c r="T554" s="14"/>
      <c r="U554" s="14"/>
      <c r="V554" s="14"/>
      <c r="W554" s="14"/>
      <c r="X554" s="14"/>
      <c r="Y554" s="13"/>
      <c r="Z554" s="14"/>
    </row>
    <row r="555" spans="1:26" ht="14.25" customHeight="1" x14ac:dyDescent="0.25">
      <c r="A555" s="14"/>
      <c r="B555" s="14"/>
      <c r="C555" s="14"/>
      <c r="D555" s="14"/>
      <c r="E555" s="122"/>
      <c r="F555" s="14"/>
      <c r="G555" s="14"/>
      <c r="H555" s="14"/>
      <c r="I555" s="14"/>
      <c r="J555" s="14"/>
      <c r="K555" s="7"/>
      <c r="L555" s="14"/>
      <c r="M555" s="7"/>
      <c r="N555" s="14"/>
      <c r="O555" s="14"/>
      <c r="P555" s="7"/>
      <c r="Q555" s="21"/>
      <c r="R555" s="14"/>
      <c r="S555" s="14"/>
      <c r="T555" s="14"/>
      <c r="U555" s="14"/>
      <c r="V555" s="14"/>
      <c r="W555" s="14"/>
      <c r="X555" s="14"/>
      <c r="Y555" s="13"/>
      <c r="Z555" s="14"/>
    </row>
    <row r="556" spans="1:26" ht="14.25" customHeight="1" x14ac:dyDescent="0.25">
      <c r="A556" s="14"/>
      <c r="B556" s="14"/>
      <c r="C556" s="14"/>
      <c r="D556" s="14"/>
      <c r="E556" s="122"/>
      <c r="F556" s="14"/>
      <c r="G556" s="14"/>
      <c r="H556" s="14"/>
      <c r="I556" s="14"/>
      <c r="J556" s="14"/>
      <c r="K556" s="7"/>
      <c r="L556" s="14"/>
      <c r="M556" s="7"/>
      <c r="N556" s="14"/>
      <c r="O556" s="14"/>
      <c r="P556" s="7"/>
      <c r="Q556" s="21"/>
      <c r="R556" s="14"/>
      <c r="S556" s="14"/>
      <c r="T556" s="14"/>
      <c r="U556" s="14"/>
      <c r="V556" s="14"/>
      <c r="W556" s="14"/>
      <c r="X556" s="14"/>
      <c r="Y556" s="13"/>
      <c r="Z556" s="14"/>
    </row>
    <row r="557" spans="1:26" ht="14.25" customHeight="1" x14ac:dyDescent="0.25">
      <c r="A557" s="14"/>
      <c r="B557" s="14"/>
      <c r="C557" s="14"/>
      <c r="D557" s="14"/>
      <c r="E557" s="122"/>
      <c r="F557" s="14"/>
      <c r="G557" s="14"/>
      <c r="H557" s="14"/>
      <c r="I557" s="14"/>
      <c r="J557" s="14"/>
      <c r="K557" s="7"/>
      <c r="L557" s="14"/>
      <c r="M557" s="7"/>
      <c r="N557" s="14"/>
      <c r="O557" s="14"/>
      <c r="P557" s="7"/>
      <c r="Q557" s="21"/>
      <c r="R557" s="14"/>
      <c r="S557" s="14"/>
      <c r="T557" s="14"/>
      <c r="U557" s="14"/>
      <c r="V557" s="14"/>
      <c r="W557" s="14"/>
      <c r="X557" s="14"/>
      <c r="Y557" s="13"/>
      <c r="Z557" s="14"/>
    </row>
    <row r="558" spans="1:26" ht="14.25" customHeight="1" x14ac:dyDescent="0.25">
      <c r="A558" s="14"/>
      <c r="B558" s="14"/>
      <c r="C558" s="14"/>
      <c r="D558" s="14"/>
      <c r="E558" s="122"/>
      <c r="F558" s="14"/>
      <c r="G558" s="14"/>
      <c r="H558" s="14"/>
      <c r="I558" s="14"/>
      <c r="J558" s="14"/>
      <c r="K558" s="7"/>
      <c r="L558" s="14"/>
      <c r="M558" s="7"/>
      <c r="N558" s="14"/>
      <c r="O558" s="14"/>
      <c r="P558" s="7"/>
      <c r="Q558" s="21"/>
      <c r="R558" s="14"/>
      <c r="S558" s="14"/>
      <c r="T558" s="14"/>
      <c r="U558" s="14"/>
      <c r="V558" s="14"/>
      <c r="W558" s="14"/>
      <c r="X558" s="14"/>
      <c r="Y558" s="13"/>
      <c r="Z558" s="14"/>
    </row>
    <row r="559" spans="1:26" ht="14.25" customHeight="1" x14ac:dyDescent="0.25">
      <c r="A559" s="14"/>
      <c r="B559" s="14"/>
      <c r="C559" s="14"/>
      <c r="D559" s="14"/>
      <c r="E559" s="122"/>
      <c r="F559" s="14"/>
      <c r="G559" s="14"/>
      <c r="H559" s="14"/>
      <c r="I559" s="14"/>
      <c r="J559" s="14"/>
      <c r="K559" s="7"/>
      <c r="L559" s="14"/>
      <c r="M559" s="7"/>
      <c r="N559" s="14"/>
      <c r="O559" s="14"/>
      <c r="P559" s="7"/>
      <c r="Q559" s="21"/>
      <c r="R559" s="14"/>
      <c r="S559" s="14"/>
      <c r="T559" s="14"/>
      <c r="U559" s="14"/>
      <c r="V559" s="14"/>
      <c r="W559" s="14"/>
      <c r="X559" s="14"/>
      <c r="Y559" s="13"/>
      <c r="Z559" s="14"/>
    </row>
    <row r="560" spans="1:26" ht="14.25" customHeight="1" x14ac:dyDescent="0.25">
      <c r="A560" s="14"/>
      <c r="B560" s="14"/>
      <c r="C560" s="14"/>
      <c r="D560" s="14"/>
      <c r="E560" s="122"/>
      <c r="F560" s="14"/>
      <c r="G560" s="14"/>
      <c r="H560" s="14"/>
      <c r="I560" s="14"/>
      <c r="J560" s="14"/>
      <c r="K560" s="7"/>
      <c r="L560" s="14"/>
      <c r="M560" s="7"/>
      <c r="N560" s="14"/>
      <c r="O560" s="14"/>
      <c r="P560" s="7"/>
      <c r="Q560" s="21"/>
      <c r="R560" s="14"/>
      <c r="S560" s="14"/>
      <c r="T560" s="14"/>
      <c r="U560" s="14"/>
      <c r="V560" s="14"/>
      <c r="W560" s="14"/>
      <c r="X560" s="14"/>
      <c r="Y560" s="13"/>
      <c r="Z560" s="14"/>
    </row>
    <row r="561" spans="1:26" ht="14.25" customHeight="1" x14ac:dyDescent="0.25">
      <c r="A561" s="14"/>
      <c r="B561" s="14"/>
      <c r="C561" s="14"/>
      <c r="D561" s="14"/>
      <c r="E561" s="122"/>
      <c r="F561" s="14"/>
      <c r="G561" s="14"/>
      <c r="H561" s="14"/>
      <c r="I561" s="14"/>
      <c r="J561" s="14"/>
      <c r="K561" s="7"/>
      <c r="L561" s="14"/>
      <c r="M561" s="7"/>
      <c r="N561" s="14"/>
      <c r="O561" s="14"/>
      <c r="P561" s="7"/>
      <c r="Q561" s="21"/>
      <c r="R561" s="14"/>
      <c r="S561" s="14"/>
      <c r="T561" s="14"/>
      <c r="U561" s="14"/>
      <c r="V561" s="14"/>
      <c r="W561" s="14"/>
      <c r="X561" s="14"/>
      <c r="Y561" s="13"/>
      <c r="Z561" s="14"/>
    </row>
    <row r="562" spans="1:26" ht="14.25" customHeight="1" x14ac:dyDescent="0.25">
      <c r="A562" s="14"/>
      <c r="B562" s="14"/>
      <c r="C562" s="14"/>
      <c r="D562" s="14"/>
      <c r="E562" s="122"/>
      <c r="F562" s="14"/>
      <c r="G562" s="14"/>
      <c r="H562" s="14"/>
      <c r="I562" s="14"/>
      <c r="J562" s="14"/>
      <c r="K562" s="7"/>
      <c r="L562" s="14"/>
      <c r="M562" s="7"/>
      <c r="N562" s="14"/>
      <c r="O562" s="14"/>
      <c r="P562" s="7"/>
      <c r="Q562" s="21"/>
      <c r="R562" s="14"/>
      <c r="S562" s="14"/>
      <c r="T562" s="14"/>
      <c r="U562" s="14"/>
      <c r="V562" s="14"/>
      <c r="W562" s="14"/>
      <c r="X562" s="14"/>
      <c r="Y562" s="13"/>
      <c r="Z562" s="14"/>
    </row>
    <row r="563" spans="1:26" ht="14.25" customHeight="1" x14ac:dyDescent="0.25">
      <c r="A563" s="14"/>
      <c r="B563" s="14"/>
      <c r="C563" s="14"/>
      <c r="D563" s="14"/>
      <c r="E563" s="122"/>
      <c r="F563" s="14"/>
      <c r="G563" s="14"/>
      <c r="H563" s="14"/>
      <c r="I563" s="14"/>
      <c r="J563" s="14"/>
      <c r="K563" s="7"/>
      <c r="L563" s="14"/>
      <c r="M563" s="7"/>
      <c r="N563" s="14"/>
      <c r="O563" s="14"/>
      <c r="P563" s="7"/>
      <c r="Q563" s="21"/>
      <c r="R563" s="14"/>
      <c r="S563" s="14"/>
      <c r="T563" s="14"/>
      <c r="U563" s="14"/>
      <c r="V563" s="14"/>
      <c r="W563" s="14"/>
      <c r="X563" s="14"/>
      <c r="Y563" s="13"/>
      <c r="Z563" s="14"/>
    </row>
    <row r="564" spans="1:26" ht="14.25" customHeight="1" x14ac:dyDescent="0.25">
      <c r="A564" s="14"/>
      <c r="B564" s="14"/>
      <c r="C564" s="14"/>
      <c r="D564" s="14"/>
      <c r="E564" s="122"/>
      <c r="F564" s="14"/>
      <c r="G564" s="14"/>
      <c r="H564" s="14"/>
      <c r="I564" s="14"/>
      <c r="J564" s="14"/>
      <c r="K564" s="7"/>
      <c r="L564" s="14"/>
      <c r="M564" s="7"/>
      <c r="N564" s="14"/>
      <c r="O564" s="14"/>
      <c r="P564" s="7"/>
      <c r="Q564" s="21"/>
      <c r="R564" s="14"/>
      <c r="S564" s="14"/>
      <c r="T564" s="14"/>
      <c r="U564" s="14"/>
      <c r="V564" s="14"/>
      <c r="W564" s="14"/>
      <c r="X564" s="14"/>
      <c r="Y564" s="13"/>
      <c r="Z564" s="14"/>
    </row>
    <row r="565" spans="1:26" ht="14.25" customHeight="1" x14ac:dyDescent="0.25">
      <c r="A565" s="14"/>
      <c r="B565" s="14"/>
      <c r="C565" s="14"/>
      <c r="D565" s="14"/>
      <c r="E565" s="122"/>
      <c r="F565" s="14"/>
      <c r="G565" s="14"/>
      <c r="H565" s="14"/>
      <c r="I565" s="14"/>
      <c r="J565" s="14"/>
      <c r="K565" s="7"/>
      <c r="L565" s="14"/>
      <c r="M565" s="7"/>
      <c r="N565" s="14"/>
      <c r="O565" s="14"/>
      <c r="P565" s="7"/>
      <c r="Q565" s="21"/>
      <c r="R565" s="14"/>
      <c r="S565" s="14"/>
      <c r="T565" s="14"/>
      <c r="U565" s="14"/>
      <c r="V565" s="14"/>
      <c r="W565" s="14"/>
      <c r="X565" s="14"/>
      <c r="Y565" s="13"/>
      <c r="Z565" s="14"/>
    </row>
    <row r="566" spans="1:26" ht="14.25" customHeight="1" x14ac:dyDescent="0.25">
      <c r="A566" s="14"/>
      <c r="B566" s="14"/>
      <c r="C566" s="14"/>
      <c r="D566" s="14"/>
      <c r="E566" s="122"/>
      <c r="F566" s="14"/>
      <c r="G566" s="14"/>
      <c r="H566" s="14"/>
      <c r="I566" s="14"/>
      <c r="J566" s="14"/>
      <c r="K566" s="7"/>
      <c r="L566" s="14"/>
      <c r="M566" s="7"/>
      <c r="N566" s="14"/>
      <c r="O566" s="14"/>
      <c r="P566" s="7"/>
      <c r="Q566" s="21"/>
      <c r="R566" s="14"/>
      <c r="S566" s="14"/>
      <c r="T566" s="14"/>
      <c r="U566" s="14"/>
      <c r="V566" s="14"/>
      <c r="W566" s="14"/>
      <c r="X566" s="14"/>
      <c r="Y566" s="13"/>
      <c r="Z566" s="14"/>
    </row>
    <row r="567" spans="1:26" ht="14.25" customHeight="1" x14ac:dyDescent="0.25">
      <c r="A567" s="14"/>
      <c r="B567" s="14"/>
      <c r="C567" s="14"/>
      <c r="D567" s="14"/>
      <c r="E567" s="122"/>
      <c r="F567" s="14"/>
      <c r="G567" s="14"/>
      <c r="H567" s="14"/>
      <c r="I567" s="14"/>
      <c r="J567" s="14"/>
      <c r="K567" s="7"/>
      <c r="L567" s="14"/>
      <c r="M567" s="7"/>
      <c r="N567" s="14"/>
      <c r="O567" s="14"/>
      <c r="P567" s="7"/>
      <c r="Q567" s="21"/>
      <c r="R567" s="14"/>
      <c r="S567" s="14"/>
      <c r="T567" s="14"/>
      <c r="U567" s="14"/>
      <c r="V567" s="14"/>
      <c r="W567" s="14"/>
      <c r="X567" s="14"/>
      <c r="Y567" s="13"/>
      <c r="Z567" s="14"/>
    </row>
    <row r="568" spans="1:26" ht="14.25" customHeight="1" x14ac:dyDescent="0.25">
      <c r="A568" s="14"/>
      <c r="B568" s="14"/>
      <c r="C568" s="14"/>
      <c r="D568" s="14"/>
      <c r="E568" s="122"/>
      <c r="F568" s="14"/>
      <c r="G568" s="14"/>
      <c r="H568" s="14"/>
      <c r="I568" s="14"/>
      <c r="J568" s="14"/>
      <c r="K568" s="7"/>
      <c r="L568" s="14"/>
      <c r="M568" s="7"/>
      <c r="N568" s="14"/>
      <c r="O568" s="14"/>
      <c r="P568" s="7"/>
      <c r="Q568" s="21"/>
      <c r="R568" s="14"/>
      <c r="S568" s="14"/>
      <c r="T568" s="14"/>
      <c r="U568" s="14"/>
      <c r="V568" s="14"/>
      <c r="W568" s="14"/>
      <c r="X568" s="14"/>
      <c r="Y568" s="13"/>
      <c r="Z568" s="14"/>
    </row>
    <row r="569" spans="1:26" ht="14.25" customHeight="1" x14ac:dyDescent="0.25">
      <c r="A569" s="14"/>
      <c r="B569" s="14"/>
      <c r="C569" s="14"/>
      <c r="D569" s="14"/>
      <c r="E569" s="122"/>
      <c r="F569" s="14"/>
      <c r="G569" s="14"/>
      <c r="H569" s="14"/>
      <c r="I569" s="14"/>
      <c r="J569" s="14"/>
      <c r="K569" s="7"/>
      <c r="L569" s="14"/>
      <c r="M569" s="7"/>
      <c r="N569" s="14"/>
      <c r="O569" s="14"/>
      <c r="P569" s="7"/>
      <c r="Q569" s="21"/>
      <c r="R569" s="14"/>
      <c r="S569" s="14"/>
      <c r="T569" s="14"/>
      <c r="U569" s="14"/>
      <c r="V569" s="14"/>
      <c r="W569" s="14"/>
      <c r="X569" s="14"/>
      <c r="Y569" s="13"/>
      <c r="Z569" s="14"/>
    </row>
    <row r="570" spans="1:26" ht="14.25" customHeight="1" x14ac:dyDescent="0.25">
      <c r="A570" s="14"/>
      <c r="B570" s="14"/>
      <c r="C570" s="14"/>
      <c r="D570" s="14"/>
      <c r="E570" s="122"/>
      <c r="F570" s="14"/>
      <c r="G570" s="14"/>
      <c r="H570" s="14"/>
      <c r="I570" s="14"/>
      <c r="J570" s="14"/>
      <c r="K570" s="7"/>
      <c r="L570" s="14"/>
      <c r="M570" s="7"/>
      <c r="N570" s="14"/>
      <c r="O570" s="14"/>
      <c r="P570" s="7"/>
      <c r="Q570" s="21"/>
      <c r="R570" s="14"/>
      <c r="S570" s="14"/>
      <c r="T570" s="14"/>
      <c r="U570" s="14"/>
      <c r="V570" s="14"/>
      <c r="W570" s="14"/>
      <c r="X570" s="14"/>
      <c r="Y570" s="13"/>
      <c r="Z570" s="14"/>
    </row>
    <row r="571" spans="1:26" ht="14.25" customHeight="1" x14ac:dyDescent="0.25">
      <c r="A571" s="14"/>
      <c r="B571" s="14"/>
      <c r="C571" s="14"/>
      <c r="D571" s="14"/>
      <c r="E571" s="122"/>
      <c r="F571" s="14"/>
      <c r="G571" s="14"/>
      <c r="H571" s="14"/>
      <c r="I571" s="14"/>
      <c r="J571" s="14"/>
      <c r="K571" s="7"/>
      <c r="L571" s="14"/>
      <c r="M571" s="7"/>
      <c r="N571" s="14"/>
      <c r="O571" s="14"/>
      <c r="P571" s="7"/>
      <c r="Q571" s="21"/>
      <c r="R571" s="14"/>
      <c r="S571" s="14"/>
      <c r="T571" s="14"/>
      <c r="U571" s="14"/>
      <c r="V571" s="14"/>
      <c r="W571" s="14"/>
      <c r="X571" s="14"/>
      <c r="Y571" s="13"/>
      <c r="Z571" s="14"/>
    </row>
    <row r="572" spans="1:26" ht="14.25" customHeight="1" x14ac:dyDescent="0.25">
      <c r="A572" s="14"/>
      <c r="B572" s="14"/>
      <c r="C572" s="14"/>
      <c r="D572" s="14"/>
      <c r="E572" s="122"/>
      <c r="F572" s="14"/>
      <c r="G572" s="14"/>
      <c r="H572" s="14"/>
      <c r="I572" s="14"/>
      <c r="J572" s="14"/>
      <c r="K572" s="7"/>
      <c r="L572" s="14"/>
      <c r="M572" s="7"/>
      <c r="N572" s="14"/>
      <c r="O572" s="14"/>
      <c r="P572" s="7"/>
      <c r="Q572" s="21"/>
      <c r="R572" s="14"/>
      <c r="S572" s="14"/>
      <c r="T572" s="14"/>
      <c r="U572" s="14"/>
      <c r="V572" s="14"/>
      <c r="W572" s="14"/>
      <c r="X572" s="14"/>
      <c r="Y572" s="13"/>
      <c r="Z572" s="14"/>
    </row>
    <row r="573" spans="1:26" ht="14.25" customHeight="1" x14ac:dyDescent="0.25">
      <c r="A573" s="14"/>
      <c r="B573" s="14"/>
      <c r="C573" s="14"/>
      <c r="D573" s="14"/>
      <c r="E573" s="122"/>
      <c r="F573" s="14"/>
      <c r="G573" s="14"/>
      <c r="H573" s="14"/>
      <c r="I573" s="14"/>
      <c r="J573" s="14"/>
      <c r="K573" s="7"/>
      <c r="L573" s="14"/>
      <c r="M573" s="7"/>
      <c r="N573" s="14"/>
      <c r="O573" s="14"/>
      <c r="P573" s="7"/>
      <c r="Q573" s="21"/>
      <c r="R573" s="14"/>
      <c r="S573" s="14"/>
      <c r="T573" s="14"/>
      <c r="U573" s="14"/>
      <c r="V573" s="14"/>
      <c r="W573" s="14"/>
      <c r="X573" s="14"/>
      <c r="Y573" s="13"/>
      <c r="Z573" s="14"/>
    </row>
    <row r="574" spans="1:26" ht="14.25" customHeight="1" x14ac:dyDescent="0.25">
      <c r="A574" s="14"/>
      <c r="B574" s="14"/>
      <c r="C574" s="14"/>
      <c r="D574" s="14"/>
      <c r="E574" s="122"/>
      <c r="F574" s="14"/>
      <c r="G574" s="14"/>
      <c r="H574" s="14"/>
      <c r="I574" s="14"/>
      <c r="J574" s="14"/>
      <c r="K574" s="7"/>
      <c r="L574" s="14"/>
      <c r="M574" s="7"/>
      <c r="N574" s="14"/>
      <c r="O574" s="14"/>
      <c r="P574" s="7"/>
      <c r="Q574" s="21"/>
      <c r="R574" s="14"/>
      <c r="S574" s="14"/>
      <c r="T574" s="14"/>
      <c r="U574" s="14"/>
      <c r="V574" s="14"/>
      <c r="W574" s="14"/>
      <c r="X574" s="14"/>
      <c r="Y574" s="13"/>
      <c r="Z574" s="14"/>
    </row>
    <row r="575" spans="1:26" ht="14.25" customHeight="1" x14ac:dyDescent="0.25">
      <c r="A575" s="14"/>
      <c r="B575" s="14"/>
      <c r="C575" s="14"/>
      <c r="D575" s="14"/>
      <c r="E575" s="122"/>
      <c r="F575" s="14"/>
      <c r="G575" s="14"/>
      <c r="H575" s="14"/>
      <c r="I575" s="14"/>
      <c r="J575" s="14"/>
      <c r="K575" s="7"/>
      <c r="L575" s="14"/>
      <c r="M575" s="7"/>
      <c r="N575" s="14"/>
      <c r="O575" s="14"/>
      <c r="P575" s="7"/>
      <c r="Q575" s="21"/>
      <c r="R575" s="14"/>
      <c r="S575" s="14"/>
      <c r="T575" s="14"/>
      <c r="U575" s="14"/>
      <c r="V575" s="14"/>
      <c r="W575" s="14"/>
      <c r="X575" s="14"/>
      <c r="Y575" s="13"/>
      <c r="Z575" s="14"/>
    </row>
    <row r="576" spans="1:26" ht="14.25" customHeight="1" x14ac:dyDescent="0.25">
      <c r="A576" s="14"/>
      <c r="B576" s="14"/>
      <c r="C576" s="14"/>
      <c r="D576" s="14"/>
      <c r="E576" s="122"/>
      <c r="F576" s="14"/>
      <c r="G576" s="14"/>
      <c r="H576" s="14"/>
      <c r="I576" s="14"/>
      <c r="J576" s="14"/>
      <c r="K576" s="7"/>
      <c r="L576" s="14"/>
      <c r="M576" s="7"/>
      <c r="N576" s="14"/>
      <c r="O576" s="14"/>
      <c r="P576" s="7"/>
      <c r="Q576" s="21"/>
      <c r="R576" s="14"/>
      <c r="S576" s="14"/>
      <c r="T576" s="14"/>
      <c r="U576" s="14"/>
      <c r="V576" s="14"/>
      <c r="W576" s="14"/>
      <c r="X576" s="14"/>
      <c r="Y576" s="13"/>
      <c r="Z576" s="14"/>
    </row>
    <row r="577" spans="1:26" ht="14.25" customHeight="1" x14ac:dyDescent="0.25">
      <c r="A577" s="14"/>
      <c r="B577" s="14"/>
      <c r="C577" s="14"/>
      <c r="D577" s="14"/>
      <c r="E577" s="122"/>
      <c r="F577" s="14"/>
      <c r="G577" s="14"/>
      <c r="H577" s="14"/>
      <c r="I577" s="14"/>
      <c r="J577" s="14"/>
      <c r="K577" s="7"/>
      <c r="L577" s="14"/>
      <c r="M577" s="7"/>
      <c r="N577" s="14"/>
      <c r="O577" s="14"/>
      <c r="P577" s="7"/>
      <c r="Q577" s="21"/>
      <c r="R577" s="14"/>
      <c r="S577" s="14"/>
      <c r="T577" s="14"/>
      <c r="U577" s="14"/>
      <c r="V577" s="14"/>
      <c r="W577" s="14"/>
      <c r="X577" s="14"/>
      <c r="Y577" s="13"/>
      <c r="Z577" s="14"/>
    </row>
    <row r="578" spans="1:26" ht="14.25" customHeight="1" x14ac:dyDescent="0.25">
      <c r="A578" s="14"/>
      <c r="B578" s="14"/>
      <c r="C578" s="14"/>
      <c r="D578" s="14"/>
      <c r="E578" s="122"/>
      <c r="F578" s="14"/>
      <c r="G578" s="14"/>
      <c r="H578" s="14"/>
      <c r="I578" s="14"/>
      <c r="J578" s="14"/>
      <c r="K578" s="7"/>
      <c r="L578" s="14"/>
      <c r="M578" s="7"/>
      <c r="N578" s="14"/>
      <c r="O578" s="14"/>
      <c r="P578" s="7"/>
      <c r="Q578" s="21"/>
      <c r="R578" s="14"/>
      <c r="S578" s="14"/>
      <c r="T578" s="14"/>
      <c r="U578" s="14"/>
      <c r="V578" s="14"/>
      <c r="W578" s="14"/>
      <c r="X578" s="14"/>
      <c r="Y578" s="13"/>
      <c r="Z578" s="14"/>
    </row>
    <row r="579" spans="1:26" ht="14.25" customHeight="1" x14ac:dyDescent="0.25">
      <c r="A579" s="14"/>
      <c r="B579" s="14"/>
      <c r="C579" s="14"/>
      <c r="D579" s="14"/>
      <c r="E579" s="122"/>
      <c r="F579" s="14"/>
      <c r="G579" s="14"/>
      <c r="H579" s="14"/>
      <c r="I579" s="14"/>
      <c r="J579" s="14"/>
      <c r="K579" s="7"/>
      <c r="L579" s="14"/>
      <c r="M579" s="7"/>
      <c r="N579" s="14"/>
      <c r="O579" s="14"/>
      <c r="P579" s="7"/>
      <c r="Q579" s="21"/>
      <c r="R579" s="14"/>
      <c r="S579" s="14"/>
      <c r="T579" s="14"/>
      <c r="U579" s="14"/>
      <c r="V579" s="14"/>
      <c r="W579" s="14"/>
      <c r="X579" s="14"/>
      <c r="Y579" s="13"/>
      <c r="Z579" s="14"/>
    </row>
    <row r="580" spans="1:26" ht="14.25" customHeight="1" x14ac:dyDescent="0.25">
      <c r="A580" s="14"/>
      <c r="B580" s="14"/>
      <c r="C580" s="14"/>
      <c r="D580" s="14"/>
      <c r="E580" s="122"/>
      <c r="F580" s="14"/>
      <c r="G580" s="14"/>
      <c r="H580" s="14"/>
      <c r="I580" s="14"/>
      <c r="J580" s="14"/>
      <c r="K580" s="7"/>
      <c r="L580" s="14"/>
      <c r="M580" s="7"/>
      <c r="N580" s="14"/>
      <c r="O580" s="14"/>
      <c r="P580" s="7"/>
      <c r="Q580" s="21"/>
      <c r="R580" s="14"/>
      <c r="S580" s="14"/>
      <c r="T580" s="14"/>
      <c r="U580" s="14"/>
      <c r="V580" s="14"/>
      <c r="W580" s="14"/>
      <c r="X580" s="14"/>
      <c r="Y580" s="13"/>
      <c r="Z580" s="14"/>
    </row>
    <row r="581" spans="1:26" ht="14.25" customHeight="1" x14ac:dyDescent="0.25">
      <c r="A581" s="14"/>
      <c r="B581" s="14"/>
      <c r="C581" s="14"/>
      <c r="D581" s="14"/>
      <c r="E581" s="122"/>
      <c r="F581" s="14"/>
      <c r="G581" s="14"/>
      <c r="H581" s="14"/>
      <c r="I581" s="14"/>
      <c r="J581" s="14"/>
      <c r="K581" s="7"/>
      <c r="L581" s="14"/>
      <c r="M581" s="7"/>
      <c r="N581" s="14"/>
      <c r="O581" s="14"/>
      <c r="P581" s="7"/>
      <c r="Q581" s="21"/>
      <c r="R581" s="14"/>
      <c r="S581" s="14"/>
      <c r="T581" s="14"/>
      <c r="U581" s="14"/>
      <c r="V581" s="14"/>
      <c r="W581" s="14"/>
      <c r="X581" s="14"/>
      <c r="Y581" s="13"/>
      <c r="Z581" s="14"/>
    </row>
    <row r="582" spans="1:26" ht="14.25" customHeight="1" x14ac:dyDescent="0.25">
      <c r="A582" s="14"/>
      <c r="B582" s="14"/>
      <c r="C582" s="14"/>
      <c r="D582" s="14"/>
      <c r="E582" s="122"/>
      <c r="F582" s="14"/>
      <c r="G582" s="14"/>
      <c r="H582" s="14"/>
      <c r="I582" s="14"/>
      <c r="J582" s="14"/>
      <c r="K582" s="7"/>
      <c r="L582" s="14"/>
      <c r="M582" s="7"/>
      <c r="N582" s="14"/>
      <c r="O582" s="14"/>
      <c r="P582" s="7"/>
      <c r="Q582" s="21"/>
      <c r="R582" s="14"/>
      <c r="S582" s="14"/>
      <c r="T582" s="14"/>
      <c r="U582" s="14"/>
      <c r="V582" s="14"/>
      <c r="W582" s="14"/>
      <c r="X582" s="14"/>
      <c r="Y582" s="13"/>
      <c r="Z582" s="14"/>
    </row>
    <row r="583" spans="1:26" ht="14.25" customHeight="1" x14ac:dyDescent="0.25">
      <c r="A583" s="14"/>
      <c r="B583" s="14"/>
      <c r="C583" s="14"/>
      <c r="D583" s="14"/>
      <c r="E583" s="122"/>
      <c r="F583" s="14"/>
      <c r="G583" s="14"/>
      <c r="H583" s="14"/>
      <c r="I583" s="14"/>
      <c r="J583" s="14"/>
      <c r="K583" s="7"/>
      <c r="L583" s="14"/>
      <c r="M583" s="7"/>
      <c r="N583" s="14"/>
      <c r="O583" s="14"/>
      <c r="P583" s="7"/>
      <c r="Q583" s="21"/>
      <c r="R583" s="14"/>
      <c r="S583" s="14"/>
      <c r="T583" s="14"/>
      <c r="U583" s="14"/>
      <c r="V583" s="14"/>
      <c r="W583" s="14"/>
      <c r="X583" s="14"/>
      <c r="Y583" s="13"/>
      <c r="Z583" s="14"/>
    </row>
    <row r="584" spans="1:26" ht="14.25" customHeight="1" x14ac:dyDescent="0.25">
      <c r="A584" s="14"/>
      <c r="B584" s="14"/>
      <c r="C584" s="14"/>
      <c r="D584" s="14"/>
      <c r="E584" s="122"/>
      <c r="F584" s="14"/>
      <c r="G584" s="14"/>
      <c r="H584" s="14"/>
      <c r="I584" s="14"/>
      <c r="J584" s="14"/>
      <c r="K584" s="7"/>
      <c r="L584" s="14"/>
      <c r="M584" s="7"/>
      <c r="N584" s="14"/>
      <c r="O584" s="14"/>
      <c r="P584" s="7"/>
      <c r="Q584" s="21"/>
      <c r="R584" s="14"/>
      <c r="S584" s="14"/>
      <c r="T584" s="14"/>
      <c r="U584" s="14"/>
      <c r="V584" s="14"/>
      <c r="W584" s="14"/>
      <c r="X584" s="14"/>
      <c r="Y584" s="13"/>
      <c r="Z584" s="14"/>
    </row>
    <row r="585" spans="1:26" ht="14.25" customHeight="1" x14ac:dyDescent="0.25">
      <c r="A585" s="14"/>
      <c r="B585" s="14"/>
      <c r="C585" s="14"/>
      <c r="D585" s="14"/>
      <c r="E585" s="122"/>
      <c r="F585" s="14"/>
      <c r="G585" s="14"/>
      <c r="H585" s="14"/>
      <c r="I585" s="14"/>
      <c r="J585" s="14"/>
      <c r="K585" s="7"/>
      <c r="L585" s="14"/>
      <c r="M585" s="7"/>
      <c r="N585" s="14"/>
      <c r="O585" s="14"/>
      <c r="P585" s="7"/>
      <c r="Q585" s="21"/>
      <c r="R585" s="14"/>
      <c r="S585" s="14"/>
      <c r="T585" s="14"/>
      <c r="U585" s="14"/>
      <c r="V585" s="14"/>
      <c r="W585" s="14"/>
      <c r="X585" s="14"/>
      <c r="Y585" s="13"/>
      <c r="Z585" s="14"/>
    </row>
    <row r="586" spans="1:26" ht="14.25" customHeight="1" x14ac:dyDescent="0.25">
      <c r="A586" s="14"/>
      <c r="B586" s="14"/>
      <c r="C586" s="14"/>
      <c r="D586" s="14"/>
      <c r="E586" s="122"/>
      <c r="F586" s="14"/>
      <c r="G586" s="14"/>
      <c r="H586" s="14"/>
      <c r="I586" s="14"/>
      <c r="J586" s="14"/>
      <c r="K586" s="7"/>
      <c r="L586" s="14"/>
      <c r="M586" s="7"/>
      <c r="N586" s="14"/>
      <c r="O586" s="14"/>
      <c r="P586" s="7"/>
      <c r="Q586" s="21"/>
      <c r="R586" s="14"/>
      <c r="S586" s="14"/>
      <c r="T586" s="14"/>
      <c r="U586" s="14"/>
      <c r="V586" s="14"/>
      <c r="W586" s="14"/>
      <c r="X586" s="14"/>
      <c r="Y586" s="13"/>
      <c r="Z586" s="14"/>
    </row>
    <row r="587" spans="1:26" ht="14.25" customHeight="1" x14ac:dyDescent="0.25">
      <c r="A587" s="14"/>
      <c r="B587" s="14"/>
      <c r="C587" s="14"/>
      <c r="D587" s="14"/>
      <c r="E587" s="122"/>
      <c r="F587" s="14"/>
      <c r="G587" s="14"/>
      <c r="H587" s="14"/>
      <c r="I587" s="14"/>
      <c r="J587" s="14"/>
      <c r="K587" s="7"/>
      <c r="L587" s="14"/>
      <c r="M587" s="7"/>
      <c r="N587" s="14"/>
      <c r="O587" s="14"/>
      <c r="P587" s="7"/>
      <c r="Q587" s="21"/>
      <c r="R587" s="14"/>
      <c r="S587" s="14"/>
      <c r="T587" s="14"/>
      <c r="U587" s="14"/>
      <c r="V587" s="14"/>
      <c r="W587" s="14"/>
      <c r="X587" s="14"/>
      <c r="Y587" s="13"/>
      <c r="Z587" s="14"/>
    </row>
    <row r="588" spans="1:26" ht="14.25" customHeight="1" x14ac:dyDescent="0.25">
      <c r="A588" s="14"/>
      <c r="B588" s="14"/>
      <c r="C588" s="14"/>
      <c r="D588" s="14"/>
      <c r="E588" s="122"/>
      <c r="F588" s="14"/>
      <c r="G588" s="14"/>
      <c r="H588" s="14"/>
      <c r="I588" s="14"/>
      <c r="J588" s="14"/>
      <c r="K588" s="7"/>
      <c r="L588" s="14"/>
      <c r="M588" s="7"/>
      <c r="N588" s="14"/>
      <c r="O588" s="14"/>
      <c r="P588" s="7"/>
      <c r="Q588" s="21"/>
      <c r="R588" s="14"/>
      <c r="S588" s="14"/>
      <c r="T588" s="14"/>
      <c r="U588" s="14"/>
      <c r="V588" s="14"/>
      <c r="W588" s="14"/>
      <c r="X588" s="14"/>
      <c r="Y588" s="13"/>
      <c r="Z588" s="14"/>
    </row>
    <row r="589" spans="1:26" ht="14.25" customHeight="1" x14ac:dyDescent="0.25">
      <c r="A589" s="14"/>
      <c r="B589" s="14"/>
      <c r="C589" s="14"/>
      <c r="D589" s="14"/>
      <c r="E589" s="122"/>
      <c r="F589" s="14"/>
      <c r="G589" s="14"/>
      <c r="H589" s="14"/>
      <c r="I589" s="14"/>
      <c r="J589" s="14"/>
      <c r="K589" s="7"/>
      <c r="L589" s="14"/>
      <c r="M589" s="7"/>
      <c r="N589" s="14"/>
      <c r="O589" s="14"/>
      <c r="P589" s="7"/>
      <c r="Q589" s="21"/>
      <c r="R589" s="14"/>
      <c r="S589" s="14"/>
      <c r="T589" s="14"/>
      <c r="U589" s="14"/>
      <c r="V589" s="14"/>
      <c r="W589" s="14"/>
      <c r="X589" s="14"/>
      <c r="Y589" s="13"/>
      <c r="Z589" s="14"/>
    </row>
    <row r="590" spans="1:26" ht="14.25" customHeight="1" x14ac:dyDescent="0.25">
      <c r="A590" s="14"/>
      <c r="B590" s="14"/>
      <c r="C590" s="14"/>
      <c r="D590" s="14"/>
      <c r="E590" s="122"/>
      <c r="F590" s="14"/>
      <c r="G590" s="14"/>
      <c r="H590" s="14"/>
      <c r="I590" s="14"/>
      <c r="J590" s="14"/>
      <c r="K590" s="7"/>
      <c r="L590" s="14"/>
      <c r="M590" s="7"/>
      <c r="N590" s="14"/>
      <c r="O590" s="14"/>
      <c r="P590" s="7"/>
      <c r="Q590" s="21"/>
      <c r="R590" s="14"/>
      <c r="S590" s="14"/>
      <c r="T590" s="14"/>
      <c r="U590" s="14"/>
      <c r="V590" s="14"/>
      <c r="W590" s="14"/>
      <c r="X590" s="14"/>
      <c r="Y590" s="13"/>
      <c r="Z590" s="14"/>
    </row>
    <row r="591" spans="1:26" ht="14.25" customHeight="1" x14ac:dyDescent="0.25">
      <c r="A591" s="14"/>
      <c r="B591" s="14"/>
      <c r="C591" s="14"/>
      <c r="D591" s="14"/>
      <c r="E591" s="122"/>
      <c r="F591" s="14"/>
      <c r="G591" s="14"/>
      <c r="H591" s="14"/>
      <c r="I591" s="14"/>
      <c r="J591" s="14"/>
      <c r="K591" s="7"/>
      <c r="L591" s="14"/>
      <c r="M591" s="7"/>
      <c r="N591" s="14"/>
      <c r="O591" s="14"/>
      <c r="P591" s="7"/>
      <c r="Q591" s="21"/>
      <c r="R591" s="14"/>
      <c r="S591" s="14"/>
      <c r="T591" s="14"/>
      <c r="U591" s="14"/>
      <c r="V591" s="14"/>
      <c r="W591" s="14"/>
      <c r="X591" s="14"/>
      <c r="Y591" s="13"/>
      <c r="Z591" s="14"/>
    </row>
    <row r="592" spans="1:26" ht="14.25" customHeight="1" x14ac:dyDescent="0.25">
      <c r="A592" s="14"/>
      <c r="B592" s="14"/>
      <c r="C592" s="14"/>
      <c r="D592" s="14"/>
      <c r="E592" s="122"/>
      <c r="F592" s="14"/>
      <c r="G592" s="14"/>
      <c r="H592" s="14"/>
      <c r="I592" s="14"/>
      <c r="J592" s="14"/>
      <c r="K592" s="7"/>
      <c r="L592" s="14"/>
      <c r="M592" s="7"/>
      <c r="N592" s="14"/>
      <c r="O592" s="14"/>
      <c r="P592" s="7"/>
      <c r="Q592" s="21"/>
      <c r="R592" s="14"/>
      <c r="S592" s="14"/>
      <c r="T592" s="14"/>
      <c r="U592" s="14"/>
      <c r="V592" s="14"/>
      <c r="W592" s="14"/>
      <c r="X592" s="14"/>
      <c r="Y592" s="13"/>
      <c r="Z592" s="14"/>
    </row>
    <row r="593" spans="1:26" ht="14.25" customHeight="1" x14ac:dyDescent="0.25">
      <c r="A593" s="14"/>
      <c r="B593" s="14"/>
      <c r="C593" s="14"/>
      <c r="D593" s="14"/>
      <c r="E593" s="122"/>
      <c r="F593" s="14"/>
      <c r="G593" s="14"/>
      <c r="H593" s="14"/>
      <c r="I593" s="14"/>
      <c r="J593" s="14"/>
      <c r="K593" s="7"/>
      <c r="L593" s="14"/>
      <c r="M593" s="7"/>
      <c r="N593" s="14"/>
      <c r="O593" s="14"/>
      <c r="P593" s="7"/>
      <c r="Q593" s="21"/>
      <c r="R593" s="14"/>
      <c r="S593" s="14"/>
      <c r="T593" s="14"/>
      <c r="U593" s="14"/>
      <c r="V593" s="14"/>
      <c r="W593" s="14"/>
      <c r="X593" s="14"/>
      <c r="Y593" s="13"/>
      <c r="Z593" s="14"/>
    </row>
    <row r="594" spans="1:26" ht="14.25" customHeight="1" x14ac:dyDescent="0.25">
      <c r="A594" s="14"/>
      <c r="B594" s="14"/>
      <c r="C594" s="14"/>
      <c r="D594" s="14"/>
      <c r="E594" s="122"/>
      <c r="F594" s="14"/>
      <c r="G594" s="14"/>
      <c r="H594" s="14"/>
      <c r="I594" s="14"/>
      <c r="J594" s="14"/>
      <c r="K594" s="7"/>
      <c r="L594" s="14"/>
      <c r="M594" s="7"/>
      <c r="N594" s="14"/>
      <c r="O594" s="14"/>
      <c r="P594" s="7"/>
      <c r="Q594" s="21"/>
      <c r="R594" s="14"/>
      <c r="S594" s="14"/>
      <c r="T594" s="14"/>
      <c r="U594" s="14"/>
      <c r="V594" s="14"/>
      <c r="W594" s="14"/>
      <c r="X594" s="14"/>
      <c r="Y594" s="13"/>
      <c r="Z594" s="14"/>
    </row>
    <row r="595" spans="1:26" ht="14.25" customHeight="1" x14ac:dyDescent="0.25">
      <c r="A595" s="14"/>
      <c r="B595" s="14"/>
      <c r="C595" s="14"/>
      <c r="D595" s="14"/>
      <c r="E595" s="122"/>
      <c r="F595" s="14"/>
      <c r="G595" s="14"/>
      <c r="H595" s="14"/>
      <c r="I595" s="14"/>
      <c r="J595" s="14"/>
      <c r="K595" s="7"/>
      <c r="L595" s="14"/>
      <c r="M595" s="7"/>
      <c r="N595" s="14"/>
      <c r="O595" s="14"/>
      <c r="P595" s="7"/>
      <c r="Q595" s="21"/>
      <c r="R595" s="14"/>
      <c r="S595" s="14"/>
      <c r="T595" s="14"/>
      <c r="U595" s="14"/>
      <c r="V595" s="14"/>
      <c r="W595" s="14"/>
      <c r="X595" s="14"/>
      <c r="Y595" s="13"/>
      <c r="Z595" s="14"/>
    </row>
    <row r="596" spans="1:26" ht="14.25" customHeight="1" x14ac:dyDescent="0.25">
      <c r="A596" s="14"/>
      <c r="B596" s="14"/>
      <c r="C596" s="14"/>
      <c r="D596" s="14"/>
      <c r="E596" s="122"/>
      <c r="F596" s="14"/>
      <c r="G596" s="14"/>
      <c r="H596" s="14"/>
      <c r="I596" s="14"/>
      <c r="J596" s="14"/>
      <c r="K596" s="7"/>
      <c r="L596" s="14"/>
      <c r="M596" s="7"/>
      <c r="N596" s="14"/>
      <c r="O596" s="14"/>
      <c r="P596" s="7"/>
      <c r="Q596" s="21"/>
      <c r="R596" s="14"/>
      <c r="S596" s="14"/>
      <c r="T596" s="14"/>
      <c r="U596" s="14"/>
      <c r="V596" s="14"/>
      <c r="W596" s="14"/>
      <c r="X596" s="14"/>
      <c r="Y596" s="13"/>
      <c r="Z596" s="14"/>
    </row>
    <row r="597" spans="1:26" ht="14.25" customHeight="1" x14ac:dyDescent="0.25">
      <c r="A597" s="14"/>
      <c r="B597" s="14"/>
      <c r="C597" s="14"/>
      <c r="D597" s="14"/>
      <c r="E597" s="122"/>
      <c r="F597" s="14"/>
      <c r="G597" s="14"/>
      <c r="H597" s="14"/>
      <c r="I597" s="14"/>
      <c r="J597" s="14"/>
      <c r="K597" s="7"/>
      <c r="L597" s="14"/>
      <c r="M597" s="7"/>
      <c r="N597" s="14"/>
      <c r="O597" s="14"/>
      <c r="P597" s="7"/>
      <c r="Q597" s="21"/>
      <c r="R597" s="14"/>
      <c r="S597" s="14"/>
      <c r="T597" s="14"/>
      <c r="U597" s="14"/>
      <c r="V597" s="14"/>
      <c r="W597" s="14"/>
      <c r="X597" s="14"/>
      <c r="Y597" s="13"/>
      <c r="Z597" s="14"/>
    </row>
    <row r="598" spans="1:26" ht="14.25" customHeight="1" x14ac:dyDescent="0.25">
      <c r="A598" s="14"/>
      <c r="B598" s="14"/>
      <c r="C598" s="14"/>
      <c r="D598" s="14"/>
      <c r="E598" s="122"/>
      <c r="F598" s="14"/>
      <c r="G598" s="14"/>
      <c r="H598" s="14"/>
      <c r="I598" s="14"/>
      <c r="J598" s="14"/>
      <c r="K598" s="7"/>
      <c r="L598" s="14"/>
      <c r="M598" s="7"/>
      <c r="N598" s="14"/>
      <c r="O598" s="14"/>
      <c r="P598" s="7"/>
      <c r="Q598" s="21"/>
      <c r="R598" s="14"/>
      <c r="S598" s="14"/>
      <c r="T598" s="14"/>
      <c r="U598" s="14"/>
      <c r="V598" s="14"/>
      <c r="W598" s="14"/>
      <c r="X598" s="14"/>
      <c r="Y598" s="13"/>
      <c r="Z598" s="14"/>
    </row>
    <row r="599" spans="1:26" ht="14.25" customHeight="1" x14ac:dyDescent="0.25">
      <c r="A599" s="14"/>
      <c r="B599" s="14"/>
      <c r="C599" s="14"/>
      <c r="D599" s="14"/>
      <c r="E599" s="122"/>
      <c r="F599" s="14"/>
      <c r="G599" s="14"/>
      <c r="H599" s="14"/>
      <c r="I599" s="14"/>
      <c r="J599" s="14"/>
      <c r="K599" s="7"/>
      <c r="L599" s="14"/>
      <c r="M599" s="7"/>
      <c r="N599" s="14"/>
      <c r="O599" s="14"/>
      <c r="P599" s="7"/>
      <c r="Q599" s="21"/>
      <c r="R599" s="14"/>
      <c r="S599" s="14"/>
      <c r="T599" s="14"/>
      <c r="U599" s="14"/>
      <c r="V599" s="14"/>
      <c r="W599" s="14"/>
      <c r="X599" s="14"/>
      <c r="Y599" s="13"/>
      <c r="Z599" s="14"/>
    </row>
    <row r="600" spans="1:26" ht="14.25" customHeight="1" x14ac:dyDescent="0.25">
      <c r="A600" s="14"/>
      <c r="B600" s="14"/>
      <c r="C600" s="14"/>
      <c r="D600" s="14"/>
      <c r="E600" s="122"/>
      <c r="F600" s="14"/>
      <c r="G600" s="14"/>
      <c r="H600" s="14"/>
      <c r="I600" s="14"/>
      <c r="J600" s="14"/>
      <c r="K600" s="7"/>
      <c r="L600" s="14"/>
      <c r="M600" s="7"/>
      <c r="N600" s="14"/>
      <c r="O600" s="14"/>
      <c r="P600" s="7"/>
      <c r="Q600" s="21"/>
      <c r="R600" s="14"/>
      <c r="S600" s="14"/>
      <c r="T600" s="14"/>
      <c r="U600" s="14"/>
      <c r="V600" s="14"/>
      <c r="W600" s="14"/>
      <c r="X600" s="14"/>
      <c r="Y600" s="13"/>
      <c r="Z600" s="14"/>
    </row>
    <row r="601" spans="1:26" ht="14.25" customHeight="1" x14ac:dyDescent="0.25">
      <c r="A601" s="14"/>
      <c r="B601" s="14"/>
      <c r="C601" s="14"/>
      <c r="D601" s="14"/>
      <c r="E601" s="122"/>
      <c r="F601" s="14"/>
      <c r="G601" s="14"/>
      <c r="H601" s="14"/>
      <c r="I601" s="14"/>
      <c r="J601" s="14"/>
      <c r="K601" s="7"/>
      <c r="L601" s="14"/>
      <c r="M601" s="7"/>
      <c r="N601" s="14"/>
      <c r="O601" s="14"/>
      <c r="P601" s="7"/>
      <c r="Q601" s="21"/>
      <c r="R601" s="14"/>
      <c r="S601" s="14"/>
      <c r="T601" s="14"/>
      <c r="U601" s="14"/>
      <c r="V601" s="14"/>
      <c r="W601" s="14"/>
      <c r="X601" s="14"/>
      <c r="Y601" s="13"/>
      <c r="Z601" s="14"/>
    </row>
    <row r="602" spans="1:26" ht="14.25" customHeight="1" x14ac:dyDescent="0.25">
      <c r="A602" s="14"/>
      <c r="B602" s="14"/>
      <c r="C602" s="14"/>
      <c r="D602" s="14"/>
      <c r="E602" s="122"/>
      <c r="F602" s="14"/>
      <c r="G602" s="14"/>
      <c r="H602" s="14"/>
      <c r="I602" s="14"/>
      <c r="J602" s="14"/>
      <c r="K602" s="7"/>
      <c r="L602" s="14"/>
      <c r="M602" s="7"/>
      <c r="N602" s="14"/>
      <c r="O602" s="14"/>
      <c r="P602" s="7"/>
      <c r="Q602" s="21"/>
      <c r="R602" s="14"/>
      <c r="S602" s="14"/>
      <c r="T602" s="14"/>
      <c r="U602" s="14"/>
      <c r="V602" s="14"/>
      <c r="W602" s="14"/>
      <c r="X602" s="14"/>
      <c r="Y602" s="13"/>
      <c r="Z602" s="14"/>
    </row>
    <row r="603" spans="1:26" ht="14.25" customHeight="1" x14ac:dyDescent="0.25">
      <c r="A603" s="14"/>
      <c r="B603" s="14"/>
      <c r="C603" s="14"/>
      <c r="D603" s="14"/>
      <c r="E603" s="122"/>
      <c r="F603" s="14"/>
      <c r="G603" s="14"/>
      <c r="H603" s="14"/>
      <c r="I603" s="14"/>
      <c r="J603" s="14"/>
      <c r="K603" s="7"/>
      <c r="L603" s="14"/>
      <c r="M603" s="7"/>
      <c r="N603" s="14"/>
      <c r="O603" s="14"/>
      <c r="P603" s="7"/>
      <c r="Q603" s="21"/>
      <c r="R603" s="14"/>
      <c r="S603" s="14"/>
      <c r="T603" s="14"/>
      <c r="U603" s="14"/>
      <c r="V603" s="14"/>
      <c r="W603" s="14"/>
      <c r="X603" s="14"/>
      <c r="Y603" s="13"/>
      <c r="Z603" s="14"/>
    </row>
    <row r="604" spans="1:26" ht="14.25" customHeight="1" x14ac:dyDescent="0.25">
      <c r="A604" s="14"/>
      <c r="B604" s="14"/>
      <c r="C604" s="14"/>
      <c r="D604" s="14"/>
      <c r="E604" s="122"/>
      <c r="F604" s="14"/>
      <c r="G604" s="14"/>
      <c r="H604" s="14"/>
      <c r="I604" s="14"/>
      <c r="J604" s="14"/>
      <c r="K604" s="7"/>
      <c r="L604" s="14"/>
      <c r="M604" s="7"/>
      <c r="N604" s="14"/>
      <c r="O604" s="14"/>
      <c r="P604" s="7"/>
      <c r="Q604" s="21"/>
      <c r="R604" s="14"/>
      <c r="S604" s="14"/>
      <c r="T604" s="14"/>
      <c r="U604" s="14"/>
      <c r="V604" s="14"/>
      <c r="W604" s="14"/>
      <c r="X604" s="14"/>
      <c r="Y604" s="13"/>
      <c r="Z604" s="14"/>
    </row>
    <row r="605" spans="1:26" ht="14.25" customHeight="1" x14ac:dyDescent="0.25">
      <c r="A605" s="14"/>
      <c r="B605" s="14"/>
      <c r="C605" s="14"/>
      <c r="D605" s="14"/>
      <c r="E605" s="122"/>
      <c r="F605" s="14"/>
      <c r="G605" s="14"/>
      <c r="H605" s="14"/>
      <c r="I605" s="14"/>
      <c r="J605" s="14"/>
      <c r="K605" s="7"/>
      <c r="L605" s="14"/>
      <c r="M605" s="7"/>
      <c r="N605" s="14"/>
      <c r="O605" s="14"/>
      <c r="P605" s="7"/>
      <c r="Q605" s="21"/>
      <c r="R605" s="14"/>
      <c r="S605" s="14"/>
      <c r="T605" s="14"/>
      <c r="U605" s="14"/>
      <c r="V605" s="14"/>
      <c r="W605" s="14"/>
      <c r="X605" s="14"/>
      <c r="Y605" s="13"/>
      <c r="Z605" s="14"/>
    </row>
    <row r="606" spans="1:26" ht="14.25" customHeight="1" x14ac:dyDescent="0.25">
      <c r="A606" s="14"/>
      <c r="B606" s="14"/>
      <c r="C606" s="14"/>
      <c r="D606" s="14"/>
      <c r="E606" s="122"/>
      <c r="F606" s="14"/>
      <c r="G606" s="14"/>
      <c r="H606" s="14"/>
      <c r="I606" s="14"/>
      <c r="J606" s="14"/>
      <c r="K606" s="7"/>
      <c r="L606" s="14"/>
      <c r="M606" s="7"/>
      <c r="N606" s="14"/>
      <c r="O606" s="14"/>
      <c r="P606" s="7"/>
      <c r="Q606" s="21"/>
      <c r="R606" s="14"/>
      <c r="S606" s="14"/>
      <c r="T606" s="14"/>
      <c r="U606" s="14"/>
      <c r="V606" s="14"/>
      <c r="W606" s="14"/>
      <c r="X606" s="14"/>
      <c r="Y606" s="13"/>
      <c r="Z606" s="14"/>
    </row>
    <row r="607" spans="1:26" ht="14.25" customHeight="1" x14ac:dyDescent="0.25">
      <c r="A607" s="14"/>
      <c r="B607" s="14"/>
      <c r="C607" s="14"/>
      <c r="D607" s="14"/>
      <c r="E607" s="122"/>
      <c r="F607" s="14"/>
      <c r="G607" s="14"/>
      <c r="H607" s="14"/>
      <c r="I607" s="14"/>
      <c r="J607" s="14"/>
      <c r="K607" s="7"/>
      <c r="L607" s="14"/>
      <c r="M607" s="7"/>
      <c r="N607" s="14"/>
      <c r="O607" s="14"/>
      <c r="P607" s="7"/>
      <c r="Q607" s="21"/>
      <c r="R607" s="14"/>
      <c r="S607" s="14"/>
      <c r="T607" s="14"/>
      <c r="U607" s="14"/>
      <c r="V607" s="14"/>
      <c r="W607" s="14"/>
      <c r="X607" s="14"/>
      <c r="Y607" s="13"/>
      <c r="Z607" s="14"/>
    </row>
    <row r="608" spans="1:26" ht="14.25" customHeight="1" x14ac:dyDescent="0.25">
      <c r="A608" s="14"/>
      <c r="B608" s="14"/>
      <c r="C608" s="14"/>
      <c r="D608" s="14"/>
      <c r="E608" s="122"/>
      <c r="F608" s="14"/>
      <c r="G608" s="14"/>
      <c r="H608" s="14"/>
      <c r="I608" s="14"/>
      <c r="J608" s="14"/>
      <c r="K608" s="7"/>
      <c r="L608" s="14"/>
      <c r="M608" s="7"/>
      <c r="N608" s="14"/>
      <c r="O608" s="14"/>
      <c r="P608" s="7"/>
      <c r="Q608" s="21"/>
      <c r="R608" s="14"/>
      <c r="S608" s="14"/>
      <c r="T608" s="14"/>
      <c r="U608" s="14"/>
      <c r="V608" s="14"/>
      <c r="W608" s="14"/>
      <c r="X608" s="14"/>
      <c r="Y608" s="13"/>
      <c r="Z608" s="14"/>
    </row>
    <row r="609" spans="1:26" ht="14.25" customHeight="1" x14ac:dyDescent="0.25">
      <c r="A609" s="14"/>
      <c r="B609" s="14"/>
      <c r="C609" s="14"/>
      <c r="D609" s="14"/>
      <c r="E609" s="122"/>
      <c r="F609" s="14"/>
      <c r="G609" s="14"/>
      <c r="H609" s="14"/>
      <c r="I609" s="14"/>
      <c r="J609" s="14"/>
      <c r="K609" s="7"/>
      <c r="L609" s="14"/>
      <c r="M609" s="7"/>
      <c r="N609" s="14"/>
      <c r="O609" s="14"/>
      <c r="P609" s="7"/>
      <c r="Q609" s="21"/>
      <c r="R609" s="14"/>
      <c r="S609" s="14"/>
      <c r="T609" s="14"/>
      <c r="U609" s="14"/>
      <c r="V609" s="14"/>
      <c r="W609" s="14"/>
      <c r="X609" s="14"/>
      <c r="Y609" s="13"/>
      <c r="Z609" s="14"/>
    </row>
    <row r="610" spans="1:26" ht="14.25" customHeight="1" x14ac:dyDescent="0.25">
      <c r="A610" s="14"/>
      <c r="B610" s="14"/>
      <c r="C610" s="14"/>
      <c r="D610" s="14"/>
      <c r="E610" s="122"/>
      <c r="F610" s="14"/>
      <c r="G610" s="14"/>
      <c r="H610" s="14"/>
      <c r="I610" s="14"/>
      <c r="J610" s="14"/>
      <c r="K610" s="7"/>
      <c r="L610" s="14"/>
      <c r="M610" s="7"/>
      <c r="N610" s="14"/>
      <c r="O610" s="14"/>
      <c r="P610" s="7"/>
      <c r="Q610" s="21"/>
      <c r="R610" s="14"/>
      <c r="S610" s="14"/>
      <c r="T610" s="14"/>
      <c r="U610" s="14"/>
      <c r="V610" s="14"/>
      <c r="W610" s="14"/>
      <c r="X610" s="14"/>
      <c r="Y610" s="13"/>
      <c r="Z610" s="14"/>
    </row>
    <row r="611" spans="1:26" ht="14.25" customHeight="1" x14ac:dyDescent="0.25">
      <c r="A611" s="14"/>
      <c r="B611" s="14"/>
      <c r="C611" s="14"/>
      <c r="D611" s="14"/>
      <c r="E611" s="122"/>
      <c r="F611" s="14"/>
      <c r="G611" s="14"/>
      <c r="H611" s="14"/>
      <c r="I611" s="14"/>
      <c r="J611" s="14"/>
      <c r="K611" s="7"/>
      <c r="L611" s="14"/>
      <c r="M611" s="7"/>
      <c r="N611" s="14"/>
      <c r="O611" s="14"/>
      <c r="P611" s="7"/>
      <c r="Q611" s="21"/>
      <c r="R611" s="14"/>
      <c r="S611" s="14"/>
      <c r="T611" s="14"/>
      <c r="U611" s="14"/>
      <c r="V611" s="14"/>
      <c r="W611" s="14"/>
      <c r="X611" s="14"/>
      <c r="Y611" s="13"/>
      <c r="Z611" s="14"/>
    </row>
    <row r="612" spans="1:26" ht="14.25" customHeight="1" x14ac:dyDescent="0.25">
      <c r="A612" s="14"/>
      <c r="B612" s="14"/>
      <c r="C612" s="14"/>
      <c r="D612" s="14"/>
      <c r="E612" s="122"/>
      <c r="F612" s="14"/>
      <c r="G612" s="14"/>
      <c r="H612" s="14"/>
      <c r="I612" s="14"/>
      <c r="J612" s="14"/>
      <c r="K612" s="7"/>
      <c r="L612" s="14"/>
      <c r="M612" s="7"/>
      <c r="N612" s="14"/>
      <c r="O612" s="14"/>
      <c r="P612" s="7"/>
      <c r="Q612" s="21"/>
      <c r="R612" s="14"/>
      <c r="S612" s="14"/>
      <c r="T612" s="14"/>
      <c r="U612" s="14"/>
      <c r="V612" s="14"/>
      <c r="W612" s="14"/>
      <c r="X612" s="14"/>
      <c r="Y612" s="13"/>
      <c r="Z612" s="14"/>
    </row>
    <row r="613" spans="1:26" ht="14.25" customHeight="1" x14ac:dyDescent="0.25">
      <c r="A613" s="14"/>
      <c r="B613" s="14"/>
      <c r="C613" s="14"/>
      <c r="D613" s="14"/>
      <c r="E613" s="122"/>
      <c r="F613" s="14"/>
      <c r="G613" s="14"/>
      <c r="H613" s="14"/>
      <c r="I613" s="14"/>
      <c r="J613" s="14"/>
      <c r="K613" s="7"/>
      <c r="L613" s="14"/>
      <c r="M613" s="7"/>
      <c r="N613" s="14"/>
      <c r="O613" s="14"/>
      <c r="P613" s="7"/>
      <c r="Q613" s="21"/>
      <c r="R613" s="14"/>
      <c r="S613" s="14"/>
      <c r="T613" s="14"/>
      <c r="U613" s="14"/>
      <c r="V613" s="14"/>
      <c r="W613" s="14"/>
      <c r="X613" s="14"/>
      <c r="Y613" s="13"/>
      <c r="Z613" s="14"/>
    </row>
    <row r="614" spans="1:26" ht="14.25" customHeight="1" x14ac:dyDescent="0.25">
      <c r="A614" s="14"/>
      <c r="B614" s="14"/>
      <c r="C614" s="14"/>
      <c r="D614" s="14"/>
      <c r="E614" s="122"/>
      <c r="F614" s="14"/>
      <c r="G614" s="14"/>
      <c r="H614" s="14"/>
      <c r="I614" s="14"/>
      <c r="J614" s="14"/>
      <c r="K614" s="7"/>
      <c r="L614" s="14"/>
      <c r="M614" s="7"/>
      <c r="N614" s="14"/>
      <c r="O614" s="14"/>
      <c r="P614" s="7"/>
      <c r="Q614" s="21"/>
      <c r="R614" s="14"/>
      <c r="S614" s="14"/>
      <c r="T614" s="14"/>
      <c r="U614" s="14"/>
      <c r="V614" s="14"/>
      <c r="W614" s="14"/>
      <c r="X614" s="14"/>
      <c r="Y614" s="13"/>
      <c r="Z614" s="14"/>
    </row>
    <row r="615" spans="1:26" ht="14.25" customHeight="1" x14ac:dyDescent="0.25">
      <c r="A615" s="14"/>
      <c r="B615" s="14"/>
      <c r="C615" s="14"/>
      <c r="D615" s="14"/>
      <c r="E615" s="122"/>
      <c r="F615" s="14"/>
      <c r="G615" s="14"/>
      <c r="H615" s="14"/>
      <c r="I615" s="14"/>
      <c r="J615" s="14"/>
      <c r="K615" s="7"/>
      <c r="L615" s="14"/>
      <c r="M615" s="7"/>
      <c r="N615" s="14"/>
      <c r="O615" s="14"/>
      <c r="P615" s="7"/>
      <c r="Q615" s="21"/>
      <c r="R615" s="14"/>
      <c r="S615" s="14"/>
      <c r="T615" s="14"/>
      <c r="U615" s="14"/>
      <c r="V615" s="14"/>
      <c r="W615" s="14"/>
      <c r="X615" s="14"/>
      <c r="Y615" s="13"/>
      <c r="Z615" s="14"/>
    </row>
    <row r="616" spans="1:26" ht="14.25" customHeight="1" x14ac:dyDescent="0.25">
      <c r="A616" s="14"/>
      <c r="B616" s="14"/>
      <c r="C616" s="14"/>
      <c r="D616" s="14"/>
      <c r="E616" s="122"/>
      <c r="F616" s="14"/>
      <c r="G616" s="14"/>
      <c r="H616" s="14"/>
      <c r="I616" s="14"/>
      <c r="J616" s="14"/>
      <c r="K616" s="7"/>
      <c r="L616" s="14"/>
      <c r="M616" s="7"/>
      <c r="N616" s="14"/>
      <c r="O616" s="14"/>
      <c r="P616" s="7"/>
      <c r="Q616" s="21"/>
      <c r="R616" s="14"/>
      <c r="S616" s="14"/>
      <c r="T616" s="14"/>
      <c r="U616" s="14"/>
      <c r="V616" s="14"/>
      <c r="W616" s="14"/>
      <c r="X616" s="14"/>
      <c r="Y616" s="13"/>
      <c r="Z616" s="14"/>
    </row>
    <row r="617" spans="1:26" ht="14.25" customHeight="1" x14ac:dyDescent="0.25">
      <c r="A617" s="14"/>
      <c r="B617" s="14"/>
      <c r="C617" s="14"/>
      <c r="D617" s="14"/>
      <c r="E617" s="122"/>
      <c r="F617" s="14"/>
      <c r="G617" s="14"/>
      <c r="H617" s="14"/>
      <c r="I617" s="14"/>
      <c r="J617" s="14"/>
      <c r="K617" s="7"/>
      <c r="L617" s="14"/>
      <c r="M617" s="7"/>
      <c r="N617" s="14"/>
      <c r="O617" s="14"/>
      <c r="P617" s="7"/>
      <c r="Q617" s="21"/>
      <c r="R617" s="14"/>
      <c r="S617" s="14"/>
      <c r="T617" s="14"/>
      <c r="U617" s="14"/>
      <c r="V617" s="14"/>
      <c r="W617" s="14"/>
      <c r="X617" s="14"/>
      <c r="Y617" s="13"/>
      <c r="Z617" s="14"/>
    </row>
    <row r="618" spans="1:26" ht="14.25" customHeight="1" x14ac:dyDescent="0.25">
      <c r="A618" s="14"/>
      <c r="B618" s="14"/>
      <c r="C618" s="14"/>
      <c r="D618" s="14"/>
      <c r="E618" s="122"/>
      <c r="F618" s="14"/>
      <c r="G618" s="14"/>
      <c r="H618" s="14"/>
      <c r="I618" s="14"/>
      <c r="J618" s="14"/>
      <c r="K618" s="7"/>
      <c r="L618" s="14"/>
      <c r="M618" s="7"/>
      <c r="N618" s="14"/>
      <c r="O618" s="14"/>
      <c r="P618" s="7"/>
      <c r="Q618" s="21"/>
      <c r="R618" s="14"/>
      <c r="S618" s="14"/>
      <c r="T618" s="14"/>
      <c r="U618" s="14"/>
      <c r="V618" s="14"/>
      <c r="W618" s="14"/>
      <c r="X618" s="14"/>
      <c r="Y618" s="13"/>
      <c r="Z618" s="14"/>
    </row>
    <row r="619" spans="1:26" ht="14.25" customHeight="1" x14ac:dyDescent="0.25">
      <c r="A619" s="14"/>
      <c r="B619" s="14"/>
      <c r="C619" s="14"/>
      <c r="D619" s="14"/>
      <c r="E619" s="122"/>
      <c r="F619" s="14"/>
      <c r="G619" s="14"/>
      <c r="H619" s="14"/>
      <c r="I619" s="14"/>
      <c r="J619" s="14"/>
      <c r="K619" s="7"/>
      <c r="L619" s="14"/>
      <c r="M619" s="7"/>
      <c r="N619" s="14"/>
      <c r="O619" s="14"/>
      <c r="P619" s="7"/>
      <c r="Q619" s="21"/>
      <c r="R619" s="14"/>
      <c r="S619" s="14"/>
      <c r="T619" s="14"/>
      <c r="U619" s="14"/>
      <c r="V619" s="14"/>
      <c r="W619" s="14"/>
      <c r="X619" s="14"/>
      <c r="Y619" s="13"/>
      <c r="Z619" s="14"/>
    </row>
    <row r="620" spans="1:26" ht="14.25" customHeight="1" x14ac:dyDescent="0.25">
      <c r="A620" s="14"/>
      <c r="B620" s="14"/>
      <c r="C620" s="14"/>
      <c r="D620" s="14"/>
      <c r="E620" s="122"/>
      <c r="F620" s="14"/>
      <c r="G620" s="14"/>
      <c r="H620" s="14"/>
      <c r="I620" s="14"/>
      <c r="J620" s="14"/>
      <c r="K620" s="7"/>
      <c r="L620" s="14"/>
      <c r="M620" s="7"/>
      <c r="N620" s="14"/>
      <c r="O620" s="14"/>
      <c r="P620" s="7"/>
      <c r="Q620" s="21"/>
      <c r="R620" s="14"/>
      <c r="S620" s="14"/>
      <c r="T620" s="14"/>
      <c r="U620" s="14"/>
      <c r="V620" s="14"/>
      <c r="W620" s="14"/>
      <c r="X620" s="14"/>
      <c r="Y620" s="13"/>
      <c r="Z620" s="14"/>
    </row>
    <row r="621" spans="1:26" ht="14.25" customHeight="1" x14ac:dyDescent="0.25">
      <c r="A621" s="14"/>
      <c r="B621" s="14"/>
      <c r="C621" s="14"/>
      <c r="D621" s="14"/>
      <c r="E621" s="122"/>
      <c r="F621" s="14"/>
      <c r="G621" s="14"/>
      <c r="H621" s="14"/>
      <c r="I621" s="14"/>
      <c r="J621" s="14"/>
      <c r="K621" s="7"/>
      <c r="L621" s="14"/>
      <c r="M621" s="7"/>
      <c r="N621" s="14"/>
      <c r="O621" s="14"/>
      <c r="P621" s="7"/>
      <c r="Q621" s="21"/>
      <c r="R621" s="14"/>
      <c r="S621" s="14"/>
      <c r="T621" s="14"/>
      <c r="U621" s="14"/>
      <c r="V621" s="14"/>
      <c r="W621" s="14"/>
      <c r="X621" s="14"/>
      <c r="Y621" s="13"/>
      <c r="Z621" s="14"/>
    </row>
    <row r="622" spans="1:26" ht="14.25" customHeight="1" x14ac:dyDescent="0.25">
      <c r="A622" s="14"/>
      <c r="B622" s="14"/>
      <c r="C622" s="14"/>
      <c r="D622" s="14"/>
      <c r="E622" s="122"/>
      <c r="F622" s="14"/>
      <c r="G622" s="14"/>
      <c r="H622" s="14"/>
      <c r="I622" s="14"/>
      <c r="J622" s="14"/>
      <c r="K622" s="7"/>
      <c r="L622" s="14"/>
      <c r="M622" s="7"/>
      <c r="N622" s="14"/>
      <c r="O622" s="14"/>
      <c r="P622" s="7"/>
      <c r="Q622" s="21"/>
      <c r="R622" s="14"/>
      <c r="S622" s="14"/>
      <c r="T622" s="14"/>
      <c r="U622" s="14"/>
      <c r="V622" s="14"/>
      <c r="W622" s="14"/>
      <c r="X622" s="14"/>
      <c r="Y622" s="13"/>
      <c r="Z622" s="14"/>
    </row>
    <row r="623" spans="1:26" ht="14.25" customHeight="1" x14ac:dyDescent="0.25">
      <c r="A623" s="14"/>
      <c r="B623" s="14"/>
      <c r="C623" s="14"/>
      <c r="D623" s="14"/>
      <c r="E623" s="122"/>
      <c r="F623" s="14"/>
      <c r="G623" s="14"/>
      <c r="H623" s="14"/>
      <c r="I623" s="14"/>
      <c r="J623" s="14"/>
      <c r="K623" s="7"/>
      <c r="L623" s="14"/>
      <c r="M623" s="7"/>
      <c r="N623" s="14"/>
      <c r="O623" s="14"/>
      <c r="P623" s="7"/>
      <c r="Q623" s="21"/>
      <c r="R623" s="14"/>
      <c r="S623" s="14"/>
      <c r="T623" s="14"/>
      <c r="U623" s="14"/>
      <c r="V623" s="14"/>
      <c r="W623" s="14"/>
      <c r="X623" s="14"/>
      <c r="Y623" s="13"/>
      <c r="Z623" s="14"/>
    </row>
    <row r="624" spans="1:26" ht="14.25" customHeight="1" x14ac:dyDescent="0.25">
      <c r="A624" s="14"/>
      <c r="B624" s="14"/>
      <c r="C624" s="14"/>
      <c r="D624" s="14"/>
      <c r="E624" s="122"/>
      <c r="F624" s="14"/>
      <c r="G624" s="14"/>
      <c r="H624" s="14"/>
      <c r="I624" s="14"/>
      <c r="J624" s="14"/>
      <c r="K624" s="7"/>
      <c r="L624" s="14"/>
      <c r="M624" s="7"/>
      <c r="N624" s="14"/>
      <c r="O624" s="14"/>
      <c r="P624" s="7"/>
      <c r="Q624" s="21"/>
      <c r="R624" s="14"/>
      <c r="S624" s="14"/>
      <c r="T624" s="14"/>
      <c r="U624" s="14"/>
      <c r="V624" s="14"/>
      <c r="W624" s="14"/>
      <c r="X624" s="14"/>
      <c r="Y624" s="13"/>
      <c r="Z624" s="14"/>
    </row>
    <row r="625" spans="1:26" ht="14.25" customHeight="1" x14ac:dyDescent="0.25">
      <c r="A625" s="14"/>
      <c r="B625" s="14"/>
      <c r="C625" s="14"/>
      <c r="D625" s="14"/>
      <c r="E625" s="122"/>
      <c r="F625" s="14"/>
      <c r="G625" s="14"/>
      <c r="H625" s="14"/>
      <c r="I625" s="14"/>
      <c r="J625" s="14"/>
      <c r="K625" s="7"/>
      <c r="L625" s="14"/>
      <c r="M625" s="7"/>
      <c r="N625" s="14"/>
      <c r="O625" s="14"/>
      <c r="P625" s="7"/>
      <c r="Q625" s="21"/>
      <c r="R625" s="14"/>
      <c r="S625" s="14"/>
      <c r="T625" s="14"/>
      <c r="U625" s="14"/>
      <c r="V625" s="14"/>
      <c r="W625" s="14"/>
      <c r="X625" s="14"/>
      <c r="Y625" s="13"/>
      <c r="Z625" s="14"/>
    </row>
    <row r="626" spans="1:26" ht="14.25" customHeight="1" x14ac:dyDescent="0.25">
      <c r="A626" s="14"/>
      <c r="B626" s="14"/>
      <c r="C626" s="14"/>
      <c r="D626" s="14"/>
      <c r="E626" s="122"/>
      <c r="F626" s="14"/>
      <c r="G626" s="14"/>
      <c r="H626" s="14"/>
      <c r="I626" s="14"/>
      <c r="J626" s="14"/>
      <c r="K626" s="7"/>
      <c r="L626" s="14"/>
      <c r="M626" s="7"/>
      <c r="N626" s="14"/>
      <c r="O626" s="14"/>
      <c r="P626" s="7"/>
      <c r="Q626" s="21"/>
      <c r="R626" s="14"/>
      <c r="S626" s="14"/>
      <c r="T626" s="14"/>
      <c r="U626" s="14"/>
      <c r="V626" s="14"/>
      <c r="W626" s="14"/>
      <c r="X626" s="14"/>
      <c r="Y626" s="13"/>
      <c r="Z626" s="14"/>
    </row>
    <row r="627" spans="1:26" ht="14.25" customHeight="1" x14ac:dyDescent="0.25">
      <c r="A627" s="14"/>
      <c r="B627" s="14"/>
      <c r="C627" s="14"/>
      <c r="D627" s="14"/>
      <c r="E627" s="122"/>
      <c r="F627" s="14"/>
      <c r="G627" s="14"/>
      <c r="H627" s="14"/>
      <c r="I627" s="14"/>
      <c r="J627" s="14"/>
      <c r="K627" s="7"/>
      <c r="L627" s="14"/>
      <c r="M627" s="7"/>
      <c r="N627" s="14"/>
      <c r="O627" s="14"/>
      <c r="P627" s="7"/>
      <c r="Q627" s="21"/>
      <c r="R627" s="14"/>
      <c r="S627" s="14"/>
      <c r="T627" s="14"/>
      <c r="U627" s="14"/>
      <c r="V627" s="14"/>
      <c r="W627" s="14"/>
      <c r="X627" s="14"/>
      <c r="Y627" s="13"/>
      <c r="Z627" s="14"/>
    </row>
    <row r="628" spans="1:26" ht="14.25" customHeight="1" x14ac:dyDescent="0.25">
      <c r="A628" s="14"/>
      <c r="B628" s="14"/>
      <c r="C628" s="14"/>
      <c r="D628" s="14"/>
      <c r="E628" s="122"/>
      <c r="F628" s="14"/>
      <c r="G628" s="14"/>
      <c r="H628" s="14"/>
      <c r="I628" s="14"/>
      <c r="J628" s="14"/>
      <c r="K628" s="7"/>
      <c r="L628" s="14"/>
      <c r="M628" s="7"/>
      <c r="N628" s="14"/>
      <c r="O628" s="14"/>
      <c r="P628" s="7"/>
      <c r="Q628" s="21"/>
      <c r="R628" s="14"/>
      <c r="S628" s="14"/>
      <c r="T628" s="14"/>
      <c r="U628" s="14"/>
      <c r="V628" s="14"/>
      <c r="W628" s="14"/>
      <c r="X628" s="14"/>
      <c r="Y628" s="13"/>
      <c r="Z628" s="14"/>
    </row>
    <row r="629" spans="1:26" ht="14.25" customHeight="1" x14ac:dyDescent="0.25">
      <c r="A629" s="14"/>
      <c r="B629" s="14"/>
      <c r="C629" s="14"/>
      <c r="D629" s="14"/>
      <c r="E629" s="122"/>
      <c r="F629" s="14"/>
      <c r="G629" s="14"/>
      <c r="H629" s="14"/>
      <c r="I629" s="14"/>
      <c r="J629" s="14"/>
      <c r="K629" s="7"/>
      <c r="L629" s="14"/>
      <c r="M629" s="7"/>
      <c r="N629" s="14"/>
      <c r="O629" s="14"/>
      <c r="P629" s="7"/>
      <c r="Q629" s="21"/>
      <c r="R629" s="14"/>
      <c r="S629" s="14"/>
      <c r="T629" s="14"/>
      <c r="U629" s="14"/>
      <c r="V629" s="14"/>
      <c r="W629" s="14"/>
      <c r="X629" s="14"/>
      <c r="Y629" s="13"/>
      <c r="Z629" s="14"/>
    </row>
    <row r="630" spans="1:26" ht="14.25" customHeight="1" x14ac:dyDescent="0.25">
      <c r="A630" s="14"/>
      <c r="B630" s="14"/>
      <c r="C630" s="14"/>
      <c r="D630" s="14"/>
      <c r="E630" s="122"/>
      <c r="F630" s="14"/>
      <c r="G630" s="14"/>
      <c r="H630" s="14"/>
      <c r="I630" s="14"/>
      <c r="J630" s="14"/>
      <c r="K630" s="7"/>
      <c r="L630" s="14"/>
      <c r="M630" s="7"/>
      <c r="N630" s="14"/>
      <c r="O630" s="14"/>
      <c r="P630" s="7"/>
      <c r="Q630" s="21"/>
      <c r="R630" s="14"/>
      <c r="S630" s="14"/>
      <c r="T630" s="14"/>
      <c r="U630" s="14"/>
      <c r="V630" s="14"/>
      <c r="W630" s="14"/>
      <c r="X630" s="14"/>
      <c r="Y630" s="13"/>
      <c r="Z630" s="14"/>
    </row>
    <row r="631" spans="1:26" ht="14.25" customHeight="1" x14ac:dyDescent="0.25">
      <c r="A631" s="14"/>
      <c r="B631" s="14"/>
      <c r="C631" s="14"/>
      <c r="D631" s="14"/>
      <c r="E631" s="122"/>
      <c r="F631" s="14"/>
      <c r="G631" s="14"/>
      <c r="H631" s="14"/>
      <c r="I631" s="14"/>
      <c r="J631" s="14"/>
      <c r="K631" s="7"/>
      <c r="L631" s="14"/>
      <c r="M631" s="7"/>
      <c r="N631" s="14"/>
      <c r="O631" s="14"/>
      <c r="P631" s="7"/>
      <c r="Q631" s="21"/>
      <c r="R631" s="14"/>
      <c r="S631" s="14"/>
      <c r="T631" s="14"/>
      <c r="U631" s="14"/>
      <c r="V631" s="14"/>
      <c r="W631" s="14"/>
      <c r="X631" s="14"/>
      <c r="Y631" s="13"/>
      <c r="Z631" s="14"/>
    </row>
    <row r="632" spans="1:26" ht="14.25" customHeight="1" x14ac:dyDescent="0.25">
      <c r="A632" s="14"/>
      <c r="B632" s="14"/>
      <c r="C632" s="14"/>
      <c r="D632" s="14"/>
      <c r="E632" s="122"/>
      <c r="F632" s="14"/>
      <c r="G632" s="14"/>
      <c r="H632" s="14"/>
      <c r="I632" s="14"/>
      <c r="J632" s="14"/>
      <c r="K632" s="7"/>
      <c r="L632" s="14"/>
      <c r="M632" s="7"/>
      <c r="N632" s="14"/>
      <c r="O632" s="14"/>
      <c r="P632" s="7"/>
      <c r="Q632" s="21"/>
      <c r="R632" s="14"/>
      <c r="S632" s="14"/>
      <c r="T632" s="14"/>
      <c r="U632" s="14"/>
      <c r="V632" s="14"/>
      <c r="W632" s="14"/>
      <c r="X632" s="14"/>
      <c r="Y632" s="13"/>
      <c r="Z632" s="14"/>
    </row>
    <row r="633" spans="1:26" ht="14.25" customHeight="1" x14ac:dyDescent="0.25">
      <c r="A633" s="14"/>
      <c r="B633" s="14"/>
      <c r="C633" s="14"/>
      <c r="D633" s="14"/>
      <c r="E633" s="122"/>
      <c r="F633" s="14"/>
      <c r="G633" s="14"/>
      <c r="H633" s="14"/>
      <c r="I633" s="14"/>
      <c r="J633" s="14"/>
      <c r="K633" s="7"/>
      <c r="L633" s="14"/>
      <c r="M633" s="7"/>
      <c r="N633" s="14"/>
      <c r="O633" s="14"/>
      <c r="P633" s="7"/>
      <c r="Q633" s="21"/>
      <c r="R633" s="14"/>
      <c r="S633" s="14"/>
      <c r="T633" s="14"/>
      <c r="U633" s="14"/>
      <c r="V633" s="14"/>
      <c r="W633" s="14"/>
      <c r="X633" s="14"/>
      <c r="Y633" s="13"/>
      <c r="Z633" s="14"/>
    </row>
    <row r="634" spans="1:26" ht="14.25" customHeight="1" x14ac:dyDescent="0.25">
      <c r="A634" s="14"/>
      <c r="B634" s="14"/>
      <c r="C634" s="14"/>
      <c r="D634" s="14"/>
      <c r="E634" s="122"/>
      <c r="F634" s="14"/>
      <c r="G634" s="14"/>
      <c r="H634" s="14"/>
      <c r="I634" s="14"/>
      <c r="J634" s="14"/>
      <c r="K634" s="7"/>
      <c r="L634" s="14"/>
      <c r="M634" s="7"/>
      <c r="N634" s="14"/>
      <c r="O634" s="14"/>
      <c r="P634" s="7"/>
      <c r="Q634" s="21"/>
      <c r="R634" s="14"/>
      <c r="S634" s="14"/>
      <c r="T634" s="14"/>
      <c r="U634" s="14"/>
      <c r="V634" s="14"/>
      <c r="W634" s="14"/>
      <c r="X634" s="14"/>
      <c r="Y634" s="13"/>
      <c r="Z634" s="14"/>
    </row>
    <row r="635" spans="1:26" ht="14.25" customHeight="1" x14ac:dyDescent="0.25">
      <c r="A635" s="14"/>
      <c r="B635" s="14"/>
      <c r="C635" s="14"/>
      <c r="D635" s="14"/>
      <c r="E635" s="122"/>
      <c r="F635" s="14"/>
      <c r="G635" s="14"/>
      <c r="H635" s="14"/>
      <c r="I635" s="14"/>
      <c r="J635" s="14"/>
      <c r="K635" s="7"/>
      <c r="L635" s="14"/>
      <c r="M635" s="7"/>
      <c r="N635" s="14"/>
      <c r="O635" s="14"/>
      <c r="P635" s="7"/>
      <c r="Q635" s="21"/>
      <c r="R635" s="14"/>
      <c r="S635" s="14"/>
      <c r="T635" s="14"/>
      <c r="U635" s="14"/>
      <c r="V635" s="14"/>
      <c r="W635" s="14"/>
      <c r="X635" s="14"/>
      <c r="Y635" s="13"/>
      <c r="Z635" s="14"/>
    </row>
    <row r="636" spans="1:26" ht="14.25" customHeight="1" x14ac:dyDescent="0.25">
      <c r="A636" s="14"/>
      <c r="B636" s="14"/>
      <c r="C636" s="14"/>
      <c r="D636" s="14"/>
      <c r="E636" s="122"/>
      <c r="F636" s="14"/>
      <c r="G636" s="14"/>
      <c r="H636" s="14"/>
      <c r="I636" s="14"/>
      <c r="J636" s="14"/>
      <c r="K636" s="7"/>
      <c r="L636" s="14"/>
      <c r="M636" s="7"/>
      <c r="N636" s="14"/>
      <c r="O636" s="14"/>
      <c r="P636" s="7"/>
      <c r="Q636" s="21"/>
      <c r="R636" s="14"/>
      <c r="S636" s="14"/>
      <c r="T636" s="14"/>
      <c r="U636" s="14"/>
      <c r="V636" s="14"/>
      <c r="W636" s="14"/>
      <c r="X636" s="14"/>
      <c r="Y636" s="13"/>
      <c r="Z636" s="14"/>
    </row>
    <row r="637" spans="1:26" ht="14.25" customHeight="1" x14ac:dyDescent="0.25">
      <c r="A637" s="14"/>
      <c r="B637" s="14"/>
      <c r="C637" s="14"/>
      <c r="D637" s="14"/>
      <c r="E637" s="122"/>
      <c r="F637" s="14"/>
      <c r="G637" s="14"/>
      <c r="H637" s="14"/>
      <c r="I637" s="14"/>
      <c r="J637" s="14"/>
      <c r="K637" s="7"/>
      <c r="L637" s="14"/>
      <c r="M637" s="7"/>
      <c r="N637" s="14"/>
      <c r="O637" s="14"/>
      <c r="P637" s="7"/>
      <c r="Q637" s="21"/>
      <c r="R637" s="14"/>
      <c r="S637" s="14"/>
      <c r="T637" s="14"/>
      <c r="U637" s="14"/>
      <c r="V637" s="14"/>
      <c r="W637" s="14"/>
      <c r="X637" s="14"/>
      <c r="Y637" s="13"/>
      <c r="Z637" s="14"/>
    </row>
    <row r="638" spans="1:26" ht="14.25" customHeight="1" x14ac:dyDescent="0.25">
      <c r="A638" s="14"/>
      <c r="B638" s="14"/>
      <c r="C638" s="14"/>
      <c r="D638" s="14"/>
      <c r="E638" s="122"/>
      <c r="F638" s="14"/>
      <c r="G638" s="14"/>
      <c r="H638" s="14"/>
      <c r="I638" s="14"/>
      <c r="J638" s="14"/>
      <c r="K638" s="7"/>
      <c r="L638" s="14"/>
      <c r="M638" s="7"/>
      <c r="N638" s="14"/>
      <c r="O638" s="14"/>
      <c r="P638" s="7"/>
      <c r="Q638" s="21"/>
      <c r="R638" s="14"/>
      <c r="S638" s="14"/>
      <c r="T638" s="14"/>
      <c r="U638" s="14"/>
      <c r="V638" s="14"/>
      <c r="W638" s="14"/>
      <c r="X638" s="14"/>
      <c r="Y638" s="13"/>
      <c r="Z638" s="14"/>
    </row>
    <row r="639" spans="1:26" ht="14.25" customHeight="1" x14ac:dyDescent="0.25">
      <c r="A639" s="14"/>
      <c r="B639" s="14"/>
      <c r="C639" s="14"/>
      <c r="D639" s="14"/>
      <c r="E639" s="122"/>
      <c r="F639" s="14"/>
      <c r="G639" s="14"/>
      <c r="H639" s="14"/>
      <c r="I639" s="14"/>
      <c r="J639" s="14"/>
      <c r="K639" s="7"/>
      <c r="L639" s="14"/>
      <c r="M639" s="7"/>
      <c r="N639" s="14"/>
      <c r="O639" s="14"/>
      <c r="P639" s="7"/>
      <c r="Q639" s="21"/>
      <c r="R639" s="14"/>
      <c r="S639" s="14"/>
      <c r="T639" s="14"/>
      <c r="U639" s="14"/>
      <c r="V639" s="14"/>
      <c r="W639" s="14"/>
      <c r="X639" s="14"/>
      <c r="Y639" s="13"/>
      <c r="Z639" s="14"/>
    </row>
    <row r="640" spans="1:26" ht="14.25" customHeight="1" x14ac:dyDescent="0.25">
      <c r="A640" s="14"/>
      <c r="B640" s="14"/>
      <c r="C640" s="14"/>
      <c r="D640" s="14"/>
      <c r="E640" s="122"/>
      <c r="F640" s="14"/>
      <c r="G640" s="14"/>
      <c r="H640" s="14"/>
      <c r="I640" s="14"/>
      <c r="J640" s="14"/>
      <c r="K640" s="7"/>
      <c r="L640" s="14"/>
      <c r="M640" s="7"/>
      <c r="N640" s="14"/>
      <c r="O640" s="14"/>
      <c r="P640" s="7"/>
      <c r="Q640" s="21"/>
      <c r="R640" s="14"/>
      <c r="S640" s="14"/>
      <c r="T640" s="14"/>
      <c r="U640" s="14"/>
      <c r="V640" s="14"/>
      <c r="W640" s="14"/>
      <c r="X640" s="14"/>
      <c r="Y640" s="13"/>
      <c r="Z640" s="14"/>
    </row>
    <row r="641" spans="1:26" ht="14.25" customHeight="1" x14ac:dyDescent="0.25">
      <c r="A641" s="14"/>
      <c r="B641" s="14"/>
      <c r="C641" s="14"/>
      <c r="D641" s="14"/>
      <c r="E641" s="122"/>
      <c r="F641" s="14"/>
      <c r="G641" s="14"/>
      <c r="H641" s="14"/>
      <c r="I641" s="14"/>
      <c r="J641" s="14"/>
      <c r="K641" s="7"/>
      <c r="L641" s="14"/>
      <c r="M641" s="7"/>
      <c r="N641" s="14"/>
      <c r="O641" s="14"/>
      <c r="P641" s="7"/>
      <c r="Q641" s="21"/>
      <c r="R641" s="14"/>
      <c r="S641" s="14"/>
      <c r="T641" s="14"/>
      <c r="U641" s="14"/>
      <c r="V641" s="14"/>
      <c r="W641" s="14"/>
      <c r="X641" s="14"/>
      <c r="Y641" s="13"/>
      <c r="Z641" s="14"/>
    </row>
    <row r="642" spans="1:26" ht="14.25" customHeight="1" x14ac:dyDescent="0.25">
      <c r="A642" s="14"/>
      <c r="B642" s="14"/>
      <c r="C642" s="14"/>
      <c r="D642" s="14"/>
      <c r="E642" s="122"/>
      <c r="F642" s="14"/>
      <c r="G642" s="14"/>
      <c r="H642" s="14"/>
      <c r="I642" s="14"/>
      <c r="J642" s="14"/>
      <c r="K642" s="7"/>
      <c r="L642" s="14"/>
      <c r="M642" s="7"/>
      <c r="N642" s="14"/>
      <c r="O642" s="14"/>
      <c r="P642" s="7"/>
      <c r="Q642" s="21"/>
      <c r="R642" s="14"/>
      <c r="S642" s="14"/>
      <c r="T642" s="14"/>
      <c r="U642" s="14"/>
      <c r="V642" s="14"/>
      <c r="W642" s="14"/>
      <c r="X642" s="14"/>
      <c r="Y642" s="13"/>
      <c r="Z642" s="14"/>
    </row>
    <row r="643" spans="1:26" ht="14.25" customHeight="1" x14ac:dyDescent="0.25">
      <c r="A643" s="14"/>
      <c r="B643" s="14"/>
      <c r="C643" s="14"/>
      <c r="D643" s="14"/>
      <c r="E643" s="122"/>
      <c r="F643" s="14"/>
      <c r="G643" s="14"/>
      <c r="H643" s="14"/>
      <c r="I643" s="14"/>
      <c r="J643" s="14"/>
      <c r="K643" s="7"/>
      <c r="L643" s="14"/>
      <c r="M643" s="7"/>
      <c r="N643" s="14"/>
      <c r="O643" s="14"/>
      <c r="P643" s="7"/>
      <c r="Q643" s="21"/>
      <c r="R643" s="14"/>
      <c r="S643" s="14"/>
      <c r="T643" s="14"/>
      <c r="U643" s="14"/>
      <c r="V643" s="14"/>
      <c r="W643" s="14"/>
      <c r="X643" s="14"/>
      <c r="Y643" s="13"/>
      <c r="Z643" s="14"/>
    </row>
    <row r="644" spans="1:26" ht="14.25" customHeight="1" x14ac:dyDescent="0.25">
      <c r="A644" s="14"/>
      <c r="B644" s="14"/>
      <c r="C644" s="14"/>
      <c r="D644" s="14"/>
      <c r="E644" s="122"/>
      <c r="F644" s="14"/>
      <c r="G644" s="14"/>
      <c r="H644" s="14"/>
      <c r="I644" s="14"/>
      <c r="J644" s="14"/>
      <c r="K644" s="7"/>
      <c r="L644" s="14"/>
      <c r="M644" s="7"/>
      <c r="N644" s="14"/>
      <c r="O644" s="14"/>
      <c r="P644" s="7"/>
      <c r="Q644" s="21"/>
      <c r="R644" s="14"/>
      <c r="S644" s="14"/>
      <c r="T644" s="14"/>
      <c r="U644" s="14"/>
      <c r="V644" s="14"/>
      <c r="W644" s="14"/>
      <c r="X644" s="14"/>
      <c r="Y644" s="13"/>
      <c r="Z644" s="14"/>
    </row>
    <row r="645" spans="1:26" ht="14.25" customHeight="1" x14ac:dyDescent="0.25">
      <c r="A645" s="14"/>
      <c r="B645" s="14"/>
      <c r="C645" s="14"/>
      <c r="D645" s="14"/>
      <c r="E645" s="122"/>
      <c r="F645" s="14"/>
      <c r="G645" s="14"/>
      <c r="H645" s="14"/>
      <c r="I645" s="14"/>
      <c r="J645" s="14"/>
      <c r="K645" s="7"/>
      <c r="L645" s="14"/>
      <c r="M645" s="7"/>
      <c r="N645" s="14"/>
      <c r="O645" s="14"/>
      <c r="P645" s="7"/>
      <c r="Q645" s="21"/>
      <c r="R645" s="14"/>
      <c r="S645" s="14"/>
      <c r="T645" s="14"/>
      <c r="U645" s="14"/>
      <c r="V645" s="14"/>
      <c r="W645" s="14"/>
      <c r="X645" s="14"/>
      <c r="Y645" s="13"/>
      <c r="Z645" s="14"/>
    </row>
    <row r="646" spans="1:26" ht="14.25" customHeight="1" x14ac:dyDescent="0.25">
      <c r="A646" s="14"/>
      <c r="B646" s="14"/>
      <c r="C646" s="14"/>
      <c r="D646" s="14"/>
      <c r="E646" s="122"/>
      <c r="F646" s="14"/>
      <c r="G646" s="14"/>
      <c r="H646" s="14"/>
      <c r="I646" s="14"/>
      <c r="J646" s="14"/>
      <c r="K646" s="7"/>
      <c r="L646" s="14"/>
      <c r="M646" s="7"/>
      <c r="N646" s="14"/>
      <c r="O646" s="14"/>
      <c r="P646" s="7"/>
      <c r="Q646" s="21"/>
      <c r="R646" s="14"/>
      <c r="S646" s="14"/>
      <c r="T646" s="14"/>
      <c r="U646" s="14"/>
      <c r="V646" s="14"/>
      <c r="W646" s="14"/>
      <c r="X646" s="14"/>
      <c r="Y646" s="13"/>
      <c r="Z646" s="14"/>
    </row>
    <row r="647" spans="1:26" ht="14.25" customHeight="1" x14ac:dyDescent="0.25">
      <c r="A647" s="14"/>
      <c r="B647" s="14"/>
      <c r="C647" s="14"/>
      <c r="D647" s="14"/>
      <c r="E647" s="122"/>
      <c r="F647" s="14"/>
      <c r="G647" s="14"/>
      <c r="H647" s="14"/>
      <c r="I647" s="14"/>
      <c r="J647" s="14"/>
      <c r="K647" s="7"/>
      <c r="L647" s="14"/>
      <c r="M647" s="7"/>
      <c r="N647" s="14"/>
      <c r="O647" s="14"/>
      <c r="P647" s="7"/>
      <c r="Q647" s="21"/>
      <c r="R647" s="14"/>
      <c r="S647" s="14"/>
      <c r="T647" s="14"/>
      <c r="U647" s="14"/>
      <c r="V647" s="14"/>
      <c r="W647" s="14"/>
      <c r="X647" s="14"/>
      <c r="Y647" s="13"/>
      <c r="Z647" s="14"/>
    </row>
    <row r="648" spans="1:26" ht="14.25" customHeight="1" x14ac:dyDescent="0.25">
      <c r="A648" s="14"/>
      <c r="B648" s="14"/>
      <c r="C648" s="14"/>
      <c r="D648" s="14"/>
      <c r="E648" s="122"/>
      <c r="F648" s="14"/>
      <c r="G648" s="14"/>
      <c r="H648" s="14"/>
      <c r="I648" s="14"/>
      <c r="J648" s="14"/>
      <c r="K648" s="7"/>
      <c r="L648" s="14"/>
      <c r="M648" s="7"/>
      <c r="N648" s="14"/>
      <c r="O648" s="14"/>
      <c r="P648" s="7"/>
      <c r="Q648" s="21"/>
      <c r="R648" s="14"/>
      <c r="S648" s="14"/>
      <c r="T648" s="14"/>
      <c r="U648" s="14"/>
      <c r="V648" s="14"/>
      <c r="W648" s="14"/>
      <c r="X648" s="14"/>
      <c r="Y648" s="13"/>
      <c r="Z648" s="14"/>
    </row>
    <row r="649" spans="1:26" ht="14.25" customHeight="1" x14ac:dyDescent="0.25">
      <c r="A649" s="14"/>
      <c r="B649" s="14"/>
      <c r="C649" s="14"/>
      <c r="D649" s="14"/>
      <c r="E649" s="122"/>
      <c r="F649" s="14"/>
      <c r="G649" s="14"/>
      <c r="H649" s="14"/>
      <c r="I649" s="14"/>
      <c r="J649" s="14"/>
      <c r="K649" s="7"/>
      <c r="L649" s="14"/>
      <c r="M649" s="7"/>
      <c r="N649" s="14"/>
      <c r="O649" s="14"/>
      <c r="P649" s="7"/>
      <c r="Q649" s="21"/>
      <c r="R649" s="14"/>
      <c r="S649" s="14"/>
      <c r="T649" s="14"/>
      <c r="U649" s="14"/>
      <c r="V649" s="14"/>
      <c r="W649" s="14"/>
      <c r="X649" s="14"/>
      <c r="Y649" s="13"/>
      <c r="Z649" s="14"/>
    </row>
    <row r="650" spans="1:26" ht="14.25" customHeight="1" x14ac:dyDescent="0.25">
      <c r="A650" s="14"/>
      <c r="B650" s="14"/>
      <c r="C650" s="14"/>
      <c r="D650" s="14"/>
      <c r="E650" s="122"/>
      <c r="F650" s="14"/>
      <c r="G650" s="14"/>
      <c r="H650" s="14"/>
      <c r="I650" s="14"/>
      <c r="J650" s="14"/>
      <c r="K650" s="7"/>
      <c r="L650" s="14"/>
      <c r="M650" s="7"/>
      <c r="N650" s="14"/>
      <c r="O650" s="14"/>
      <c r="P650" s="7"/>
      <c r="Q650" s="21"/>
      <c r="R650" s="14"/>
      <c r="S650" s="14"/>
      <c r="T650" s="14"/>
      <c r="U650" s="14"/>
      <c r="V650" s="14"/>
      <c r="W650" s="14"/>
      <c r="X650" s="14"/>
      <c r="Y650" s="13"/>
      <c r="Z650" s="14"/>
    </row>
    <row r="651" spans="1:26" ht="14.25" customHeight="1" x14ac:dyDescent="0.25">
      <c r="A651" s="14"/>
      <c r="B651" s="14"/>
      <c r="C651" s="14"/>
      <c r="D651" s="14"/>
      <c r="E651" s="122"/>
      <c r="F651" s="14"/>
      <c r="G651" s="14"/>
      <c r="H651" s="14"/>
      <c r="I651" s="14"/>
      <c r="J651" s="14"/>
      <c r="K651" s="7"/>
      <c r="L651" s="14"/>
      <c r="M651" s="7"/>
      <c r="N651" s="14"/>
      <c r="O651" s="14"/>
      <c r="P651" s="7"/>
      <c r="Q651" s="21"/>
      <c r="R651" s="14"/>
      <c r="S651" s="14"/>
      <c r="T651" s="14"/>
      <c r="U651" s="14"/>
      <c r="V651" s="14"/>
      <c r="W651" s="14"/>
      <c r="X651" s="14"/>
      <c r="Y651" s="13"/>
      <c r="Z651" s="14"/>
    </row>
    <row r="652" spans="1:26" ht="14.25" customHeight="1" x14ac:dyDescent="0.25">
      <c r="A652" s="14"/>
      <c r="B652" s="14"/>
      <c r="C652" s="14"/>
      <c r="D652" s="14"/>
      <c r="E652" s="122"/>
      <c r="F652" s="14"/>
      <c r="G652" s="14"/>
      <c r="H652" s="14"/>
      <c r="I652" s="14"/>
      <c r="J652" s="14"/>
      <c r="K652" s="7"/>
      <c r="L652" s="14"/>
      <c r="M652" s="7"/>
      <c r="N652" s="14"/>
      <c r="O652" s="14"/>
      <c r="P652" s="7"/>
      <c r="Q652" s="21"/>
      <c r="R652" s="14"/>
      <c r="S652" s="14"/>
      <c r="T652" s="14"/>
      <c r="U652" s="14"/>
      <c r="V652" s="14"/>
      <c r="W652" s="14"/>
      <c r="X652" s="14"/>
      <c r="Y652" s="13"/>
      <c r="Z652" s="14"/>
    </row>
    <row r="653" spans="1:26" ht="14.25" customHeight="1" x14ac:dyDescent="0.25">
      <c r="A653" s="14"/>
      <c r="B653" s="14"/>
      <c r="C653" s="14"/>
      <c r="D653" s="14"/>
      <c r="E653" s="122"/>
      <c r="F653" s="14"/>
      <c r="G653" s="14"/>
      <c r="H653" s="14"/>
      <c r="I653" s="14"/>
      <c r="J653" s="14"/>
      <c r="K653" s="7"/>
      <c r="L653" s="14"/>
      <c r="M653" s="7"/>
      <c r="N653" s="14"/>
      <c r="O653" s="14"/>
      <c r="P653" s="7"/>
      <c r="Q653" s="21"/>
      <c r="R653" s="14"/>
      <c r="S653" s="14"/>
      <c r="T653" s="14"/>
      <c r="U653" s="14"/>
      <c r="V653" s="14"/>
      <c r="W653" s="14"/>
      <c r="X653" s="14"/>
      <c r="Y653" s="13"/>
      <c r="Z653" s="14"/>
    </row>
    <row r="654" spans="1:26" ht="14.25" customHeight="1" x14ac:dyDescent="0.25">
      <c r="A654" s="14"/>
      <c r="B654" s="14"/>
      <c r="C654" s="14"/>
      <c r="D654" s="14"/>
      <c r="E654" s="122"/>
      <c r="F654" s="14"/>
      <c r="G654" s="14"/>
      <c r="H654" s="14"/>
      <c r="I654" s="14"/>
      <c r="J654" s="14"/>
      <c r="K654" s="7"/>
      <c r="L654" s="14"/>
      <c r="M654" s="7"/>
      <c r="N654" s="14"/>
      <c r="O654" s="14"/>
      <c r="P654" s="7"/>
      <c r="Q654" s="21"/>
      <c r="R654" s="14"/>
      <c r="S654" s="14"/>
      <c r="T654" s="14"/>
      <c r="U654" s="14"/>
      <c r="V654" s="14"/>
      <c r="W654" s="14"/>
      <c r="X654" s="14"/>
      <c r="Y654" s="13"/>
      <c r="Z654" s="14"/>
    </row>
    <row r="655" spans="1:26" ht="14.25" customHeight="1" x14ac:dyDescent="0.25">
      <c r="A655" s="14"/>
      <c r="B655" s="14"/>
      <c r="C655" s="14"/>
      <c r="D655" s="14"/>
      <c r="E655" s="122"/>
      <c r="F655" s="14"/>
      <c r="G655" s="14"/>
      <c r="H655" s="14"/>
      <c r="I655" s="14"/>
      <c r="J655" s="14"/>
      <c r="K655" s="7"/>
      <c r="L655" s="14"/>
      <c r="M655" s="7"/>
      <c r="N655" s="14"/>
      <c r="O655" s="14"/>
      <c r="P655" s="7"/>
      <c r="Q655" s="21"/>
      <c r="R655" s="14"/>
      <c r="S655" s="14"/>
      <c r="T655" s="14"/>
      <c r="U655" s="14"/>
      <c r="V655" s="14"/>
      <c r="W655" s="14"/>
      <c r="X655" s="14"/>
      <c r="Y655" s="13"/>
      <c r="Z655" s="14"/>
    </row>
    <row r="656" spans="1:26" ht="14.25" customHeight="1" x14ac:dyDescent="0.25">
      <c r="A656" s="14"/>
      <c r="B656" s="14"/>
      <c r="C656" s="14"/>
      <c r="D656" s="14"/>
      <c r="E656" s="122"/>
      <c r="F656" s="14"/>
      <c r="G656" s="14"/>
      <c r="H656" s="14"/>
      <c r="I656" s="14"/>
      <c r="J656" s="14"/>
      <c r="K656" s="7"/>
      <c r="L656" s="14"/>
      <c r="M656" s="7"/>
      <c r="N656" s="14"/>
      <c r="O656" s="14"/>
      <c r="P656" s="7"/>
      <c r="Q656" s="21"/>
      <c r="R656" s="14"/>
      <c r="S656" s="14"/>
      <c r="T656" s="14"/>
      <c r="U656" s="14"/>
      <c r="V656" s="14"/>
      <c r="W656" s="14"/>
      <c r="X656" s="14"/>
      <c r="Y656" s="13"/>
      <c r="Z656" s="14"/>
    </row>
    <row r="657" spans="1:26" ht="14.25" customHeight="1" x14ac:dyDescent="0.25">
      <c r="A657" s="14"/>
      <c r="B657" s="14"/>
      <c r="C657" s="14"/>
      <c r="D657" s="14"/>
      <c r="E657" s="122"/>
      <c r="F657" s="14"/>
      <c r="G657" s="14"/>
      <c r="H657" s="14"/>
      <c r="I657" s="14"/>
      <c r="J657" s="14"/>
      <c r="K657" s="7"/>
      <c r="L657" s="14"/>
      <c r="M657" s="7"/>
      <c r="N657" s="14"/>
      <c r="O657" s="14"/>
      <c r="P657" s="7"/>
      <c r="Q657" s="21"/>
      <c r="R657" s="14"/>
      <c r="S657" s="14"/>
      <c r="T657" s="14"/>
      <c r="U657" s="14"/>
      <c r="V657" s="14"/>
      <c r="W657" s="14"/>
      <c r="X657" s="14"/>
      <c r="Y657" s="13"/>
      <c r="Z657" s="14"/>
    </row>
    <row r="658" spans="1:26" ht="14.25" customHeight="1" x14ac:dyDescent="0.25">
      <c r="A658" s="14"/>
      <c r="B658" s="14"/>
      <c r="C658" s="14"/>
      <c r="D658" s="14"/>
      <c r="E658" s="122"/>
      <c r="F658" s="14"/>
      <c r="G658" s="14"/>
      <c r="H658" s="14"/>
      <c r="I658" s="14"/>
      <c r="J658" s="14"/>
      <c r="K658" s="7"/>
      <c r="L658" s="14"/>
      <c r="M658" s="7"/>
      <c r="N658" s="14"/>
      <c r="O658" s="14"/>
      <c r="P658" s="7"/>
      <c r="Q658" s="21"/>
      <c r="R658" s="14"/>
      <c r="S658" s="14"/>
      <c r="T658" s="14"/>
      <c r="U658" s="14"/>
      <c r="V658" s="14"/>
      <c r="W658" s="14"/>
      <c r="X658" s="14"/>
      <c r="Y658" s="13"/>
      <c r="Z658" s="14"/>
    </row>
    <row r="659" spans="1:26" ht="14.25" customHeight="1" x14ac:dyDescent="0.25">
      <c r="A659" s="14"/>
      <c r="B659" s="14"/>
      <c r="C659" s="14"/>
      <c r="D659" s="14"/>
      <c r="E659" s="122"/>
      <c r="F659" s="14"/>
      <c r="G659" s="14"/>
      <c r="H659" s="14"/>
      <c r="I659" s="14"/>
      <c r="J659" s="14"/>
      <c r="K659" s="7"/>
      <c r="L659" s="14"/>
      <c r="M659" s="7"/>
      <c r="N659" s="14"/>
      <c r="O659" s="14"/>
      <c r="P659" s="7"/>
      <c r="Q659" s="21"/>
      <c r="R659" s="14"/>
      <c r="S659" s="14"/>
      <c r="T659" s="14"/>
      <c r="U659" s="14"/>
      <c r="V659" s="14"/>
      <c r="W659" s="14"/>
      <c r="X659" s="14"/>
      <c r="Y659" s="13"/>
      <c r="Z659" s="14"/>
    </row>
    <row r="660" spans="1:26" ht="14.25" customHeight="1" x14ac:dyDescent="0.25">
      <c r="A660" s="14"/>
      <c r="B660" s="14"/>
      <c r="C660" s="14"/>
      <c r="D660" s="14"/>
      <c r="E660" s="122"/>
      <c r="F660" s="14"/>
      <c r="G660" s="14"/>
      <c r="H660" s="14"/>
      <c r="I660" s="14"/>
      <c r="J660" s="14"/>
      <c r="K660" s="7"/>
      <c r="L660" s="14"/>
      <c r="M660" s="7"/>
      <c r="N660" s="14"/>
      <c r="O660" s="14"/>
      <c r="P660" s="7"/>
      <c r="Q660" s="21"/>
      <c r="R660" s="14"/>
      <c r="S660" s="14"/>
      <c r="T660" s="14"/>
      <c r="U660" s="14"/>
      <c r="V660" s="14"/>
      <c r="W660" s="14"/>
      <c r="X660" s="14"/>
      <c r="Y660" s="13"/>
      <c r="Z660" s="14"/>
    </row>
    <row r="661" spans="1:26" ht="14.25" customHeight="1" x14ac:dyDescent="0.25">
      <c r="A661" s="14"/>
      <c r="B661" s="14"/>
      <c r="C661" s="14"/>
      <c r="D661" s="14"/>
      <c r="E661" s="122"/>
      <c r="F661" s="14"/>
      <c r="G661" s="14"/>
      <c r="H661" s="14"/>
      <c r="I661" s="14"/>
      <c r="J661" s="14"/>
      <c r="K661" s="7"/>
      <c r="L661" s="14"/>
      <c r="M661" s="7"/>
      <c r="N661" s="14"/>
      <c r="O661" s="14"/>
      <c r="P661" s="7"/>
      <c r="Q661" s="21"/>
      <c r="R661" s="14"/>
      <c r="S661" s="14"/>
      <c r="T661" s="14"/>
      <c r="U661" s="14"/>
      <c r="V661" s="14"/>
      <c r="W661" s="14"/>
      <c r="X661" s="14"/>
      <c r="Y661" s="13"/>
      <c r="Z661" s="14"/>
    </row>
    <row r="662" spans="1:26" ht="14.25" customHeight="1" x14ac:dyDescent="0.25">
      <c r="A662" s="14"/>
      <c r="B662" s="14"/>
      <c r="C662" s="14"/>
      <c r="D662" s="14"/>
      <c r="E662" s="122"/>
      <c r="F662" s="14"/>
      <c r="G662" s="14"/>
      <c r="H662" s="14"/>
      <c r="I662" s="14"/>
      <c r="J662" s="14"/>
      <c r="K662" s="7"/>
      <c r="L662" s="14"/>
      <c r="M662" s="7"/>
      <c r="N662" s="14"/>
      <c r="O662" s="14"/>
      <c r="P662" s="7"/>
      <c r="Q662" s="21"/>
      <c r="R662" s="14"/>
      <c r="S662" s="14"/>
      <c r="T662" s="14"/>
      <c r="U662" s="14"/>
      <c r="V662" s="14"/>
      <c r="W662" s="14"/>
      <c r="X662" s="14"/>
      <c r="Y662" s="13"/>
      <c r="Z662" s="14"/>
    </row>
    <row r="663" spans="1:26" ht="14.25" customHeight="1" x14ac:dyDescent="0.25">
      <c r="A663" s="14"/>
      <c r="B663" s="14"/>
      <c r="C663" s="14"/>
      <c r="D663" s="14"/>
      <c r="E663" s="122"/>
      <c r="F663" s="14"/>
      <c r="G663" s="14"/>
      <c r="H663" s="14"/>
      <c r="I663" s="14"/>
      <c r="J663" s="14"/>
      <c r="K663" s="7"/>
      <c r="L663" s="14"/>
      <c r="M663" s="7"/>
      <c r="N663" s="14"/>
      <c r="O663" s="14"/>
      <c r="P663" s="7"/>
      <c r="Q663" s="21"/>
      <c r="R663" s="14"/>
      <c r="S663" s="14"/>
      <c r="T663" s="14"/>
      <c r="U663" s="14"/>
      <c r="V663" s="14"/>
      <c r="W663" s="14"/>
      <c r="X663" s="14"/>
      <c r="Y663" s="13"/>
      <c r="Z663" s="14"/>
    </row>
    <row r="664" spans="1:26" ht="14.25" customHeight="1" x14ac:dyDescent="0.25">
      <c r="A664" s="14"/>
      <c r="B664" s="14"/>
      <c r="C664" s="14"/>
      <c r="D664" s="14"/>
      <c r="E664" s="122"/>
      <c r="F664" s="14"/>
      <c r="G664" s="14"/>
      <c r="H664" s="14"/>
      <c r="I664" s="14"/>
      <c r="J664" s="14"/>
      <c r="K664" s="7"/>
      <c r="L664" s="14"/>
      <c r="M664" s="7"/>
      <c r="N664" s="14"/>
      <c r="O664" s="14"/>
      <c r="P664" s="7"/>
      <c r="Q664" s="21"/>
      <c r="R664" s="14"/>
      <c r="S664" s="14"/>
      <c r="T664" s="14"/>
      <c r="U664" s="14"/>
      <c r="V664" s="14"/>
      <c r="W664" s="14"/>
      <c r="X664" s="14"/>
      <c r="Y664" s="13"/>
      <c r="Z664" s="14"/>
    </row>
    <row r="665" spans="1:26" ht="14.25" customHeight="1" x14ac:dyDescent="0.25">
      <c r="A665" s="14"/>
      <c r="B665" s="14"/>
      <c r="C665" s="14"/>
      <c r="D665" s="14"/>
      <c r="E665" s="122"/>
      <c r="F665" s="14"/>
      <c r="G665" s="14"/>
      <c r="H665" s="14"/>
      <c r="I665" s="14"/>
      <c r="J665" s="14"/>
      <c r="K665" s="7"/>
      <c r="L665" s="14"/>
      <c r="M665" s="7"/>
      <c r="N665" s="14"/>
      <c r="O665" s="14"/>
      <c r="P665" s="7"/>
      <c r="Q665" s="21"/>
      <c r="R665" s="14"/>
      <c r="S665" s="14"/>
      <c r="T665" s="14"/>
      <c r="U665" s="14"/>
      <c r="V665" s="14"/>
      <c r="W665" s="14"/>
      <c r="X665" s="14"/>
      <c r="Y665" s="13"/>
      <c r="Z665" s="14"/>
    </row>
    <row r="666" spans="1:26" ht="14.25" customHeight="1" x14ac:dyDescent="0.25">
      <c r="A666" s="14"/>
      <c r="B666" s="14"/>
      <c r="C666" s="14"/>
      <c r="D666" s="14"/>
      <c r="E666" s="122"/>
      <c r="F666" s="14"/>
      <c r="G666" s="14"/>
      <c r="H666" s="14"/>
      <c r="I666" s="14"/>
      <c r="J666" s="14"/>
      <c r="K666" s="7"/>
      <c r="L666" s="14"/>
      <c r="M666" s="7"/>
      <c r="N666" s="14"/>
      <c r="O666" s="14"/>
      <c r="P666" s="7"/>
      <c r="Q666" s="21"/>
      <c r="R666" s="14"/>
      <c r="S666" s="14"/>
      <c r="T666" s="14"/>
      <c r="U666" s="14"/>
      <c r="V666" s="14"/>
      <c r="W666" s="14"/>
      <c r="X666" s="14"/>
      <c r="Y666" s="13"/>
      <c r="Z666" s="14"/>
    </row>
    <row r="667" spans="1:26" ht="14.25" customHeight="1" x14ac:dyDescent="0.25">
      <c r="A667" s="14"/>
      <c r="B667" s="14"/>
      <c r="C667" s="14"/>
      <c r="D667" s="14"/>
      <c r="E667" s="122"/>
      <c r="F667" s="14"/>
      <c r="G667" s="14"/>
      <c r="H667" s="14"/>
      <c r="I667" s="14"/>
      <c r="J667" s="14"/>
      <c r="K667" s="7"/>
      <c r="L667" s="14"/>
      <c r="M667" s="7"/>
      <c r="N667" s="14"/>
      <c r="O667" s="14"/>
      <c r="P667" s="7"/>
      <c r="Q667" s="21"/>
      <c r="R667" s="14"/>
      <c r="S667" s="14"/>
      <c r="T667" s="14"/>
      <c r="U667" s="14"/>
      <c r="V667" s="14"/>
      <c r="W667" s="14"/>
      <c r="X667" s="14"/>
      <c r="Y667" s="13"/>
      <c r="Z667" s="14"/>
    </row>
    <row r="668" spans="1:26" ht="14.25" customHeight="1" x14ac:dyDescent="0.25">
      <c r="A668" s="14"/>
      <c r="B668" s="14"/>
      <c r="C668" s="14"/>
      <c r="D668" s="14"/>
      <c r="E668" s="122"/>
      <c r="F668" s="14"/>
      <c r="G668" s="14"/>
      <c r="H668" s="14"/>
      <c r="I668" s="14"/>
      <c r="J668" s="14"/>
      <c r="K668" s="7"/>
      <c r="L668" s="14"/>
      <c r="M668" s="7"/>
      <c r="N668" s="14"/>
      <c r="O668" s="14"/>
      <c r="P668" s="7"/>
      <c r="Q668" s="21"/>
      <c r="R668" s="14"/>
      <c r="S668" s="14"/>
      <c r="T668" s="14"/>
      <c r="U668" s="14"/>
      <c r="V668" s="14"/>
      <c r="W668" s="14"/>
      <c r="X668" s="14"/>
      <c r="Y668" s="13"/>
      <c r="Z668" s="14"/>
    </row>
    <row r="669" spans="1:26" ht="14.25" customHeight="1" x14ac:dyDescent="0.25">
      <c r="A669" s="14"/>
      <c r="B669" s="14"/>
      <c r="C669" s="14"/>
      <c r="D669" s="14"/>
      <c r="E669" s="122"/>
      <c r="F669" s="14"/>
      <c r="G669" s="14"/>
      <c r="H669" s="14"/>
      <c r="I669" s="14"/>
      <c r="J669" s="14"/>
      <c r="K669" s="7"/>
      <c r="L669" s="14"/>
      <c r="M669" s="7"/>
      <c r="N669" s="14"/>
      <c r="O669" s="14"/>
      <c r="P669" s="7"/>
      <c r="Q669" s="21"/>
      <c r="R669" s="14"/>
      <c r="S669" s="14"/>
      <c r="T669" s="14"/>
      <c r="U669" s="14"/>
      <c r="V669" s="14"/>
      <c r="W669" s="14"/>
      <c r="X669" s="14"/>
      <c r="Y669" s="13"/>
      <c r="Z669" s="14"/>
    </row>
    <row r="670" spans="1:26" ht="14.25" customHeight="1" x14ac:dyDescent="0.25">
      <c r="A670" s="14"/>
      <c r="B670" s="14"/>
      <c r="C670" s="14"/>
      <c r="D670" s="14"/>
      <c r="E670" s="122"/>
      <c r="F670" s="14"/>
      <c r="G670" s="14"/>
      <c r="H670" s="14"/>
      <c r="I670" s="14"/>
      <c r="J670" s="14"/>
      <c r="K670" s="7"/>
      <c r="L670" s="14"/>
      <c r="M670" s="7"/>
      <c r="N670" s="14"/>
      <c r="O670" s="14"/>
      <c r="P670" s="7"/>
      <c r="Q670" s="21"/>
      <c r="R670" s="14"/>
      <c r="S670" s="14"/>
      <c r="T670" s="14"/>
      <c r="U670" s="14"/>
      <c r="V670" s="14"/>
      <c r="W670" s="14"/>
      <c r="X670" s="14"/>
      <c r="Y670" s="13"/>
      <c r="Z670" s="14"/>
    </row>
    <row r="671" spans="1:26" ht="14.25" customHeight="1" x14ac:dyDescent="0.25">
      <c r="A671" s="14"/>
      <c r="B671" s="14"/>
      <c r="C671" s="14"/>
      <c r="D671" s="14"/>
      <c r="E671" s="122"/>
      <c r="F671" s="14"/>
      <c r="G671" s="14"/>
      <c r="H671" s="14"/>
      <c r="I671" s="14"/>
      <c r="J671" s="14"/>
      <c r="K671" s="7"/>
      <c r="L671" s="14"/>
      <c r="M671" s="7"/>
      <c r="N671" s="14"/>
      <c r="O671" s="14"/>
      <c r="P671" s="7"/>
      <c r="Q671" s="21"/>
      <c r="R671" s="14"/>
      <c r="S671" s="14"/>
      <c r="T671" s="14"/>
      <c r="U671" s="14"/>
      <c r="V671" s="14"/>
      <c r="W671" s="14"/>
      <c r="X671" s="14"/>
      <c r="Y671" s="13"/>
      <c r="Z671" s="14"/>
    </row>
    <row r="672" spans="1:26" ht="14.25" customHeight="1" x14ac:dyDescent="0.25">
      <c r="A672" s="14"/>
      <c r="B672" s="14"/>
      <c r="C672" s="14"/>
      <c r="D672" s="14"/>
      <c r="E672" s="122"/>
      <c r="F672" s="14"/>
      <c r="G672" s="14"/>
      <c r="H672" s="14"/>
      <c r="I672" s="14"/>
      <c r="J672" s="14"/>
      <c r="K672" s="7"/>
      <c r="L672" s="14"/>
      <c r="M672" s="7"/>
      <c r="N672" s="14"/>
      <c r="O672" s="14"/>
      <c r="P672" s="7"/>
      <c r="Q672" s="21"/>
      <c r="R672" s="14"/>
      <c r="S672" s="14"/>
      <c r="T672" s="14"/>
      <c r="U672" s="14"/>
      <c r="V672" s="14"/>
      <c r="W672" s="14"/>
      <c r="X672" s="14"/>
      <c r="Y672" s="13"/>
      <c r="Z672" s="14"/>
    </row>
    <row r="673" spans="1:26" ht="14.25" customHeight="1" x14ac:dyDescent="0.25">
      <c r="A673" s="14"/>
      <c r="B673" s="14"/>
      <c r="C673" s="14"/>
      <c r="D673" s="14"/>
      <c r="E673" s="122"/>
      <c r="F673" s="14"/>
      <c r="G673" s="14"/>
      <c r="H673" s="14"/>
      <c r="I673" s="14"/>
      <c r="J673" s="14"/>
      <c r="K673" s="7"/>
      <c r="L673" s="14"/>
      <c r="M673" s="7"/>
      <c r="N673" s="14"/>
      <c r="O673" s="14"/>
      <c r="P673" s="7"/>
      <c r="Q673" s="21"/>
      <c r="R673" s="14"/>
      <c r="S673" s="14"/>
      <c r="T673" s="14"/>
      <c r="U673" s="14"/>
      <c r="V673" s="14"/>
      <c r="W673" s="14"/>
      <c r="X673" s="14"/>
      <c r="Y673" s="13"/>
      <c r="Z673" s="14"/>
    </row>
    <row r="674" spans="1:26" ht="14.25" customHeight="1" x14ac:dyDescent="0.25">
      <c r="A674" s="14"/>
      <c r="B674" s="14"/>
      <c r="C674" s="14"/>
      <c r="D674" s="14"/>
      <c r="E674" s="122"/>
      <c r="F674" s="14"/>
      <c r="G674" s="14"/>
      <c r="H674" s="14"/>
      <c r="I674" s="14"/>
      <c r="J674" s="14"/>
      <c r="K674" s="7"/>
      <c r="L674" s="14"/>
      <c r="M674" s="7"/>
      <c r="N674" s="14"/>
      <c r="O674" s="14"/>
      <c r="P674" s="7"/>
      <c r="Q674" s="21"/>
      <c r="R674" s="14"/>
      <c r="S674" s="14"/>
      <c r="T674" s="14"/>
      <c r="U674" s="14"/>
      <c r="V674" s="14"/>
      <c r="W674" s="14"/>
      <c r="X674" s="14"/>
      <c r="Y674" s="13"/>
      <c r="Z674" s="14"/>
    </row>
    <row r="675" spans="1:26" ht="14.25" customHeight="1" x14ac:dyDescent="0.25">
      <c r="A675" s="14"/>
      <c r="B675" s="14"/>
      <c r="C675" s="14"/>
      <c r="D675" s="14"/>
      <c r="E675" s="122"/>
      <c r="F675" s="14"/>
      <c r="G675" s="14"/>
      <c r="H675" s="14"/>
      <c r="I675" s="14"/>
      <c r="J675" s="14"/>
      <c r="K675" s="7"/>
      <c r="L675" s="14"/>
      <c r="M675" s="7"/>
      <c r="N675" s="14"/>
      <c r="O675" s="14"/>
      <c r="P675" s="7"/>
      <c r="Q675" s="21"/>
      <c r="R675" s="14"/>
      <c r="S675" s="14"/>
      <c r="T675" s="14"/>
      <c r="U675" s="14"/>
      <c r="V675" s="14"/>
      <c r="W675" s="14"/>
      <c r="X675" s="14"/>
      <c r="Y675" s="13"/>
      <c r="Z675" s="14"/>
    </row>
    <row r="676" spans="1:26" ht="14.25" customHeight="1" x14ac:dyDescent="0.25">
      <c r="A676" s="14"/>
      <c r="B676" s="14"/>
      <c r="C676" s="14"/>
      <c r="D676" s="14"/>
      <c r="E676" s="122"/>
      <c r="F676" s="14"/>
      <c r="G676" s="14"/>
      <c r="H676" s="14"/>
      <c r="I676" s="14"/>
      <c r="J676" s="14"/>
      <c r="K676" s="7"/>
      <c r="L676" s="14"/>
      <c r="M676" s="7"/>
      <c r="N676" s="14"/>
      <c r="O676" s="14"/>
      <c r="P676" s="7"/>
      <c r="Q676" s="21"/>
      <c r="R676" s="14"/>
      <c r="S676" s="14"/>
      <c r="T676" s="14"/>
      <c r="U676" s="14"/>
      <c r="V676" s="14"/>
      <c r="W676" s="14"/>
      <c r="X676" s="14"/>
      <c r="Y676" s="13"/>
      <c r="Z676" s="14"/>
    </row>
    <row r="677" spans="1:26" ht="14.25" customHeight="1" x14ac:dyDescent="0.25">
      <c r="A677" s="14"/>
      <c r="B677" s="14"/>
      <c r="C677" s="14"/>
      <c r="D677" s="14"/>
      <c r="E677" s="122"/>
      <c r="F677" s="14"/>
      <c r="G677" s="14"/>
      <c r="H677" s="14"/>
      <c r="I677" s="14"/>
      <c r="J677" s="14"/>
      <c r="K677" s="7"/>
      <c r="L677" s="14"/>
      <c r="M677" s="7"/>
      <c r="N677" s="14"/>
      <c r="O677" s="14"/>
      <c r="P677" s="7"/>
      <c r="Q677" s="21"/>
      <c r="R677" s="14"/>
      <c r="S677" s="14"/>
      <c r="T677" s="14"/>
      <c r="U677" s="14"/>
      <c r="V677" s="14"/>
      <c r="W677" s="14"/>
      <c r="X677" s="14"/>
      <c r="Y677" s="13"/>
      <c r="Z677" s="14"/>
    </row>
    <row r="678" spans="1:26" ht="14.25" customHeight="1" x14ac:dyDescent="0.25">
      <c r="A678" s="14"/>
      <c r="B678" s="14"/>
      <c r="C678" s="14"/>
      <c r="D678" s="14"/>
      <c r="E678" s="122"/>
      <c r="F678" s="14"/>
      <c r="G678" s="14"/>
      <c r="H678" s="14"/>
      <c r="I678" s="14"/>
      <c r="J678" s="14"/>
      <c r="K678" s="7"/>
      <c r="L678" s="14"/>
      <c r="M678" s="7"/>
      <c r="N678" s="14"/>
      <c r="O678" s="14"/>
      <c r="P678" s="7"/>
      <c r="Q678" s="21"/>
      <c r="R678" s="14"/>
      <c r="S678" s="14"/>
      <c r="T678" s="14"/>
      <c r="U678" s="14"/>
      <c r="V678" s="14"/>
      <c r="W678" s="14"/>
      <c r="X678" s="14"/>
      <c r="Y678" s="13"/>
      <c r="Z678" s="14"/>
    </row>
    <row r="679" spans="1:26" ht="14.25" customHeight="1" x14ac:dyDescent="0.25">
      <c r="A679" s="14"/>
      <c r="B679" s="14"/>
      <c r="C679" s="14"/>
      <c r="D679" s="14"/>
      <c r="E679" s="122"/>
      <c r="F679" s="14"/>
      <c r="G679" s="14"/>
      <c r="H679" s="14"/>
      <c r="I679" s="14"/>
      <c r="J679" s="14"/>
      <c r="K679" s="7"/>
      <c r="L679" s="14"/>
      <c r="M679" s="7"/>
      <c r="N679" s="14"/>
      <c r="O679" s="14"/>
      <c r="P679" s="7"/>
      <c r="Q679" s="21"/>
      <c r="R679" s="14"/>
      <c r="S679" s="14"/>
      <c r="T679" s="14"/>
      <c r="U679" s="14"/>
      <c r="V679" s="14"/>
      <c r="W679" s="14"/>
      <c r="X679" s="14"/>
      <c r="Y679" s="13"/>
      <c r="Z679" s="14"/>
    </row>
    <row r="680" spans="1:26" ht="14.25" customHeight="1" x14ac:dyDescent="0.25">
      <c r="A680" s="14"/>
      <c r="B680" s="14"/>
      <c r="C680" s="14"/>
      <c r="D680" s="14"/>
      <c r="E680" s="122"/>
      <c r="F680" s="14"/>
      <c r="G680" s="14"/>
      <c r="H680" s="14"/>
      <c r="I680" s="14"/>
      <c r="J680" s="14"/>
      <c r="K680" s="7"/>
      <c r="L680" s="14"/>
      <c r="M680" s="7"/>
      <c r="N680" s="14"/>
      <c r="O680" s="14"/>
      <c r="P680" s="7"/>
      <c r="Q680" s="21"/>
      <c r="R680" s="14"/>
      <c r="S680" s="14"/>
      <c r="T680" s="14"/>
      <c r="U680" s="14"/>
      <c r="V680" s="14"/>
      <c r="W680" s="14"/>
      <c r="X680" s="14"/>
      <c r="Y680" s="13"/>
      <c r="Z680" s="14"/>
    </row>
    <row r="681" spans="1:26" ht="14.25" customHeight="1" x14ac:dyDescent="0.25">
      <c r="A681" s="14"/>
      <c r="B681" s="14"/>
      <c r="C681" s="14"/>
      <c r="D681" s="14"/>
      <c r="E681" s="122"/>
      <c r="F681" s="14"/>
      <c r="G681" s="14"/>
      <c r="H681" s="14"/>
      <c r="I681" s="14"/>
      <c r="J681" s="14"/>
      <c r="K681" s="7"/>
      <c r="L681" s="14"/>
      <c r="M681" s="7"/>
      <c r="N681" s="14"/>
      <c r="O681" s="14"/>
      <c r="P681" s="7"/>
      <c r="Q681" s="21"/>
      <c r="R681" s="14"/>
      <c r="S681" s="14"/>
      <c r="T681" s="14"/>
      <c r="U681" s="14"/>
      <c r="V681" s="14"/>
      <c r="W681" s="14"/>
      <c r="X681" s="14"/>
      <c r="Y681" s="13"/>
      <c r="Z681" s="14"/>
    </row>
    <row r="682" spans="1:26" ht="14.25" customHeight="1" x14ac:dyDescent="0.25">
      <c r="A682" s="14"/>
      <c r="B682" s="14"/>
      <c r="C682" s="14"/>
      <c r="D682" s="14"/>
      <c r="E682" s="122"/>
      <c r="F682" s="14"/>
      <c r="G682" s="14"/>
      <c r="H682" s="14"/>
      <c r="I682" s="14"/>
      <c r="J682" s="14"/>
      <c r="K682" s="7"/>
      <c r="L682" s="14"/>
      <c r="M682" s="7"/>
      <c r="N682" s="14"/>
      <c r="O682" s="14"/>
      <c r="P682" s="7"/>
      <c r="Q682" s="21"/>
      <c r="R682" s="14"/>
      <c r="S682" s="14"/>
      <c r="T682" s="14"/>
      <c r="U682" s="14"/>
      <c r="V682" s="14"/>
      <c r="W682" s="14"/>
      <c r="X682" s="14"/>
      <c r="Y682" s="13"/>
      <c r="Z682" s="14"/>
    </row>
    <row r="683" spans="1:26" ht="14.25" customHeight="1" x14ac:dyDescent="0.25">
      <c r="A683" s="14"/>
      <c r="B683" s="14"/>
      <c r="C683" s="14"/>
      <c r="D683" s="14"/>
      <c r="E683" s="122"/>
      <c r="F683" s="14"/>
      <c r="G683" s="14"/>
      <c r="H683" s="14"/>
      <c r="I683" s="14"/>
      <c r="J683" s="14"/>
      <c r="K683" s="7"/>
      <c r="L683" s="14"/>
      <c r="M683" s="7"/>
      <c r="N683" s="14"/>
      <c r="O683" s="14"/>
      <c r="P683" s="7"/>
      <c r="Q683" s="21"/>
      <c r="R683" s="14"/>
      <c r="S683" s="14"/>
      <c r="T683" s="14"/>
      <c r="U683" s="14"/>
      <c r="V683" s="14"/>
      <c r="W683" s="14"/>
      <c r="X683" s="14"/>
      <c r="Y683" s="13"/>
      <c r="Z683" s="14"/>
    </row>
    <row r="684" spans="1:26" ht="14.25" customHeight="1" x14ac:dyDescent="0.25">
      <c r="A684" s="14"/>
      <c r="B684" s="14"/>
      <c r="C684" s="14"/>
      <c r="D684" s="14"/>
      <c r="E684" s="122"/>
      <c r="F684" s="14"/>
      <c r="G684" s="14"/>
      <c r="H684" s="14"/>
      <c r="I684" s="14"/>
      <c r="J684" s="14"/>
      <c r="K684" s="7"/>
      <c r="L684" s="14"/>
      <c r="M684" s="7"/>
      <c r="N684" s="14"/>
      <c r="O684" s="14"/>
      <c r="P684" s="7"/>
      <c r="Q684" s="21"/>
      <c r="R684" s="14"/>
      <c r="S684" s="14"/>
      <c r="T684" s="14"/>
      <c r="U684" s="14"/>
      <c r="V684" s="14"/>
      <c r="W684" s="14"/>
      <c r="X684" s="14"/>
      <c r="Y684" s="13"/>
      <c r="Z684" s="14"/>
    </row>
    <row r="685" spans="1:26" ht="14.25" customHeight="1" x14ac:dyDescent="0.25">
      <c r="A685" s="14"/>
      <c r="B685" s="14"/>
      <c r="C685" s="14"/>
      <c r="D685" s="14"/>
      <c r="E685" s="122"/>
      <c r="F685" s="14"/>
      <c r="G685" s="14"/>
      <c r="H685" s="14"/>
      <c r="I685" s="14"/>
      <c r="J685" s="14"/>
      <c r="K685" s="7"/>
      <c r="L685" s="14"/>
      <c r="M685" s="7"/>
      <c r="N685" s="14"/>
      <c r="O685" s="14"/>
      <c r="P685" s="7"/>
      <c r="Q685" s="21"/>
      <c r="R685" s="14"/>
      <c r="S685" s="14"/>
      <c r="T685" s="14"/>
      <c r="U685" s="14"/>
      <c r="V685" s="14"/>
      <c r="W685" s="14"/>
      <c r="X685" s="14"/>
      <c r="Y685" s="13"/>
      <c r="Z685" s="14"/>
    </row>
    <row r="686" spans="1:26" ht="14.25" customHeight="1" x14ac:dyDescent="0.25">
      <c r="A686" s="14"/>
      <c r="B686" s="14"/>
      <c r="C686" s="14"/>
      <c r="D686" s="14"/>
      <c r="E686" s="122"/>
      <c r="F686" s="14"/>
      <c r="G686" s="14"/>
      <c r="H686" s="14"/>
      <c r="I686" s="14"/>
      <c r="J686" s="14"/>
      <c r="K686" s="7"/>
      <c r="L686" s="14"/>
      <c r="M686" s="7"/>
      <c r="N686" s="14"/>
      <c r="O686" s="14"/>
      <c r="P686" s="7"/>
      <c r="Q686" s="21"/>
      <c r="R686" s="14"/>
      <c r="S686" s="14"/>
      <c r="T686" s="14"/>
      <c r="U686" s="14"/>
      <c r="V686" s="14"/>
      <c r="W686" s="14"/>
      <c r="X686" s="14"/>
      <c r="Y686" s="13"/>
      <c r="Z686" s="14"/>
    </row>
    <row r="687" spans="1:26" ht="14.25" customHeight="1" x14ac:dyDescent="0.25">
      <c r="A687" s="14"/>
      <c r="B687" s="14"/>
      <c r="C687" s="14"/>
      <c r="D687" s="14"/>
      <c r="E687" s="122"/>
      <c r="F687" s="14"/>
      <c r="G687" s="14"/>
      <c r="H687" s="14"/>
      <c r="I687" s="14"/>
      <c r="J687" s="14"/>
      <c r="K687" s="7"/>
      <c r="L687" s="14"/>
      <c r="M687" s="7"/>
      <c r="N687" s="14"/>
      <c r="O687" s="14"/>
      <c r="P687" s="7"/>
      <c r="Q687" s="21"/>
      <c r="R687" s="14"/>
      <c r="S687" s="14"/>
      <c r="T687" s="14"/>
      <c r="U687" s="14"/>
      <c r="V687" s="14"/>
      <c r="W687" s="14"/>
      <c r="X687" s="14"/>
      <c r="Y687" s="13"/>
      <c r="Z687" s="14"/>
    </row>
    <row r="688" spans="1:26" ht="14.25" customHeight="1" x14ac:dyDescent="0.25">
      <c r="A688" s="14"/>
      <c r="B688" s="14"/>
      <c r="C688" s="14"/>
      <c r="D688" s="14"/>
      <c r="E688" s="122"/>
      <c r="F688" s="14"/>
      <c r="G688" s="14"/>
      <c r="H688" s="14"/>
      <c r="I688" s="14"/>
      <c r="J688" s="14"/>
      <c r="K688" s="7"/>
      <c r="L688" s="14"/>
      <c r="M688" s="7"/>
      <c r="N688" s="14"/>
      <c r="O688" s="14"/>
      <c r="P688" s="7"/>
      <c r="Q688" s="21"/>
      <c r="R688" s="14"/>
      <c r="S688" s="14"/>
      <c r="T688" s="14"/>
      <c r="U688" s="14"/>
      <c r="V688" s="14"/>
      <c r="W688" s="14"/>
      <c r="X688" s="14"/>
      <c r="Y688" s="13"/>
      <c r="Z688" s="14"/>
    </row>
    <row r="689" spans="1:26" ht="14.25" customHeight="1" x14ac:dyDescent="0.25">
      <c r="A689" s="14"/>
      <c r="B689" s="14"/>
      <c r="C689" s="14"/>
      <c r="D689" s="14"/>
      <c r="E689" s="122"/>
      <c r="F689" s="14"/>
      <c r="G689" s="14"/>
      <c r="H689" s="14"/>
      <c r="I689" s="14"/>
      <c r="J689" s="14"/>
      <c r="K689" s="7"/>
      <c r="L689" s="14"/>
      <c r="M689" s="7"/>
      <c r="N689" s="14"/>
      <c r="O689" s="14"/>
      <c r="P689" s="7"/>
      <c r="Q689" s="21"/>
      <c r="R689" s="14"/>
      <c r="S689" s="14"/>
      <c r="T689" s="14"/>
      <c r="U689" s="14"/>
      <c r="V689" s="14"/>
      <c r="W689" s="14"/>
      <c r="X689" s="14"/>
      <c r="Y689" s="13"/>
      <c r="Z689" s="14"/>
    </row>
    <row r="690" spans="1:26" ht="14.25" customHeight="1" x14ac:dyDescent="0.25">
      <c r="A690" s="14"/>
      <c r="B690" s="14"/>
      <c r="C690" s="14"/>
      <c r="D690" s="14"/>
      <c r="E690" s="122"/>
      <c r="F690" s="14"/>
      <c r="G690" s="14"/>
      <c r="H690" s="14"/>
      <c r="I690" s="14"/>
      <c r="J690" s="14"/>
      <c r="K690" s="7"/>
      <c r="L690" s="14"/>
      <c r="M690" s="7"/>
      <c r="N690" s="14"/>
      <c r="O690" s="14"/>
      <c r="P690" s="7"/>
      <c r="Q690" s="21"/>
      <c r="R690" s="14"/>
      <c r="S690" s="14"/>
      <c r="T690" s="14"/>
      <c r="U690" s="14"/>
      <c r="V690" s="14"/>
      <c r="W690" s="14"/>
      <c r="X690" s="14"/>
      <c r="Y690" s="13"/>
      <c r="Z690" s="14"/>
    </row>
    <row r="691" spans="1:26" ht="14.25" customHeight="1" x14ac:dyDescent="0.25">
      <c r="A691" s="14"/>
      <c r="B691" s="14"/>
      <c r="C691" s="14"/>
      <c r="D691" s="14"/>
      <c r="E691" s="122"/>
      <c r="F691" s="14"/>
      <c r="G691" s="14"/>
      <c r="H691" s="14"/>
      <c r="I691" s="14"/>
      <c r="J691" s="14"/>
      <c r="K691" s="7"/>
      <c r="L691" s="14"/>
      <c r="M691" s="7"/>
      <c r="N691" s="14"/>
      <c r="O691" s="14"/>
      <c r="P691" s="7"/>
      <c r="Q691" s="21"/>
      <c r="R691" s="14"/>
      <c r="S691" s="14"/>
      <c r="T691" s="14"/>
      <c r="U691" s="14"/>
      <c r="V691" s="14"/>
      <c r="W691" s="14"/>
      <c r="X691" s="14"/>
      <c r="Y691" s="13"/>
      <c r="Z691" s="14"/>
    </row>
    <row r="692" spans="1:26" ht="14.25" customHeight="1" x14ac:dyDescent="0.25">
      <c r="A692" s="14"/>
      <c r="B692" s="14"/>
      <c r="C692" s="14"/>
      <c r="D692" s="14"/>
      <c r="E692" s="122"/>
      <c r="F692" s="14"/>
      <c r="G692" s="14"/>
      <c r="H692" s="14"/>
      <c r="I692" s="14"/>
      <c r="J692" s="14"/>
      <c r="K692" s="7"/>
      <c r="L692" s="14"/>
      <c r="M692" s="7"/>
      <c r="N692" s="14"/>
      <c r="O692" s="14"/>
      <c r="P692" s="7"/>
      <c r="Q692" s="21"/>
      <c r="R692" s="14"/>
      <c r="S692" s="14"/>
      <c r="T692" s="14"/>
      <c r="U692" s="14"/>
      <c r="V692" s="14"/>
      <c r="W692" s="14"/>
      <c r="X692" s="14"/>
      <c r="Y692" s="13"/>
      <c r="Z692" s="14"/>
    </row>
    <row r="693" spans="1:26" ht="14.25" customHeight="1" x14ac:dyDescent="0.25">
      <c r="A693" s="14"/>
      <c r="B693" s="14"/>
      <c r="C693" s="14"/>
      <c r="D693" s="14"/>
      <c r="E693" s="122"/>
      <c r="F693" s="14"/>
      <c r="G693" s="14"/>
      <c r="H693" s="14"/>
      <c r="I693" s="14"/>
      <c r="J693" s="14"/>
      <c r="K693" s="7"/>
      <c r="L693" s="14"/>
      <c r="M693" s="7"/>
      <c r="N693" s="14"/>
      <c r="O693" s="14"/>
      <c r="P693" s="7"/>
      <c r="Q693" s="21"/>
      <c r="R693" s="14"/>
      <c r="S693" s="14"/>
      <c r="T693" s="14"/>
      <c r="U693" s="14"/>
      <c r="V693" s="14"/>
      <c r="W693" s="14"/>
      <c r="X693" s="14"/>
      <c r="Y693" s="13"/>
      <c r="Z693" s="14"/>
    </row>
    <row r="694" spans="1:26" ht="14.25" customHeight="1" x14ac:dyDescent="0.25">
      <c r="A694" s="14"/>
      <c r="B694" s="14"/>
      <c r="C694" s="14"/>
      <c r="D694" s="14"/>
      <c r="E694" s="122"/>
      <c r="F694" s="14"/>
      <c r="G694" s="14"/>
      <c r="H694" s="14"/>
      <c r="I694" s="14"/>
      <c r="J694" s="14"/>
      <c r="K694" s="7"/>
      <c r="L694" s="14"/>
      <c r="M694" s="7"/>
      <c r="N694" s="14"/>
      <c r="O694" s="14"/>
      <c r="P694" s="7"/>
      <c r="Q694" s="21"/>
      <c r="R694" s="14"/>
      <c r="S694" s="14"/>
      <c r="T694" s="14"/>
      <c r="U694" s="14"/>
      <c r="V694" s="14"/>
      <c r="W694" s="14"/>
      <c r="X694" s="14"/>
      <c r="Y694" s="13"/>
      <c r="Z694" s="14"/>
    </row>
    <row r="695" spans="1:26" ht="14.25" customHeight="1" x14ac:dyDescent="0.25">
      <c r="A695" s="14"/>
      <c r="B695" s="14"/>
      <c r="C695" s="14"/>
      <c r="D695" s="14"/>
      <c r="E695" s="122"/>
      <c r="F695" s="14"/>
      <c r="G695" s="14"/>
      <c r="H695" s="14"/>
      <c r="I695" s="14"/>
      <c r="J695" s="14"/>
      <c r="K695" s="7"/>
      <c r="L695" s="14"/>
      <c r="M695" s="7"/>
      <c r="N695" s="14"/>
      <c r="O695" s="14"/>
      <c r="P695" s="7"/>
      <c r="Q695" s="21"/>
      <c r="R695" s="14"/>
      <c r="S695" s="14"/>
      <c r="T695" s="14"/>
      <c r="U695" s="14"/>
      <c r="V695" s="14"/>
      <c r="W695" s="14"/>
      <c r="X695" s="14"/>
      <c r="Y695" s="13"/>
      <c r="Z695" s="14"/>
    </row>
    <row r="696" spans="1:26" ht="14.25" customHeight="1" x14ac:dyDescent="0.25">
      <c r="A696" s="14"/>
      <c r="B696" s="14"/>
      <c r="C696" s="14"/>
      <c r="D696" s="14"/>
      <c r="E696" s="122"/>
      <c r="F696" s="14"/>
      <c r="G696" s="14"/>
      <c r="H696" s="14"/>
      <c r="I696" s="14"/>
      <c r="J696" s="14"/>
      <c r="K696" s="7"/>
      <c r="L696" s="14"/>
      <c r="M696" s="7"/>
      <c r="N696" s="14"/>
      <c r="O696" s="14"/>
      <c r="P696" s="7"/>
      <c r="Q696" s="21"/>
      <c r="R696" s="14"/>
      <c r="S696" s="14"/>
      <c r="T696" s="14"/>
      <c r="U696" s="14"/>
      <c r="V696" s="14"/>
      <c r="W696" s="14"/>
      <c r="X696" s="14"/>
      <c r="Y696" s="13"/>
      <c r="Z696" s="14"/>
    </row>
    <row r="697" spans="1:26" ht="14.25" customHeight="1" x14ac:dyDescent="0.25">
      <c r="A697" s="14"/>
      <c r="B697" s="14"/>
      <c r="C697" s="14"/>
      <c r="D697" s="14"/>
      <c r="E697" s="122"/>
      <c r="F697" s="14"/>
      <c r="G697" s="14"/>
      <c r="H697" s="14"/>
      <c r="I697" s="14"/>
      <c r="J697" s="14"/>
      <c r="K697" s="7"/>
      <c r="L697" s="14"/>
      <c r="M697" s="7"/>
      <c r="N697" s="14"/>
      <c r="O697" s="14"/>
      <c r="P697" s="7"/>
      <c r="Q697" s="21"/>
      <c r="R697" s="14"/>
      <c r="S697" s="14"/>
      <c r="T697" s="14"/>
      <c r="U697" s="14"/>
      <c r="V697" s="14"/>
      <c r="W697" s="14"/>
      <c r="X697" s="14"/>
      <c r="Y697" s="13"/>
      <c r="Z697" s="14"/>
    </row>
    <row r="698" spans="1:26" ht="14.25" customHeight="1" x14ac:dyDescent="0.25">
      <c r="A698" s="14"/>
      <c r="B698" s="14"/>
      <c r="C698" s="14"/>
      <c r="D698" s="14"/>
      <c r="E698" s="122"/>
      <c r="F698" s="14"/>
      <c r="G698" s="14"/>
      <c r="H698" s="14"/>
      <c r="I698" s="14"/>
      <c r="J698" s="14"/>
      <c r="K698" s="7"/>
      <c r="L698" s="14"/>
      <c r="M698" s="7"/>
      <c r="N698" s="14"/>
      <c r="O698" s="14"/>
      <c r="P698" s="7"/>
      <c r="Q698" s="21"/>
      <c r="R698" s="14"/>
      <c r="S698" s="14"/>
      <c r="T698" s="14"/>
      <c r="U698" s="14"/>
      <c r="V698" s="14"/>
      <c r="W698" s="14"/>
      <c r="X698" s="14"/>
      <c r="Y698" s="13"/>
      <c r="Z698" s="14"/>
    </row>
    <row r="699" spans="1:26" ht="14.25" customHeight="1" x14ac:dyDescent="0.25">
      <c r="A699" s="14"/>
      <c r="B699" s="14"/>
      <c r="C699" s="14"/>
      <c r="D699" s="14"/>
      <c r="E699" s="122"/>
      <c r="F699" s="14"/>
      <c r="G699" s="14"/>
      <c r="H699" s="14"/>
      <c r="I699" s="14"/>
      <c r="J699" s="14"/>
      <c r="K699" s="7"/>
      <c r="L699" s="14"/>
      <c r="M699" s="7"/>
      <c r="N699" s="14"/>
      <c r="O699" s="14"/>
      <c r="P699" s="7"/>
      <c r="Q699" s="21"/>
      <c r="R699" s="14"/>
      <c r="S699" s="14"/>
      <c r="T699" s="14"/>
      <c r="U699" s="14"/>
      <c r="V699" s="14"/>
      <c r="W699" s="14"/>
      <c r="X699" s="14"/>
      <c r="Y699" s="13"/>
      <c r="Z699" s="14"/>
    </row>
    <row r="700" spans="1:26" ht="14.25" customHeight="1" x14ac:dyDescent="0.25">
      <c r="A700" s="14"/>
      <c r="B700" s="14"/>
      <c r="C700" s="14"/>
      <c r="D700" s="14"/>
      <c r="E700" s="122"/>
      <c r="F700" s="14"/>
      <c r="G700" s="14"/>
      <c r="H700" s="14"/>
      <c r="I700" s="14"/>
      <c r="J700" s="14"/>
      <c r="K700" s="7"/>
      <c r="L700" s="14"/>
      <c r="M700" s="7"/>
      <c r="N700" s="14"/>
      <c r="O700" s="14"/>
      <c r="P700" s="7"/>
      <c r="Q700" s="21"/>
      <c r="R700" s="14"/>
      <c r="S700" s="14"/>
      <c r="T700" s="14"/>
      <c r="U700" s="14"/>
      <c r="V700" s="14"/>
      <c r="W700" s="14"/>
      <c r="X700" s="14"/>
      <c r="Y700" s="13"/>
      <c r="Z700" s="14"/>
    </row>
    <row r="701" spans="1:26" ht="14.25" customHeight="1" x14ac:dyDescent="0.25">
      <c r="A701" s="14"/>
      <c r="B701" s="14"/>
      <c r="C701" s="14"/>
      <c r="D701" s="14"/>
      <c r="E701" s="122"/>
      <c r="F701" s="14"/>
      <c r="G701" s="14"/>
      <c r="H701" s="14"/>
      <c r="I701" s="14"/>
      <c r="J701" s="14"/>
      <c r="K701" s="7"/>
      <c r="L701" s="14"/>
      <c r="M701" s="7"/>
      <c r="N701" s="14"/>
      <c r="O701" s="14"/>
      <c r="P701" s="7"/>
      <c r="Q701" s="21"/>
      <c r="R701" s="14"/>
      <c r="S701" s="14"/>
      <c r="T701" s="14"/>
      <c r="U701" s="14"/>
      <c r="V701" s="14"/>
      <c r="W701" s="14"/>
      <c r="X701" s="14"/>
      <c r="Y701" s="13"/>
      <c r="Z701" s="14"/>
    </row>
    <row r="702" spans="1:26" ht="14.25" customHeight="1" x14ac:dyDescent="0.25">
      <c r="A702" s="14"/>
      <c r="B702" s="14"/>
      <c r="C702" s="14"/>
      <c r="D702" s="14"/>
      <c r="E702" s="122"/>
      <c r="F702" s="14"/>
      <c r="G702" s="14"/>
      <c r="H702" s="14"/>
      <c r="I702" s="14"/>
      <c r="J702" s="14"/>
      <c r="K702" s="7"/>
      <c r="L702" s="14"/>
      <c r="M702" s="7"/>
      <c r="N702" s="14"/>
      <c r="O702" s="14"/>
      <c r="P702" s="7"/>
      <c r="Q702" s="21"/>
      <c r="R702" s="14"/>
      <c r="S702" s="14"/>
      <c r="T702" s="14"/>
      <c r="U702" s="14"/>
      <c r="V702" s="14"/>
      <c r="W702" s="14"/>
      <c r="X702" s="14"/>
      <c r="Y702" s="13"/>
      <c r="Z702" s="14"/>
    </row>
    <row r="703" spans="1:26" ht="14.25" customHeight="1" x14ac:dyDescent="0.25">
      <c r="A703" s="14"/>
      <c r="B703" s="14"/>
      <c r="C703" s="14"/>
      <c r="D703" s="14"/>
      <c r="E703" s="122"/>
      <c r="F703" s="14"/>
      <c r="G703" s="14"/>
      <c r="H703" s="14"/>
      <c r="I703" s="14"/>
      <c r="J703" s="14"/>
      <c r="K703" s="7"/>
      <c r="L703" s="14"/>
      <c r="M703" s="7"/>
      <c r="N703" s="14"/>
      <c r="O703" s="14"/>
      <c r="P703" s="7"/>
      <c r="Q703" s="21"/>
      <c r="R703" s="14"/>
      <c r="S703" s="14"/>
      <c r="T703" s="14"/>
      <c r="U703" s="14"/>
      <c r="V703" s="14"/>
      <c r="W703" s="14"/>
      <c r="X703" s="14"/>
      <c r="Y703" s="13"/>
      <c r="Z703" s="14"/>
    </row>
    <row r="704" spans="1:26" ht="14.25" customHeight="1" x14ac:dyDescent="0.25">
      <c r="A704" s="14"/>
      <c r="B704" s="14"/>
      <c r="C704" s="14"/>
      <c r="D704" s="14"/>
      <c r="E704" s="122"/>
      <c r="F704" s="14"/>
      <c r="G704" s="14"/>
      <c r="H704" s="14"/>
      <c r="I704" s="14"/>
      <c r="J704" s="14"/>
      <c r="K704" s="7"/>
      <c r="L704" s="14"/>
      <c r="M704" s="7"/>
      <c r="N704" s="14"/>
      <c r="O704" s="14"/>
      <c r="P704" s="7"/>
      <c r="Q704" s="21"/>
      <c r="R704" s="14"/>
      <c r="S704" s="14"/>
      <c r="T704" s="14"/>
      <c r="U704" s="14"/>
      <c r="V704" s="14"/>
      <c r="W704" s="14"/>
      <c r="X704" s="14"/>
      <c r="Y704" s="13"/>
      <c r="Z704" s="14"/>
    </row>
    <row r="705" spans="1:26" ht="14.25" customHeight="1" x14ac:dyDescent="0.25">
      <c r="A705" s="14"/>
      <c r="B705" s="14"/>
      <c r="C705" s="14"/>
      <c r="D705" s="14"/>
      <c r="E705" s="122"/>
      <c r="F705" s="14"/>
      <c r="G705" s="14"/>
      <c r="H705" s="14"/>
      <c r="I705" s="14"/>
      <c r="J705" s="14"/>
      <c r="K705" s="7"/>
      <c r="L705" s="14"/>
      <c r="M705" s="7"/>
      <c r="N705" s="14"/>
      <c r="O705" s="14"/>
      <c r="P705" s="7"/>
      <c r="Q705" s="21"/>
      <c r="R705" s="14"/>
      <c r="S705" s="14"/>
      <c r="T705" s="14"/>
      <c r="U705" s="14"/>
      <c r="V705" s="14"/>
      <c r="W705" s="14"/>
      <c r="X705" s="14"/>
      <c r="Y705" s="13"/>
      <c r="Z705" s="14"/>
    </row>
    <row r="706" spans="1:26" ht="14.25" customHeight="1" x14ac:dyDescent="0.25">
      <c r="A706" s="14"/>
      <c r="B706" s="14"/>
      <c r="C706" s="14"/>
      <c r="D706" s="14"/>
      <c r="E706" s="122"/>
      <c r="F706" s="14"/>
      <c r="G706" s="14"/>
      <c r="H706" s="14"/>
      <c r="I706" s="14"/>
      <c r="J706" s="14"/>
      <c r="K706" s="7"/>
      <c r="L706" s="14"/>
      <c r="M706" s="7"/>
      <c r="N706" s="14"/>
      <c r="O706" s="14"/>
      <c r="P706" s="7"/>
      <c r="Q706" s="21"/>
      <c r="R706" s="14"/>
      <c r="S706" s="14"/>
      <c r="T706" s="14"/>
      <c r="U706" s="14"/>
      <c r="V706" s="14"/>
      <c r="W706" s="14"/>
      <c r="X706" s="14"/>
      <c r="Y706" s="13"/>
      <c r="Z706" s="14"/>
    </row>
    <row r="707" spans="1:26" ht="14.25" customHeight="1" x14ac:dyDescent="0.25">
      <c r="A707" s="14"/>
      <c r="B707" s="14"/>
      <c r="C707" s="14"/>
      <c r="D707" s="14"/>
      <c r="E707" s="122"/>
      <c r="F707" s="14"/>
      <c r="G707" s="14"/>
      <c r="H707" s="14"/>
      <c r="I707" s="14"/>
      <c r="J707" s="14"/>
      <c r="K707" s="7"/>
      <c r="L707" s="14"/>
      <c r="M707" s="7"/>
      <c r="N707" s="14"/>
      <c r="O707" s="14"/>
      <c r="P707" s="7"/>
      <c r="Q707" s="21"/>
      <c r="R707" s="14"/>
      <c r="S707" s="14"/>
      <c r="T707" s="14"/>
      <c r="U707" s="14"/>
      <c r="V707" s="14"/>
      <c r="W707" s="14"/>
      <c r="X707" s="14"/>
      <c r="Y707" s="13"/>
      <c r="Z707" s="14"/>
    </row>
    <row r="708" spans="1:26" ht="14.25" customHeight="1" x14ac:dyDescent="0.25">
      <c r="A708" s="14"/>
      <c r="B708" s="14"/>
      <c r="C708" s="14"/>
      <c r="D708" s="14"/>
      <c r="E708" s="122"/>
      <c r="F708" s="14"/>
      <c r="G708" s="14"/>
      <c r="H708" s="14"/>
      <c r="I708" s="14"/>
      <c r="J708" s="14"/>
      <c r="K708" s="7"/>
      <c r="L708" s="14"/>
      <c r="M708" s="7"/>
      <c r="N708" s="14"/>
      <c r="O708" s="14"/>
      <c r="P708" s="7"/>
      <c r="Q708" s="21"/>
      <c r="R708" s="14"/>
      <c r="S708" s="14"/>
      <c r="T708" s="14"/>
      <c r="U708" s="14"/>
      <c r="V708" s="14"/>
      <c r="W708" s="14"/>
      <c r="X708" s="14"/>
      <c r="Y708" s="13"/>
      <c r="Z708" s="14"/>
    </row>
    <row r="709" spans="1:26" ht="14.25" customHeight="1" x14ac:dyDescent="0.25">
      <c r="A709" s="14"/>
      <c r="B709" s="14"/>
      <c r="C709" s="14"/>
      <c r="D709" s="14"/>
      <c r="E709" s="122"/>
      <c r="F709" s="14"/>
      <c r="G709" s="14"/>
      <c r="H709" s="14"/>
      <c r="I709" s="14"/>
      <c r="J709" s="14"/>
      <c r="K709" s="7"/>
      <c r="L709" s="14"/>
      <c r="M709" s="7"/>
      <c r="N709" s="14"/>
      <c r="O709" s="14"/>
      <c r="P709" s="7"/>
      <c r="Q709" s="21"/>
      <c r="R709" s="14"/>
      <c r="S709" s="14"/>
      <c r="T709" s="14"/>
      <c r="U709" s="14"/>
      <c r="V709" s="14"/>
      <c r="W709" s="14"/>
      <c r="X709" s="14"/>
      <c r="Y709" s="13"/>
      <c r="Z709" s="14"/>
    </row>
    <row r="710" spans="1:26" ht="14.25" customHeight="1" x14ac:dyDescent="0.25">
      <c r="A710" s="14"/>
      <c r="B710" s="14"/>
      <c r="C710" s="14"/>
      <c r="D710" s="14"/>
      <c r="E710" s="122"/>
      <c r="F710" s="14"/>
      <c r="G710" s="14"/>
      <c r="H710" s="14"/>
      <c r="I710" s="14"/>
      <c r="J710" s="14"/>
      <c r="K710" s="7"/>
      <c r="L710" s="14"/>
      <c r="M710" s="7"/>
      <c r="N710" s="14"/>
      <c r="O710" s="14"/>
      <c r="P710" s="7"/>
      <c r="Q710" s="21"/>
      <c r="R710" s="14"/>
      <c r="S710" s="14"/>
      <c r="T710" s="14"/>
      <c r="U710" s="14"/>
      <c r="V710" s="14"/>
      <c r="W710" s="14"/>
      <c r="X710" s="14"/>
      <c r="Y710" s="13"/>
      <c r="Z710" s="14"/>
    </row>
    <row r="711" spans="1:26" ht="14.25" customHeight="1" x14ac:dyDescent="0.25">
      <c r="A711" s="14"/>
      <c r="B711" s="14"/>
      <c r="C711" s="14"/>
      <c r="D711" s="14"/>
      <c r="E711" s="122"/>
      <c r="F711" s="14"/>
      <c r="G711" s="14"/>
      <c r="H711" s="14"/>
      <c r="I711" s="14"/>
      <c r="J711" s="14"/>
      <c r="K711" s="7"/>
      <c r="L711" s="14"/>
      <c r="M711" s="7"/>
      <c r="N711" s="14"/>
      <c r="O711" s="14"/>
      <c r="P711" s="7"/>
      <c r="Q711" s="21"/>
      <c r="R711" s="14"/>
      <c r="S711" s="14"/>
      <c r="T711" s="14"/>
      <c r="U711" s="14"/>
      <c r="V711" s="14"/>
      <c r="W711" s="14"/>
      <c r="X711" s="14"/>
      <c r="Y711" s="13"/>
      <c r="Z711" s="14"/>
    </row>
    <row r="712" spans="1:26" ht="14.25" customHeight="1" x14ac:dyDescent="0.25">
      <c r="A712" s="14"/>
      <c r="B712" s="14"/>
      <c r="C712" s="14"/>
      <c r="D712" s="14"/>
      <c r="E712" s="122"/>
      <c r="F712" s="14"/>
      <c r="G712" s="14"/>
      <c r="H712" s="14"/>
      <c r="I712" s="14"/>
      <c r="J712" s="14"/>
      <c r="K712" s="7"/>
      <c r="L712" s="14"/>
      <c r="M712" s="7"/>
      <c r="N712" s="14"/>
      <c r="O712" s="14"/>
      <c r="P712" s="7"/>
      <c r="Q712" s="21"/>
      <c r="R712" s="14"/>
      <c r="S712" s="14"/>
      <c r="T712" s="14"/>
      <c r="U712" s="14"/>
      <c r="V712" s="14"/>
      <c r="W712" s="14"/>
      <c r="X712" s="14"/>
      <c r="Y712" s="13"/>
      <c r="Z712" s="14"/>
    </row>
    <row r="713" spans="1:26" ht="14.25" customHeight="1" x14ac:dyDescent="0.25">
      <c r="A713" s="14"/>
      <c r="B713" s="14"/>
      <c r="C713" s="14"/>
      <c r="D713" s="14"/>
      <c r="E713" s="122"/>
      <c r="F713" s="14"/>
      <c r="G713" s="14"/>
      <c r="H713" s="14"/>
      <c r="I713" s="14"/>
      <c r="J713" s="14"/>
      <c r="K713" s="7"/>
      <c r="L713" s="14"/>
      <c r="M713" s="7"/>
      <c r="N713" s="14"/>
      <c r="O713" s="14"/>
      <c r="P713" s="7"/>
      <c r="Q713" s="21"/>
      <c r="R713" s="14"/>
      <c r="S713" s="14"/>
      <c r="T713" s="14"/>
      <c r="U713" s="14"/>
      <c r="V713" s="14"/>
      <c r="W713" s="14"/>
      <c r="X713" s="14"/>
      <c r="Y713" s="13"/>
      <c r="Z713" s="14"/>
    </row>
    <row r="714" spans="1:26" ht="14.25" customHeight="1" x14ac:dyDescent="0.25">
      <c r="A714" s="14"/>
      <c r="B714" s="14"/>
      <c r="C714" s="14"/>
      <c r="D714" s="14"/>
      <c r="E714" s="122"/>
      <c r="F714" s="14"/>
      <c r="G714" s="14"/>
      <c r="H714" s="14"/>
      <c r="I714" s="14"/>
      <c r="J714" s="14"/>
      <c r="K714" s="7"/>
      <c r="L714" s="14"/>
      <c r="M714" s="7"/>
      <c r="N714" s="14"/>
      <c r="O714" s="14"/>
      <c r="P714" s="7"/>
      <c r="Q714" s="21"/>
      <c r="R714" s="14"/>
      <c r="S714" s="14"/>
      <c r="T714" s="14"/>
      <c r="U714" s="14"/>
      <c r="V714" s="14"/>
      <c r="W714" s="14"/>
      <c r="X714" s="14"/>
      <c r="Y714" s="13"/>
      <c r="Z714" s="14"/>
    </row>
    <row r="715" spans="1:26" ht="14.25" customHeight="1" x14ac:dyDescent="0.25">
      <c r="A715" s="14"/>
      <c r="B715" s="14"/>
      <c r="C715" s="14"/>
      <c r="D715" s="14"/>
      <c r="E715" s="122"/>
      <c r="F715" s="14"/>
      <c r="G715" s="14"/>
      <c r="H715" s="14"/>
      <c r="I715" s="14"/>
      <c r="J715" s="14"/>
      <c r="K715" s="7"/>
      <c r="L715" s="14"/>
      <c r="M715" s="7"/>
      <c r="N715" s="14"/>
      <c r="O715" s="14"/>
      <c r="P715" s="7"/>
      <c r="Q715" s="21"/>
      <c r="R715" s="14"/>
      <c r="S715" s="14"/>
      <c r="T715" s="14"/>
      <c r="U715" s="14"/>
      <c r="V715" s="14"/>
      <c r="W715" s="14"/>
      <c r="X715" s="14"/>
      <c r="Y715" s="13"/>
      <c r="Z715" s="14"/>
    </row>
    <row r="716" spans="1:26" ht="14.25" customHeight="1" x14ac:dyDescent="0.25">
      <c r="A716" s="14"/>
      <c r="B716" s="14"/>
      <c r="C716" s="14"/>
      <c r="D716" s="14"/>
      <c r="E716" s="122"/>
      <c r="F716" s="14"/>
      <c r="G716" s="14"/>
      <c r="H716" s="14"/>
      <c r="I716" s="14"/>
      <c r="J716" s="14"/>
      <c r="K716" s="7"/>
      <c r="L716" s="14"/>
      <c r="M716" s="7"/>
      <c r="N716" s="14"/>
      <c r="O716" s="14"/>
      <c r="P716" s="7"/>
      <c r="Q716" s="21"/>
      <c r="R716" s="14"/>
      <c r="S716" s="14"/>
      <c r="T716" s="14"/>
      <c r="U716" s="14"/>
      <c r="V716" s="14"/>
      <c r="W716" s="14"/>
      <c r="X716" s="14"/>
      <c r="Y716" s="13"/>
      <c r="Z716" s="14"/>
    </row>
    <row r="717" spans="1:26" ht="14.25" customHeight="1" x14ac:dyDescent="0.25">
      <c r="A717" s="14"/>
      <c r="B717" s="14"/>
      <c r="C717" s="14"/>
      <c r="D717" s="14"/>
      <c r="E717" s="122"/>
      <c r="F717" s="14"/>
      <c r="G717" s="14"/>
      <c r="H717" s="14"/>
      <c r="I717" s="14"/>
      <c r="J717" s="14"/>
      <c r="K717" s="7"/>
      <c r="L717" s="14"/>
      <c r="M717" s="7"/>
      <c r="N717" s="14"/>
      <c r="O717" s="14"/>
      <c r="P717" s="7"/>
      <c r="Q717" s="21"/>
      <c r="R717" s="14"/>
      <c r="S717" s="14"/>
      <c r="T717" s="14"/>
      <c r="U717" s="14"/>
      <c r="V717" s="14"/>
      <c r="W717" s="14"/>
      <c r="X717" s="14"/>
      <c r="Y717" s="13"/>
      <c r="Z717" s="14"/>
    </row>
    <row r="718" spans="1:26" ht="14.25" customHeight="1" x14ac:dyDescent="0.25">
      <c r="A718" s="14"/>
      <c r="B718" s="14"/>
      <c r="C718" s="14"/>
      <c r="D718" s="14"/>
      <c r="E718" s="122"/>
      <c r="F718" s="14"/>
      <c r="G718" s="14"/>
      <c r="H718" s="14"/>
      <c r="I718" s="14"/>
      <c r="J718" s="14"/>
      <c r="K718" s="7"/>
      <c r="L718" s="14"/>
      <c r="M718" s="7"/>
      <c r="N718" s="14"/>
      <c r="O718" s="14"/>
      <c r="P718" s="7"/>
      <c r="Q718" s="21"/>
      <c r="R718" s="14"/>
      <c r="S718" s="14"/>
      <c r="T718" s="14"/>
      <c r="U718" s="14"/>
      <c r="V718" s="14"/>
      <c r="W718" s="14"/>
      <c r="X718" s="14"/>
      <c r="Y718" s="13"/>
      <c r="Z718" s="14"/>
    </row>
    <row r="719" spans="1:26" ht="14.25" customHeight="1" x14ac:dyDescent="0.25">
      <c r="A719" s="14"/>
      <c r="B719" s="14"/>
      <c r="C719" s="14"/>
      <c r="D719" s="14"/>
      <c r="E719" s="122"/>
      <c r="F719" s="14"/>
      <c r="G719" s="14"/>
      <c r="H719" s="14"/>
      <c r="I719" s="14"/>
      <c r="J719" s="14"/>
      <c r="K719" s="7"/>
      <c r="L719" s="14"/>
      <c r="M719" s="7"/>
      <c r="N719" s="14"/>
      <c r="O719" s="14"/>
      <c r="P719" s="7"/>
      <c r="Q719" s="21"/>
      <c r="R719" s="14"/>
      <c r="S719" s="14"/>
      <c r="T719" s="14"/>
      <c r="U719" s="14"/>
      <c r="V719" s="14"/>
      <c r="W719" s="14"/>
      <c r="X719" s="14"/>
      <c r="Y719" s="13"/>
      <c r="Z719" s="14"/>
    </row>
    <row r="720" spans="1:26" ht="14.25" customHeight="1" x14ac:dyDescent="0.25">
      <c r="A720" s="14"/>
      <c r="B720" s="14"/>
      <c r="C720" s="14"/>
      <c r="D720" s="14"/>
      <c r="E720" s="122"/>
      <c r="F720" s="14"/>
      <c r="G720" s="14"/>
      <c r="H720" s="14"/>
      <c r="I720" s="14"/>
      <c r="J720" s="14"/>
      <c r="K720" s="7"/>
      <c r="L720" s="14"/>
      <c r="M720" s="7"/>
      <c r="N720" s="14"/>
      <c r="O720" s="14"/>
      <c r="P720" s="7"/>
      <c r="Q720" s="21"/>
      <c r="R720" s="14"/>
      <c r="S720" s="14"/>
      <c r="T720" s="14"/>
      <c r="U720" s="14"/>
      <c r="V720" s="14"/>
      <c r="W720" s="14"/>
      <c r="X720" s="14"/>
      <c r="Y720" s="13"/>
      <c r="Z720" s="14"/>
    </row>
    <row r="721" spans="1:26" ht="14.25" customHeight="1" x14ac:dyDescent="0.25">
      <c r="A721" s="14"/>
      <c r="B721" s="14"/>
      <c r="C721" s="14"/>
      <c r="D721" s="14"/>
      <c r="E721" s="122"/>
      <c r="F721" s="14"/>
      <c r="G721" s="14"/>
      <c r="H721" s="14"/>
      <c r="I721" s="14"/>
      <c r="J721" s="14"/>
      <c r="K721" s="7"/>
      <c r="L721" s="14"/>
      <c r="M721" s="7"/>
      <c r="N721" s="14"/>
      <c r="O721" s="14"/>
      <c r="P721" s="7"/>
      <c r="Q721" s="21"/>
      <c r="R721" s="14"/>
      <c r="S721" s="14"/>
      <c r="T721" s="14"/>
      <c r="U721" s="14"/>
      <c r="V721" s="14"/>
      <c r="W721" s="14"/>
      <c r="X721" s="14"/>
      <c r="Y721" s="13"/>
      <c r="Z721" s="14"/>
    </row>
    <row r="722" spans="1:26" ht="14.25" customHeight="1" x14ac:dyDescent="0.25">
      <c r="A722" s="14"/>
      <c r="B722" s="14"/>
      <c r="C722" s="14"/>
      <c r="D722" s="14"/>
      <c r="E722" s="122"/>
      <c r="F722" s="14"/>
      <c r="G722" s="14"/>
      <c r="H722" s="14"/>
      <c r="I722" s="14"/>
      <c r="J722" s="14"/>
      <c r="K722" s="7"/>
      <c r="L722" s="14"/>
      <c r="M722" s="7"/>
      <c r="N722" s="14"/>
      <c r="O722" s="14"/>
      <c r="P722" s="7"/>
      <c r="Q722" s="21"/>
      <c r="R722" s="14"/>
      <c r="S722" s="14"/>
      <c r="T722" s="14"/>
      <c r="U722" s="14"/>
      <c r="V722" s="14"/>
      <c r="W722" s="14"/>
      <c r="X722" s="14"/>
      <c r="Y722" s="13"/>
      <c r="Z722" s="14"/>
    </row>
    <row r="723" spans="1:26" ht="14.25" customHeight="1" x14ac:dyDescent="0.25">
      <c r="A723" s="14"/>
      <c r="B723" s="14"/>
      <c r="C723" s="14"/>
      <c r="D723" s="14"/>
      <c r="E723" s="122"/>
      <c r="F723" s="14"/>
      <c r="G723" s="14"/>
      <c r="H723" s="14"/>
      <c r="I723" s="14"/>
      <c r="J723" s="14"/>
      <c r="K723" s="7"/>
      <c r="L723" s="14"/>
      <c r="M723" s="7"/>
      <c r="N723" s="14"/>
      <c r="O723" s="14"/>
      <c r="P723" s="7"/>
      <c r="Q723" s="21"/>
      <c r="R723" s="14"/>
      <c r="S723" s="14"/>
      <c r="T723" s="14"/>
      <c r="U723" s="14"/>
      <c r="V723" s="14"/>
      <c r="W723" s="14"/>
      <c r="X723" s="14"/>
      <c r="Y723" s="13"/>
      <c r="Z723" s="14"/>
    </row>
    <row r="724" spans="1:26" ht="14.25" customHeight="1" x14ac:dyDescent="0.25">
      <c r="A724" s="14"/>
      <c r="B724" s="14"/>
      <c r="C724" s="14"/>
      <c r="D724" s="14"/>
      <c r="E724" s="122"/>
      <c r="F724" s="14"/>
      <c r="G724" s="14"/>
      <c r="H724" s="14"/>
      <c r="I724" s="14"/>
      <c r="J724" s="14"/>
      <c r="K724" s="7"/>
      <c r="L724" s="14"/>
      <c r="M724" s="7"/>
      <c r="N724" s="14"/>
      <c r="O724" s="14"/>
      <c r="P724" s="7"/>
      <c r="Q724" s="21"/>
      <c r="R724" s="14"/>
      <c r="S724" s="14"/>
      <c r="T724" s="14"/>
      <c r="U724" s="14"/>
      <c r="V724" s="14"/>
      <c r="W724" s="14"/>
      <c r="X724" s="14"/>
      <c r="Y724" s="13"/>
      <c r="Z724" s="14"/>
    </row>
    <row r="725" spans="1:26" ht="14.25" customHeight="1" x14ac:dyDescent="0.25">
      <c r="A725" s="14"/>
      <c r="B725" s="14"/>
      <c r="C725" s="14"/>
      <c r="D725" s="14"/>
      <c r="E725" s="122"/>
      <c r="F725" s="14"/>
      <c r="G725" s="14"/>
      <c r="H725" s="14"/>
      <c r="I725" s="14"/>
      <c r="J725" s="14"/>
      <c r="K725" s="7"/>
      <c r="L725" s="14"/>
      <c r="M725" s="7"/>
      <c r="N725" s="14"/>
      <c r="O725" s="14"/>
      <c r="P725" s="7"/>
      <c r="Q725" s="21"/>
      <c r="R725" s="14"/>
      <c r="S725" s="14"/>
      <c r="T725" s="14"/>
      <c r="U725" s="14"/>
      <c r="V725" s="14"/>
      <c r="W725" s="14"/>
      <c r="X725" s="14"/>
      <c r="Y725" s="13"/>
      <c r="Z725" s="14"/>
    </row>
    <row r="726" spans="1:26" ht="14.25" customHeight="1" x14ac:dyDescent="0.25">
      <c r="A726" s="14"/>
      <c r="B726" s="14"/>
      <c r="C726" s="14"/>
      <c r="D726" s="14"/>
      <c r="E726" s="122"/>
      <c r="F726" s="14"/>
      <c r="G726" s="14"/>
      <c r="H726" s="14"/>
      <c r="I726" s="14"/>
      <c r="J726" s="14"/>
      <c r="K726" s="7"/>
      <c r="L726" s="14"/>
      <c r="M726" s="7"/>
      <c r="N726" s="14"/>
      <c r="O726" s="14"/>
      <c r="P726" s="7"/>
      <c r="Q726" s="21"/>
      <c r="R726" s="14"/>
      <c r="S726" s="14"/>
      <c r="T726" s="14"/>
      <c r="U726" s="14"/>
      <c r="V726" s="14"/>
      <c r="W726" s="14"/>
      <c r="X726" s="14"/>
      <c r="Y726" s="13"/>
      <c r="Z726" s="14"/>
    </row>
    <row r="727" spans="1:26" ht="14.25" customHeight="1" x14ac:dyDescent="0.25">
      <c r="A727" s="14"/>
      <c r="B727" s="14"/>
      <c r="C727" s="14"/>
      <c r="D727" s="14"/>
      <c r="E727" s="122"/>
      <c r="F727" s="14"/>
      <c r="G727" s="14"/>
      <c r="H727" s="14"/>
      <c r="I727" s="14"/>
      <c r="J727" s="14"/>
      <c r="K727" s="7"/>
      <c r="L727" s="14"/>
      <c r="M727" s="7"/>
      <c r="N727" s="14"/>
      <c r="O727" s="14"/>
      <c r="P727" s="7"/>
      <c r="Q727" s="21"/>
      <c r="R727" s="14"/>
      <c r="S727" s="14"/>
      <c r="T727" s="14"/>
      <c r="U727" s="14"/>
      <c r="V727" s="14"/>
      <c r="W727" s="14"/>
      <c r="X727" s="14"/>
      <c r="Y727" s="13"/>
      <c r="Z727" s="14"/>
    </row>
    <row r="728" spans="1:26" ht="14.25" customHeight="1" x14ac:dyDescent="0.25">
      <c r="A728" s="14"/>
      <c r="B728" s="14"/>
      <c r="C728" s="14"/>
      <c r="D728" s="14"/>
      <c r="E728" s="122"/>
      <c r="F728" s="14"/>
      <c r="G728" s="14"/>
      <c r="H728" s="14"/>
      <c r="I728" s="14"/>
      <c r="J728" s="14"/>
      <c r="K728" s="7"/>
      <c r="L728" s="14"/>
      <c r="M728" s="7"/>
      <c r="N728" s="14"/>
      <c r="O728" s="14"/>
      <c r="P728" s="7"/>
      <c r="Q728" s="21"/>
      <c r="R728" s="14"/>
      <c r="S728" s="14"/>
      <c r="T728" s="14"/>
      <c r="U728" s="14"/>
      <c r="V728" s="14"/>
      <c r="W728" s="14"/>
      <c r="X728" s="14"/>
      <c r="Y728" s="13"/>
      <c r="Z728" s="14"/>
    </row>
    <row r="729" spans="1:26" ht="14.25" customHeight="1" x14ac:dyDescent="0.25">
      <c r="A729" s="14"/>
      <c r="B729" s="14"/>
      <c r="C729" s="14"/>
      <c r="D729" s="14"/>
      <c r="E729" s="122"/>
      <c r="F729" s="14"/>
      <c r="G729" s="14"/>
      <c r="H729" s="14"/>
      <c r="I729" s="14"/>
      <c r="J729" s="14"/>
      <c r="K729" s="7"/>
      <c r="L729" s="14"/>
      <c r="M729" s="7"/>
      <c r="N729" s="14"/>
      <c r="O729" s="14"/>
      <c r="P729" s="7"/>
      <c r="Q729" s="21"/>
      <c r="R729" s="14"/>
      <c r="S729" s="14"/>
      <c r="T729" s="14"/>
      <c r="U729" s="14"/>
      <c r="V729" s="14"/>
      <c r="W729" s="14"/>
      <c r="X729" s="14"/>
      <c r="Y729" s="13"/>
      <c r="Z729" s="14"/>
    </row>
    <row r="730" spans="1:26" ht="14.25" customHeight="1" x14ac:dyDescent="0.25">
      <c r="A730" s="14"/>
      <c r="B730" s="14"/>
      <c r="C730" s="14"/>
      <c r="D730" s="14"/>
      <c r="E730" s="122"/>
      <c r="F730" s="14"/>
      <c r="G730" s="14"/>
      <c r="H730" s="14"/>
      <c r="I730" s="14"/>
      <c r="J730" s="14"/>
      <c r="K730" s="7"/>
      <c r="L730" s="14"/>
      <c r="M730" s="7"/>
      <c r="N730" s="14"/>
      <c r="O730" s="14"/>
      <c r="P730" s="7"/>
      <c r="Q730" s="21"/>
      <c r="R730" s="14"/>
      <c r="S730" s="14"/>
      <c r="T730" s="14"/>
      <c r="U730" s="14"/>
      <c r="V730" s="14"/>
      <c r="W730" s="14"/>
      <c r="X730" s="14"/>
      <c r="Y730" s="13"/>
      <c r="Z730" s="14"/>
    </row>
    <row r="731" spans="1:26" ht="14.25" customHeight="1" x14ac:dyDescent="0.25">
      <c r="A731" s="14"/>
      <c r="B731" s="14"/>
      <c r="C731" s="14"/>
      <c r="D731" s="14"/>
      <c r="E731" s="122"/>
      <c r="F731" s="14"/>
      <c r="G731" s="14"/>
      <c r="H731" s="14"/>
      <c r="I731" s="14"/>
      <c r="J731" s="14"/>
      <c r="K731" s="7"/>
      <c r="L731" s="14"/>
      <c r="M731" s="7"/>
      <c r="N731" s="14"/>
      <c r="O731" s="14"/>
      <c r="P731" s="7"/>
      <c r="Q731" s="21"/>
      <c r="R731" s="14"/>
      <c r="S731" s="14"/>
      <c r="T731" s="14"/>
      <c r="U731" s="14"/>
      <c r="V731" s="14"/>
      <c r="W731" s="14"/>
      <c r="X731" s="14"/>
      <c r="Y731" s="13"/>
      <c r="Z731" s="14"/>
    </row>
    <row r="732" spans="1:26" ht="14.25" customHeight="1" x14ac:dyDescent="0.25">
      <c r="A732" s="14"/>
      <c r="B732" s="14"/>
      <c r="C732" s="14"/>
      <c r="D732" s="14"/>
      <c r="E732" s="122"/>
      <c r="F732" s="14"/>
      <c r="G732" s="14"/>
      <c r="H732" s="14"/>
      <c r="I732" s="14"/>
      <c r="J732" s="14"/>
      <c r="K732" s="7"/>
      <c r="L732" s="14"/>
      <c r="M732" s="7"/>
      <c r="N732" s="14"/>
      <c r="O732" s="14"/>
      <c r="P732" s="7"/>
      <c r="Q732" s="21"/>
      <c r="R732" s="14"/>
      <c r="S732" s="14"/>
      <c r="T732" s="14"/>
      <c r="U732" s="14"/>
      <c r="V732" s="14"/>
      <c r="W732" s="14"/>
      <c r="X732" s="14"/>
      <c r="Y732" s="13"/>
      <c r="Z732" s="14"/>
    </row>
    <row r="733" spans="1:26" ht="14.25" customHeight="1" x14ac:dyDescent="0.25">
      <c r="A733" s="14"/>
      <c r="B733" s="14"/>
      <c r="C733" s="14"/>
      <c r="D733" s="14"/>
      <c r="E733" s="122"/>
      <c r="F733" s="14"/>
      <c r="G733" s="14"/>
      <c r="H733" s="14"/>
      <c r="I733" s="14"/>
      <c r="J733" s="14"/>
      <c r="K733" s="7"/>
      <c r="L733" s="14"/>
      <c r="M733" s="7"/>
      <c r="N733" s="14"/>
      <c r="O733" s="14"/>
      <c r="P733" s="7"/>
      <c r="Q733" s="21"/>
      <c r="R733" s="14"/>
      <c r="S733" s="14"/>
      <c r="T733" s="14"/>
      <c r="U733" s="14"/>
      <c r="V733" s="14"/>
      <c r="W733" s="14"/>
      <c r="X733" s="14"/>
      <c r="Y733" s="13"/>
      <c r="Z733" s="14"/>
    </row>
    <row r="734" spans="1:26" ht="14.25" customHeight="1" x14ac:dyDescent="0.25">
      <c r="A734" s="14"/>
      <c r="B734" s="14"/>
      <c r="C734" s="14"/>
      <c r="D734" s="14"/>
      <c r="E734" s="122"/>
      <c r="F734" s="14"/>
      <c r="G734" s="14"/>
      <c r="H734" s="14"/>
      <c r="I734" s="14"/>
      <c r="J734" s="14"/>
      <c r="K734" s="7"/>
      <c r="L734" s="14"/>
      <c r="M734" s="7"/>
      <c r="N734" s="14"/>
      <c r="O734" s="14"/>
      <c r="P734" s="7"/>
      <c r="Q734" s="21"/>
      <c r="R734" s="14"/>
      <c r="S734" s="14"/>
      <c r="T734" s="14"/>
      <c r="U734" s="14"/>
      <c r="V734" s="14"/>
      <c r="W734" s="14"/>
      <c r="X734" s="14"/>
      <c r="Y734" s="13"/>
      <c r="Z734" s="14"/>
    </row>
    <row r="735" spans="1:26" ht="14.25" customHeight="1" x14ac:dyDescent="0.25">
      <c r="A735" s="14"/>
      <c r="B735" s="14"/>
      <c r="C735" s="14"/>
      <c r="D735" s="14"/>
      <c r="E735" s="122"/>
      <c r="F735" s="14"/>
      <c r="G735" s="14"/>
      <c r="H735" s="14"/>
      <c r="I735" s="14"/>
      <c r="J735" s="14"/>
      <c r="K735" s="7"/>
      <c r="L735" s="14"/>
      <c r="M735" s="7"/>
      <c r="N735" s="14"/>
      <c r="O735" s="14"/>
      <c r="P735" s="7"/>
      <c r="Q735" s="21"/>
      <c r="R735" s="14"/>
      <c r="S735" s="14"/>
      <c r="T735" s="14"/>
      <c r="U735" s="14"/>
      <c r="V735" s="14"/>
      <c r="W735" s="14"/>
      <c r="X735" s="14"/>
      <c r="Y735" s="13"/>
      <c r="Z735" s="14"/>
    </row>
    <row r="736" spans="1:26" ht="14.25" customHeight="1" x14ac:dyDescent="0.25">
      <c r="A736" s="14"/>
      <c r="B736" s="14"/>
      <c r="C736" s="14"/>
      <c r="D736" s="14"/>
      <c r="E736" s="122"/>
      <c r="F736" s="14"/>
      <c r="G736" s="14"/>
      <c r="H736" s="14"/>
      <c r="I736" s="14"/>
      <c r="J736" s="14"/>
      <c r="K736" s="7"/>
      <c r="L736" s="14"/>
      <c r="M736" s="7"/>
      <c r="N736" s="14"/>
      <c r="O736" s="14"/>
      <c r="P736" s="7"/>
      <c r="Q736" s="21"/>
      <c r="R736" s="14"/>
      <c r="S736" s="14"/>
      <c r="T736" s="14"/>
      <c r="U736" s="14"/>
      <c r="V736" s="14"/>
      <c r="W736" s="14"/>
      <c r="X736" s="14"/>
      <c r="Y736" s="13"/>
      <c r="Z736" s="14"/>
    </row>
    <row r="737" spans="1:26" ht="14.25" customHeight="1" x14ac:dyDescent="0.25">
      <c r="A737" s="14"/>
      <c r="B737" s="14"/>
      <c r="C737" s="14"/>
      <c r="D737" s="14"/>
      <c r="E737" s="122"/>
      <c r="F737" s="14"/>
      <c r="G737" s="14"/>
      <c r="H737" s="14"/>
      <c r="I737" s="14"/>
      <c r="J737" s="14"/>
      <c r="K737" s="7"/>
      <c r="L737" s="14"/>
      <c r="M737" s="7"/>
      <c r="N737" s="14"/>
      <c r="O737" s="14"/>
      <c r="P737" s="7"/>
      <c r="Q737" s="21"/>
      <c r="R737" s="14"/>
      <c r="S737" s="14"/>
      <c r="T737" s="14"/>
      <c r="U737" s="14"/>
      <c r="V737" s="14"/>
      <c r="W737" s="14"/>
      <c r="X737" s="14"/>
      <c r="Y737" s="13"/>
      <c r="Z737" s="14"/>
    </row>
    <row r="738" spans="1:26" ht="14.25" customHeight="1" x14ac:dyDescent="0.25">
      <c r="A738" s="14"/>
      <c r="B738" s="14"/>
      <c r="C738" s="14"/>
      <c r="D738" s="14"/>
      <c r="E738" s="122"/>
      <c r="F738" s="14"/>
      <c r="G738" s="14"/>
      <c r="H738" s="14"/>
      <c r="I738" s="14"/>
      <c r="J738" s="14"/>
      <c r="K738" s="7"/>
      <c r="L738" s="14"/>
      <c r="M738" s="7"/>
      <c r="N738" s="14"/>
      <c r="O738" s="14"/>
      <c r="P738" s="7"/>
      <c r="Q738" s="21"/>
      <c r="R738" s="14"/>
      <c r="S738" s="14"/>
      <c r="T738" s="14"/>
      <c r="U738" s="14"/>
      <c r="V738" s="14"/>
      <c r="W738" s="14"/>
      <c r="X738" s="14"/>
      <c r="Y738" s="13"/>
      <c r="Z738" s="14"/>
    </row>
    <row r="739" spans="1:26" ht="14.25" customHeight="1" x14ac:dyDescent="0.25">
      <c r="A739" s="14"/>
      <c r="B739" s="14"/>
      <c r="C739" s="14"/>
      <c r="D739" s="14"/>
      <c r="E739" s="122"/>
      <c r="F739" s="14"/>
      <c r="G739" s="14"/>
      <c r="H739" s="14"/>
      <c r="I739" s="14"/>
      <c r="J739" s="14"/>
      <c r="K739" s="7"/>
      <c r="L739" s="14"/>
      <c r="M739" s="7"/>
      <c r="N739" s="14"/>
      <c r="O739" s="14"/>
      <c r="P739" s="7"/>
      <c r="Q739" s="21"/>
      <c r="R739" s="14"/>
      <c r="S739" s="14"/>
      <c r="T739" s="14"/>
      <c r="U739" s="14"/>
      <c r="V739" s="14"/>
      <c r="W739" s="14"/>
      <c r="X739" s="14"/>
      <c r="Y739" s="13"/>
      <c r="Z739" s="14"/>
    </row>
    <row r="740" spans="1:26" ht="14.25" customHeight="1" x14ac:dyDescent="0.25">
      <c r="A740" s="14"/>
      <c r="B740" s="14"/>
      <c r="C740" s="14"/>
      <c r="D740" s="14"/>
      <c r="E740" s="122"/>
      <c r="F740" s="14"/>
      <c r="G740" s="14"/>
      <c r="H740" s="14"/>
      <c r="I740" s="14"/>
      <c r="J740" s="14"/>
      <c r="K740" s="7"/>
      <c r="L740" s="14"/>
      <c r="M740" s="7"/>
      <c r="N740" s="14"/>
      <c r="O740" s="14"/>
      <c r="P740" s="7"/>
      <c r="Q740" s="21"/>
      <c r="R740" s="14"/>
      <c r="S740" s="14"/>
      <c r="T740" s="14"/>
      <c r="U740" s="14"/>
      <c r="V740" s="14"/>
      <c r="W740" s="14"/>
      <c r="X740" s="14"/>
      <c r="Y740" s="13"/>
      <c r="Z740" s="14"/>
    </row>
    <row r="741" spans="1:26" ht="14.25" customHeight="1" x14ac:dyDescent="0.25">
      <c r="A741" s="14"/>
      <c r="B741" s="14"/>
      <c r="C741" s="14"/>
      <c r="D741" s="14"/>
      <c r="E741" s="122"/>
      <c r="F741" s="14"/>
      <c r="G741" s="14"/>
      <c r="H741" s="14"/>
      <c r="I741" s="14"/>
      <c r="J741" s="14"/>
      <c r="K741" s="7"/>
      <c r="L741" s="14"/>
      <c r="M741" s="7"/>
      <c r="N741" s="14"/>
      <c r="O741" s="14"/>
      <c r="P741" s="7"/>
      <c r="Q741" s="21"/>
      <c r="R741" s="14"/>
      <c r="S741" s="14"/>
      <c r="T741" s="14"/>
      <c r="U741" s="14"/>
      <c r="V741" s="14"/>
      <c r="W741" s="14"/>
      <c r="X741" s="14"/>
      <c r="Y741" s="13"/>
      <c r="Z741" s="14"/>
    </row>
    <row r="742" spans="1:26" ht="14.25" customHeight="1" x14ac:dyDescent="0.25">
      <c r="A742" s="14"/>
      <c r="B742" s="14"/>
      <c r="C742" s="14"/>
      <c r="D742" s="14"/>
      <c r="E742" s="122"/>
      <c r="F742" s="14"/>
      <c r="G742" s="14"/>
      <c r="H742" s="14"/>
      <c r="I742" s="14"/>
      <c r="J742" s="14"/>
      <c r="K742" s="7"/>
      <c r="L742" s="14"/>
      <c r="M742" s="7"/>
      <c r="N742" s="14"/>
      <c r="O742" s="14"/>
      <c r="P742" s="7"/>
      <c r="Q742" s="21"/>
      <c r="R742" s="14"/>
      <c r="S742" s="14"/>
      <c r="T742" s="14"/>
      <c r="U742" s="14"/>
      <c r="V742" s="14"/>
      <c r="W742" s="14"/>
      <c r="X742" s="14"/>
      <c r="Y742" s="13"/>
      <c r="Z742" s="14"/>
    </row>
    <row r="743" spans="1:26" ht="14.25" customHeight="1" x14ac:dyDescent="0.25">
      <c r="A743" s="14"/>
      <c r="B743" s="14"/>
      <c r="C743" s="14"/>
      <c r="D743" s="14"/>
      <c r="E743" s="122"/>
      <c r="F743" s="14"/>
      <c r="G743" s="14"/>
      <c r="H743" s="14"/>
      <c r="I743" s="14"/>
      <c r="J743" s="14"/>
      <c r="K743" s="7"/>
      <c r="L743" s="14"/>
      <c r="M743" s="7"/>
      <c r="N743" s="14"/>
      <c r="O743" s="14"/>
      <c r="P743" s="7"/>
      <c r="Q743" s="21"/>
      <c r="R743" s="14"/>
      <c r="S743" s="14"/>
      <c r="T743" s="14"/>
      <c r="U743" s="14"/>
      <c r="V743" s="14"/>
      <c r="W743" s="14"/>
      <c r="X743" s="14"/>
      <c r="Y743" s="13"/>
      <c r="Z743" s="14"/>
    </row>
    <row r="744" spans="1:26" ht="14.25" customHeight="1" x14ac:dyDescent="0.25">
      <c r="A744" s="14"/>
      <c r="B744" s="14"/>
      <c r="C744" s="14"/>
      <c r="D744" s="14"/>
      <c r="E744" s="122"/>
      <c r="F744" s="14"/>
      <c r="G744" s="14"/>
      <c r="H744" s="14"/>
      <c r="I744" s="14"/>
      <c r="J744" s="14"/>
      <c r="K744" s="7"/>
      <c r="L744" s="14"/>
      <c r="M744" s="7"/>
      <c r="N744" s="14"/>
      <c r="O744" s="14"/>
      <c r="P744" s="7"/>
      <c r="Q744" s="21"/>
      <c r="R744" s="14"/>
      <c r="S744" s="14"/>
      <c r="T744" s="14"/>
      <c r="U744" s="14"/>
      <c r="V744" s="14"/>
      <c r="W744" s="14"/>
      <c r="X744" s="14"/>
      <c r="Y744" s="13"/>
      <c r="Z744" s="14"/>
    </row>
    <row r="745" spans="1:26" ht="14.25" customHeight="1" x14ac:dyDescent="0.25">
      <c r="A745" s="14"/>
      <c r="B745" s="14"/>
      <c r="C745" s="14"/>
      <c r="D745" s="14"/>
      <c r="E745" s="122"/>
      <c r="F745" s="14"/>
      <c r="G745" s="14"/>
      <c r="H745" s="14"/>
      <c r="I745" s="14"/>
      <c r="J745" s="14"/>
      <c r="K745" s="7"/>
      <c r="L745" s="14"/>
      <c r="M745" s="7"/>
      <c r="N745" s="14"/>
      <c r="O745" s="14"/>
      <c r="P745" s="7"/>
      <c r="Q745" s="21"/>
      <c r="R745" s="14"/>
      <c r="S745" s="14"/>
      <c r="T745" s="14"/>
      <c r="U745" s="14"/>
      <c r="V745" s="14"/>
      <c r="W745" s="14"/>
      <c r="X745" s="14"/>
      <c r="Y745" s="13"/>
      <c r="Z745" s="14"/>
    </row>
    <row r="746" spans="1:26" ht="14.25" customHeight="1" x14ac:dyDescent="0.25">
      <c r="A746" s="14"/>
      <c r="B746" s="14"/>
      <c r="C746" s="14"/>
      <c r="D746" s="14"/>
      <c r="E746" s="122"/>
      <c r="F746" s="14"/>
      <c r="G746" s="14"/>
      <c r="H746" s="14"/>
      <c r="I746" s="14"/>
      <c r="J746" s="14"/>
      <c r="K746" s="7"/>
      <c r="L746" s="14"/>
      <c r="M746" s="7"/>
      <c r="N746" s="14"/>
      <c r="O746" s="14"/>
      <c r="P746" s="7"/>
      <c r="Q746" s="21"/>
      <c r="R746" s="14"/>
      <c r="S746" s="14"/>
      <c r="T746" s="14"/>
      <c r="U746" s="14"/>
      <c r="V746" s="14"/>
      <c r="W746" s="14"/>
      <c r="X746" s="14"/>
      <c r="Y746" s="13"/>
      <c r="Z746" s="14"/>
    </row>
    <row r="747" spans="1:26" ht="14.25" customHeight="1" x14ac:dyDescent="0.25">
      <c r="A747" s="14"/>
      <c r="B747" s="14"/>
      <c r="C747" s="14"/>
      <c r="D747" s="14"/>
      <c r="E747" s="122"/>
      <c r="F747" s="14"/>
      <c r="G747" s="14"/>
      <c r="H747" s="14"/>
      <c r="I747" s="14"/>
      <c r="J747" s="14"/>
      <c r="K747" s="7"/>
      <c r="L747" s="14"/>
      <c r="M747" s="7"/>
      <c r="N747" s="14"/>
      <c r="O747" s="14"/>
      <c r="P747" s="7"/>
      <c r="Q747" s="21"/>
      <c r="R747" s="14"/>
      <c r="S747" s="14"/>
      <c r="T747" s="14"/>
      <c r="U747" s="14"/>
      <c r="V747" s="14"/>
      <c r="W747" s="14"/>
      <c r="X747" s="14"/>
      <c r="Y747" s="13"/>
      <c r="Z747" s="14"/>
    </row>
    <row r="748" spans="1:26" ht="14.25" customHeight="1" x14ac:dyDescent="0.25">
      <c r="A748" s="14"/>
      <c r="B748" s="14"/>
      <c r="C748" s="14"/>
      <c r="D748" s="14"/>
      <c r="E748" s="122"/>
      <c r="F748" s="14"/>
      <c r="G748" s="14"/>
      <c r="H748" s="14"/>
      <c r="I748" s="14"/>
      <c r="J748" s="14"/>
      <c r="K748" s="7"/>
      <c r="L748" s="14"/>
      <c r="M748" s="7"/>
      <c r="N748" s="14"/>
      <c r="O748" s="14"/>
      <c r="P748" s="7"/>
      <c r="Q748" s="21"/>
      <c r="R748" s="14"/>
      <c r="S748" s="14"/>
      <c r="T748" s="14"/>
      <c r="U748" s="14"/>
      <c r="V748" s="14"/>
      <c r="W748" s="14"/>
      <c r="X748" s="14"/>
      <c r="Y748" s="13"/>
      <c r="Z748" s="14"/>
    </row>
    <row r="749" spans="1:26" ht="14.25" customHeight="1" x14ac:dyDescent="0.25">
      <c r="A749" s="14"/>
      <c r="B749" s="14"/>
      <c r="C749" s="14"/>
      <c r="D749" s="14"/>
      <c r="E749" s="122"/>
      <c r="F749" s="14"/>
      <c r="G749" s="14"/>
      <c r="H749" s="14"/>
      <c r="I749" s="14"/>
      <c r="J749" s="14"/>
      <c r="K749" s="7"/>
      <c r="L749" s="14"/>
      <c r="M749" s="7"/>
      <c r="N749" s="14"/>
      <c r="O749" s="14"/>
      <c r="P749" s="7"/>
      <c r="Q749" s="21"/>
      <c r="R749" s="14"/>
      <c r="S749" s="14"/>
      <c r="T749" s="14"/>
      <c r="U749" s="14"/>
      <c r="V749" s="14"/>
      <c r="W749" s="14"/>
      <c r="X749" s="14"/>
      <c r="Y749" s="13"/>
      <c r="Z749" s="14"/>
    </row>
    <row r="750" spans="1:26" ht="14.25" customHeight="1" x14ac:dyDescent="0.25">
      <c r="A750" s="14"/>
      <c r="B750" s="14"/>
      <c r="C750" s="14"/>
      <c r="D750" s="14"/>
      <c r="E750" s="122"/>
      <c r="F750" s="14"/>
      <c r="G750" s="14"/>
      <c r="H750" s="14"/>
      <c r="I750" s="14"/>
      <c r="J750" s="14"/>
      <c r="K750" s="7"/>
      <c r="L750" s="14"/>
      <c r="M750" s="7"/>
      <c r="N750" s="14"/>
      <c r="O750" s="14"/>
      <c r="P750" s="7"/>
      <c r="Q750" s="21"/>
      <c r="R750" s="14"/>
      <c r="S750" s="14"/>
      <c r="T750" s="14"/>
      <c r="U750" s="14"/>
      <c r="V750" s="14"/>
      <c r="W750" s="14"/>
      <c r="X750" s="14"/>
      <c r="Y750" s="13"/>
      <c r="Z750" s="14"/>
    </row>
    <row r="751" spans="1:26" ht="14.25" customHeight="1" x14ac:dyDescent="0.25">
      <c r="A751" s="14"/>
      <c r="B751" s="14"/>
      <c r="C751" s="14"/>
      <c r="D751" s="14"/>
      <c r="E751" s="122"/>
      <c r="F751" s="14"/>
      <c r="G751" s="14"/>
      <c r="H751" s="14"/>
      <c r="I751" s="14"/>
      <c r="J751" s="14"/>
      <c r="K751" s="7"/>
      <c r="L751" s="14"/>
      <c r="M751" s="7"/>
      <c r="N751" s="14"/>
      <c r="O751" s="14"/>
      <c r="P751" s="7"/>
      <c r="Q751" s="21"/>
      <c r="R751" s="14"/>
      <c r="S751" s="14"/>
      <c r="T751" s="14"/>
      <c r="U751" s="14"/>
      <c r="V751" s="14"/>
      <c r="W751" s="14"/>
      <c r="X751" s="14"/>
      <c r="Y751" s="13"/>
      <c r="Z751" s="14"/>
    </row>
    <row r="752" spans="1:26" ht="14.25" customHeight="1" x14ac:dyDescent="0.25">
      <c r="A752" s="14"/>
      <c r="B752" s="14"/>
      <c r="C752" s="14"/>
      <c r="D752" s="14"/>
      <c r="E752" s="122"/>
      <c r="F752" s="14"/>
      <c r="G752" s="14"/>
      <c r="H752" s="14"/>
      <c r="I752" s="14"/>
      <c r="J752" s="14"/>
      <c r="K752" s="7"/>
      <c r="L752" s="14"/>
      <c r="M752" s="7"/>
      <c r="N752" s="14"/>
      <c r="O752" s="14"/>
      <c r="P752" s="7"/>
      <c r="Q752" s="21"/>
      <c r="R752" s="14"/>
      <c r="S752" s="14"/>
      <c r="T752" s="14"/>
      <c r="U752" s="14"/>
      <c r="V752" s="14"/>
      <c r="W752" s="14"/>
      <c r="X752" s="14"/>
      <c r="Y752" s="13"/>
      <c r="Z752" s="14"/>
    </row>
    <row r="753" spans="1:26" ht="14.25" customHeight="1" x14ac:dyDescent="0.25">
      <c r="A753" s="14"/>
      <c r="B753" s="14"/>
      <c r="C753" s="14"/>
      <c r="D753" s="14"/>
      <c r="E753" s="122"/>
      <c r="F753" s="14"/>
      <c r="G753" s="14"/>
      <c r="H753" s="14"/>
      <c r="I753" s="14"/>
      <c r="J753" s="14"/>
      <c r="K753" s="7"/>
      <c r="L753" s="14"/>
      <c r="M753" s="7"/>
      <c r="N753" s="14"/>
      <c r="O753" s="14"/>
      <c r="P753" s="7"/>
      <c r="Q753" s="21"/>
      <c r="R753" s="14"/>
      <c r="S753" s="14"/>
      <c r="T753" s="14"/>
      <c r="U753" s="14"/>
      <c r="V753" s="14"/>
      <c r="W753" s="14"/>
      <c r="X753" s="14"/>
      <c r="Y753" s="13"/>
      <c r="Z753" s="14"/>
    </row>
    <row r="754" spans="1:26" ht="14.25" customHeight="1" x14ac:dyDescent="0.25">
      <c r="A754" s="14"/>
      <c r="B754" s="14"/>
      <c r="C754" s="14"/>
      <c r="D754" s="14"/>
      <c r="E754" s="122"/>
      <c r="F754" s="14"/>
      <c r="G754" s="14"/>
      <c r="H754" s="14"/>
      <c r="I754" s="14"/>
      <c r="J754" s="14"/>
      <c r="K754" s="7"/>
      <c r="L754" s="14"/>
      <c r="M754" s="7"/>
      <c r="N754" s="14"/>
      <c r="O754" s="14"/>
      <c r="P754" s="7"/>
      <c r="Q754" s="21"/>
      <c r="R754" s="14"/>
      <c r="S754" s="14"/>
      <c r="T754" s="14"/>
      <c r="U754" s="14"/>
      <c r="V754" s="14"/>
      <c r="W754" s="14"/>
      <c r="X754" s="14"/>
      <c r="Y754" s="13"/>
      <c r="Z754" s="14"/>
    </row>
    <row r="755" spans="1:26" ht="14.25" customHeight="1" x14ac:dyDescent="0.25">
      <c r="A755" s="14"/>
      <c r="B755" s="14"/>
      <c r="C755" s="14"/>
      <c r="D755" s="14"/>
      <c r="E755" s="122"/>
      <c r="F755" s="14"/>
      <c r="G755" s="14"/>
      <c r="H755" s="14"/>
      <c r="I755" s="14"/>
      <c r="J755" s="14"/>
      <c r="K755" s="7"/>
      <c r="L755" s="14"/>
      <c r="M755" s="7"/>
      <c r="N755" s="14"/>
      <c r="O755" s="14"/>
      <c r="P755" s="7"/>
      <c r="Q755" s="21"/>
      <c r="R755" s="14"/>
      <c r="S755" s="14"/>
      <c r="T755" s="14"/>
      <c r="U755" s="14"/>
      <c r="V755" s="14"/>
      <c r="W755" s="14"/>
      <c r="X755" s="14"/>
      <c r="Y755" s="13"/>
      <c r="Z755" s="14"/>
    </row>
    <row r="756" spans="1:26" ht="14.25" customHeight="1" x14ac:dyDescent="0.25">
      <c r="A756" s="14"/>
      <c r="B756" s="14"/>
      <c r="C756" s="14"/>
      <c r="D756" s="14"/>
      <c r="E756" s="122"/>
      <c r="F756" s="14"/>
      <c r="G756" s="14"/>
      <c r="H756" s="14"/>
      <c r="I756" s="14"/>
      <c r="J756" s="14"/>
      <c r="K756" s="7"/>
      <c r="L756" s="14"/>
      <c r="M756" s="7"/>
      <c r="N756" s="14"/>
      <c r="O756" s="14"/>
      <c r="P756" s="7"/>
      <c r="Q756" s="21"/>
      <c r="R756" s="14"/>
      <c r="S756" s="14"/>
      <c r="T756" s="14"/>
      <c r="U756" s="14"/>
      <c r="V756" s="14"/>
      <c r="W756" s="14"/>
      <c r="X756" s="14"/>
      <c r="Y756" s="13"/>
      <c r="Z756" s="14"/>
    </row>
    <row r="757" spans="1:26" ht="14.25" customHeight="1" x14ac:dyDescent="0.25">
      <c r="A757" s="14"/>
      <c r="B757" s="14"/>
      <c r="C757" s="14"/>
      <c r="D757" s="14"/>
      <c r="E757" s="122"/>
      <c r="F757" s="14"/>
      <c r="G757" s="14"/>
      <c r="H757" s="14"/>
      <c r="I757" s="14"/>
      <c r="J757" s="14"/>
      <c r="K757" s="7"/>
      <c r="L757" s="14"/>
      <c r="M757" s="7"/>
      <c r="N757" s="14"/>
      <c r="O757" s="14"/>
      <c r="P757" s="7"/>
      <c r="Q757" s="21"/>
      <c r="R757" s="14"/>
      <c r="S757" s="14"/>
      <c r="T757" s="14"/>
      <c r="U757" s="14"/>
      <c r="V757" s="14"/>
      <c r="W757" s="14"/>
      <c r="X757" s="14"/>
      <c r="Y757" s="13"/>
      <c r="Z757" s="14"/>
    </row>
    <row r="758" spans="1:26" ht="14.25" customHeight="1" x14ac:dyDescent="0.25">
      <c r="A758" s="14"/>
      <c r="B758" s="14"/>
      <c r="C758" s="14"/>
      <c r="D758" s="14"/>
      <c r="E758" s="122"/>
      <c r="F758" s="14"/>
      <c r="G758" s="14"/>
      <c r="H758" s="14"/>
      <c r="I758" s="14"/>
      <c r="J758" s="14"/>
      <c r="K758" s="7"/>
      <c r="L758" s="14"/>
      <c r="M758" s="7"/>
      <c r="N758" s="14"/>
      <c r="O758" s="14"/>
      <c r="P758" s="7"/>
      <c r="Q758" s="21"/>
      <c r="R758" s="14"/>
      <c r="S758" s="14"/>
      <c r="T758" s="14"/>
      <c r="U758" s="14"/>
      <c r="V758" s="14"/>
      <c r="W758" s="14"/>
      <c r="X758" s="14"/>
      <c r="Y758" s="13"/>
      <c r="Z758" s="14"/>
    </row>
    <row r="759" spans="1:26" ht="14.25" customHeight="1" x14ac:dyDescent="0.25">
      <c r="A759" s="14"/>
      <c r="B759" s="14"/>
      <c r="C759" s="14"/>
      <c r="D759" s="14"/>
      <c r="E759" s="122"/>
      <c r="F759" s="14"/>
      <c r="G759" s="14"/>
      <c r="H759" s="14"/>
      <c r="I759" s="14"/>
      <c r="J759" s="14"/>
      <c r="K759" s="7"/>
      <c r="L759" s="14"/>
      <c r="M759" s="7"/>
      <c r="N759" s="14"/>
      <c r="O759" s="14"/>
      <c r="P759" s="7"/>
      <c r="Q759" s="21"/>
      <c r="R759" s="14"/>
      <c r="S759" s="14"/>
      <c r="T759" s="14"/>
      <c r="U759" s="14"/>
      <c r="V759" s="14"/>
      <c r="W759" s="14"/>
      <c r="X759" s="14"/>
      <c r="Y759" s="13"/>
      <c r="Z759" s="14"/>
    </row>
    <row r="760" spans="1:26" ht="14.25" customHeight="1" x14ac:dyDescent="0.25">
      <c r="A760" s="14"/>
      <c r="B760" s="14"/>
      <c r="C760" s="14"/>
      <c r="D760" s="14"/>
      <c r="E760" s="122"/>
      <c r="F760" s="14"/>
      <c r="G760" s="14"/>
      <c r="H760" s="14"/>
      <c r="I760" s="14"/>
      <c r="J760" s="14"/>
      <c r="K760" s="7"/>
      <c r="L760" s="14"/>
      <c r="M760" s="7"/>
      <c r="N760" s="14"/>
      <c r="O760" s="14"/>
      <c r="P760" s="7"/>
      <c r="Q760" s="21"/>
      <c r="R760" s="14"/>
      <c r="S760" s="14"/>
      <c r="T760" s="14"/>
      <c r="U760" s="14"/>
      <c r="V760" s="14"/>
      <c r="W760" s="14"/>
      <c r="X760" s="14"/>
      <c r="Y760" s="13"/>
      <c r="Z760" s="14"/>
    </row>
    <row r="761" spans="1:26" ht="14.25" customHeight="1" x14ac:dyDescent="0.25">
      <c r="A761" s="14"/>
      <c r="B761" s="14"/>
      <c r="C761" s="14"/>
      <c r="D761" s="14"/>
      <c r="E761" s="122"/>
      <c r="F761" s="14"/>
      <c r="G761" s="14"/>
      <c r="H761" s="14"/>
      <c r="I761" s="14"/>
      <c r="J761" s="14"/>
      <c r="K761" s="7"/>
      <c r="L761" s="14"/>
      <c r="M761" s="7"/>
      <c r="N761" s="14"/>
      <c r="O761" s="14"/>
      <c r="P761" s="7"/>
      <c r="Q761" s="21"/>
      <c r="R761" s="14"/>
      <c r="S761" s="14"/>
      <c r="T761" s="14"/>
      <c r="U761" s="14"/>
      <c r="V761" s="14"/>
      <c r="W761" s="14"/>
      <c r="X761" s="14"/>
      <c r="Y761" s="13"/>
      <c r="Z761" s="14"/>
    </row>
    <row r="762" spans="1:26" ht="14.25" customHeight="1" x14ac:dyDescent="0.25">
      <c r="A762" s="14"/>
      <c r="B762" s="14"/>
      <c r="C762" s="14"/>
      <c r="D762" s="14"/>
      <c r="E762" s="122"/>
      <c r="F762" s="14"/>
      <c r="G762" s="14"/>
      <c r="H762" s="14"/>
      <c r="I762" s="14"/>
      <c r="J762" s="14"/>
      <c r="K762" s="7"/>
      <c r="L762" s="14"/>
      <c r="M762" s="7"/>
      <c r="N762" s="14"/>
      <c r="O762" s="14"/>
      <c r="P762" s="7"/>
      <c r="Q762" s="21"/>
      <c r="R762" s="14"/>
      <c r="S762" s="14"/>
      <c r="T762" s="14"/>
      <c r="U762" s="14"/>
      <c r="V762" s="14"/>
      <c r="W762" s="14"/>
      <c r="X762" s="14"/>
      <c r="Y762" s="13"/>
      <c r="Z762" s="14"/>
    </row>
    <row r="763" spans="1:26" ht="14.25" customHeight="1" x14ac:dyDescent="0.25">
      <c r="A763" s="14"/>
      <c r="B763" s="14"/>
      <c r="C763" s="14"/>
      <c r="D763" s="14"/>
      <c r="E763" s="122"/>
      <c r="F763" s="14"/>
      <c r="G763" s="14"/>
      <c r="H763" s="14"/>
      <c r="I763" s="14"/>
      <c r="J763" s="14"/>
      <c r="K763" s="7"/>
      <c r="L763" s="14"/>
      <c r="M763" s="7"/>
      <c r="N763" s="14"/>
      <c r="O763" s="14"/>
      <c r="P763" s="7"/>
      <c r="Q763" s="21"/>
      <c r="R763" s="14"/>
      <c r="S763" s="14"/>
      <c r="T763" s="14"/>
      <c r="U763" s="14"/>
      <c r="V763" s="14"/>
      <c r="W763" s="14"/>
      <c r="X763" s="14"/>
      <c r="Y763" s="13"/>
      <c r="Z763" s="14"/>
    </row>
    <row r="764" spans="1:26" ht="14.25" customHeight="1" x14ac:dyDescent="0.25">
      <c r="A764" s="14"/>
      <c r="B764" s="14"/>
      <c r="C764" s="14"/>
      <c r="D764" s="14"/>
      <c r="E764" s="122"/>
      <c r="F764" s="14"/>
      <c r="G764" s="14"/>
      <c r="H764" s="14"/>
      <c r="I764" s="14"/>
      <c r="J764" s="14"/>
      <c r="K764" s="7"/>
      <c r="L764" s="14"/>
      <c r="M764" s="7"/>
      <c r="N764" s="14"/>
      <c r="O764" s="14"/>
      <c r="P764" s="7"/>
      <c r="Q764" s="21"/>
      <c r="R764" s="14"/>
      <c r="S764" s="14"/>
      <c r="T764" s="14"/>
      <c r="U764" s="14"/>
      <c r="V764" s="14"/>
      <c r="W764" s="14"/>
      <c r="X764" s="14"/>
      <c r="Y764" s="13"/>
      <c r="Z764" s="14"/>
    </row>
    <row r="765" spans="1:26" ht="14.25" customHeight="1" x14ac:dyDescent="0.25">
      <c r="A765" s="14"/>
      <c r="B765" s="14"/>
      <c r="C765" s="14"/>
      <c r="D765" s="14"/>
      <c r="E765" s="122"/>
      <c r="F765" s="14"/>
      <c r="G765" s="14"/>
      <c r="H765" s="14"/>
      <c r="I765" s="14"/>
      <c r="J765" s="14"/>
      <c r="K765" s="7"/>
      <c r="L765" s="14"/>
      <c r="M765" s="7"/>
      <c r="N765" s="14"/>
      <c r="O765" s="14"/>
      <c r="P765" s="7"/>
      <c r="Q765" s="21"/>
      <c r="R765" s="14"/>
      <c r="S765" s="14"/>
      <c r="T765" s="14"/>
      <c r="U765" s="14"/>
      <c r="V765" s="14"/>
      <c r="W765" s="14"/>
      <c r="X765" s="14"/>
      <c r="Y765" s="13"/>
      <c r="Z765" s="14"/>
    </row>
    <row r="766" spans="1:26" ht="14.25" customHeight="1" x14ac:dyDescent="0.25">
      <c r="A766" s="14"/>
      <c r="B766" s="14"/>
      <c r="C766" s="14"/>
      <c r="D766" s="14"/>
      <c r="E766" s="122"/>
      <c r="F766" s="14"/>
      <c r="G766" s="14"/>
      <c r="H766" s="14"/>
      <c r="I766" s="14"/>
      <c r="J766" s="14"/>
      <c r="K766" s="7"/>
      <c r="L766" s="14"/>
      <c r="M766" s="7"/>
      <c r="N766" s="14"/>
      <c r="O766" s="14"/>
      <c r="P766" s="7"/>
      <c r="Q766" s="21"/>
      <c r="R766" s="14"/>
      <c r="S766" s="14"/>
      <c r="T766" s="14"/>
      <c r="U766" s="14"/>
      <c r="V766" s="14"/>
      <c r="W766" s="14"/>
      <c r="X766" s="14"/>
      <c r="Y766" s="13"/>
      <c r="Z766" s="14"/>
    </row>
    <row r="767" spans="1:26" ht="14.25" customHeight="1" x14ac:dyDescent="0.25">
      <c r="A767" s="14"/>
      <c r="B767" s="14"/>
      <c r="C767" s="14"/>
      <c r="D767" s="14"/>
      <c r="E767" s="122"/>
      <c r="F767" s="14"/>
      <c r="G767" s="14"/>
      <c r="H767" s="14"/>
      <c r="I767" s="14"/>
      <c r="J767" s="14"/>
      <c r="K767" s="7"/>
      <c r="L767" s="14"/>
      <c r="M767" s="7"/>
      <c r="N767" s="14"/>
      <c r="O767" s="14"/>
      <c r="P767" s="7"/>
      <c r="Q767" s="21"/>
      <c r="R767" s="14"/>
      <c r="S767" s="14"/>
      <c r="T767" s="14"/>
      <c r="U767" s="14"/>
      <c r="V767" s="14"/>
      <c r="W767" s="14"/>
      <c r="X767" s="14"/>
      <c r="Y767" s="13"/>
      <c r="Z767" s="14"/>
    </row>
    <row r="768" spans="1:26" ht="14.25" customHeight="1" x14ac:dyDescent="0.25">
      <c r="A768" s="14"/>
      <c r="B768" s="14"/>
      <c r="C768" s="14"/>
      <c r="D768" s="14"/>
      <c r="E768" s="122"/>
      <c r="F768" s="14"/>
      <c r="G768" s="14"/>
      <c r="H768" s="14"/>
      <c r="I768" s="14"/>
      <c r="J768" s="14"/>
      <c r="K768" s="7"/>
      <c r="L768" s="14"/>
      <c r="M768" s="7"/>
      <c r="N768" s="14"/>
      <c r="O768" s="14"/>
      <c r="P768" s="7"/>
      <c r="Q768" s="21"/>
      <c r="R768" s="14"/>
      <c r="S768" s="14"/>
      <c r="T768" s="14"/>
      <c r="U768" s="14"/>
      <c r="V768" s="14"/>
      <c r="W768" s="14"/>
      <c r="X768" s="14"/>
      <c r="Y768" s="13"/>
      <c r="Z768" s="14"/>
    </row>
    <row r="769" spans="1:26" ht="14.25" customHeight="1" x14ac:dyDescent="0.25">
      <c r="A769" s="14"/>
      <c r="B769" s="14"/>
      <c r="C769" s="14"/>
      <c r="D769" s="14"/>
      <c r="E769" s="122"/>
      <c r="F769" s="14"/>
      <c r="G769" s="14"/>
      <c r="H769" s="14"/>
      <c r="I769" s="14"/>
      <c r="J769" s="14"/>
      <c r="K769" s="7"/>
      <c r="L769" s="14"/>
      <c r="M769" s="7"/>
      <c r="N769" s="14"/>
      <c r="O769" s="14"/>
      <c r="P769" s="7"/>
      <c r="Q769" s="21"/>
      <c r="R769" s="14"/>
      <c r="S769" s="14"/>
      <c r="T769" s="14"/>
      <c r="U769" s="14"/>
      <c r="V769" s="14"/>
      <c r="W769" s="14"/>
      <c r="X769" s="14"/>
      <c r="Y769" s="13"/>
      <c r="Z769" s="14"/>
    </row>
    <row r="770" spans="1:26" ht="14.25" customHeight="1" x14ac:dyDescent="0.25">
      <c r="A770" s="14"/>
      <c r="B770" s="14"/>
      <c r="C770" s="14"/>
      <c r="D770" s="14"/>
      <c r="E770" s="122"/>
      <c r="F770" s="14"/>
      <c r="G770" s="14"/>
      <c r="H770" s="14"/>
      <c r="I770" s="14"/>
      <c r="J770" s="14"/>
      <c r="K770" s="7"/>
      <c r="L770" s="14"/>
      <c r="M770" s="7"/>
      <c r="N770" s="14"/>
      <c r="O770" s="14"/>
      <c r="P770" s="7"/>
      <c r="Q770" s="21"/>
      <c r="R770" s="14"/>
      <c r="S770" s="14"/>
      <c r="T770" s="14"/>
      <c r="U770" s="14"/>
      <c r="V770" s="14"/>
      <c r="W770" s="14"/>
      <c r="X770" s="14"/>
      <c r="Y770" s="13"/>
      <c r="Z770" s="14"/>
    </row>
    <row r="771" spans="1:26" ht="14.25" customHeight="1" x14ac:dyDescent="0.25">
      <c r="A771" s="14"/>
      <c r="B771" s="14"/>
      <c r="C771" s="14"/>
      <c r="D771" s="14"/>
      <c r="E771" s="122"/>
      <c r="F771" s="14"/>
      <c r="G771" s="14"/>
      <c r="H771" s="14"/>
      <c r="I771" s="14"/>
      <c r="J771" s="14"/>
      <c r="K771" s="7"/>
      <c r="L771" s="14"/>
      <c r="M771" s="7"/>
      <c r="N771" s="14"/>
      <c r="O771" s="14"/>
      <c r="P771" s="7"/>
      <c r="Q771" s="21"/>
      <c r="R771" s="14"/>
      <c r="S771" s="14"/>
      <c r="T771" s="14"/>
      <c r="U771" s="14"/>
      <c r="V771" s="14"/>
      <c r="W771" s="14"/>
      <c r="X771" s="14"/>
      <c r="Y771" s="13"/>
      <c r="Z771" s="14"/>
    </row>
    <row r="772" spans="1:26" ht="14.25" customHeight="1" x14ac:dyDescent="0.25">
      <c r="A772" s="14"/>
      <c r="B772" s="14"/>
      <c r="C772" s="14"/>
      <c r="D772" s="14"/>
      <c r="E772" s="122"/>
      <c r="F772" s="14"/>
      <c r="G772" s="14"/>
      <c r="H772" s="14"/>
      <c r="I772" s="14"/>
      <c r="J772" s="14"/>
      <c r="K772" s="7"/>
      <c r="L772" s="14"/>
      <c r="M772" s="7"/>
      <c r="N772" s="14"/>
      <c r="O772" s="14"/>
      <c r="P772" s="7"/>
      <c r="Q772" s="21"/>
      <c r="R772" s="14"/>
      <c r="S772" s="14"/>
      <c r="T772" s="14"/>
      <c r="U772" s="14"/>
      <c r="V772" s="14"/>
      <c r="W772" s="14"/>
      <c r="X772" s="14"/>
      <c r="Y772" s="13"/>
      <c r="Z772" s="14"/>
    </row>
    <row r="773" spans="1:26" ht="14.25" customHeight="1" x14ac:dyDescent="0.25">
      <c r="A773" s="14"/>
      <c r="B773" s="14"/>
      <c r="C773" s="14"/>
      <c r="D773" s="14"/>
      <c r="E773" s="122"/>
      <c r="F773" s="14"/>
      <c r="G773" s="14"/>
      <c r="H773" s="14"/>
      <c r="I773" s="14"/>
      <c r="J773" s="14"/>
      <c r="K773" s="7"/>
      <c r="L773" s="14"/>
      <c r="M773" s="7"/>
      <c r="N773" s="14"/>
      <c r="O773" s="14"/>
      <c r="P773" s="7"/>
      <c r="Q773" s="21"/>
      <c r="R773" s="14"/>
      <c r="S773" s="14"/>
      <c r="T773" s="14"/>
      <c r="U773" s="14"/>
      <c r="V773" s="14"/>
      <c r="W773" s="14"/>
      <c r="X773" s="14"/>
      <c r="Y773" s="13"/>
      <c r="Z773" s="14"/>
    </row>
    <row r="774" spans="1:26" ht="14.25" customHeight="1" x14ac:dyDescent="0.25">
      <c r="A774" s="14"/>
      <c r="B774" s="14"/>
      <c r="C774" s="14"/>
      <c r="D774" s="14"/>
      <c r="E774" s="122"/>
      <c r="F774" s="14"/>
      <c r="G774" s="14"/>
      <c r="H774" s="14"/>
      <c r="I774" s="14"/>
      <c r="J774" s="14"/>
      <c r="K774" s="7"/>
      <c r="L774" s="14"/>
      <c r="M774" s="7"/>
      <c r="N774" s="14"/>
      <c r="O774" s="14"/>
      <c r="P774" s="7"/>
      <c r="Q774" s="21"/>
      <c r="R774" s="14"/>
      <c r="S774" s="14"/>
      <c r="T774" s="14"/>
      <c r="U774" s="14"/>
      <c r="V774" s="14"/>
      <c r="W774" s="14"/>
      <c r="X774" s="14"/>
      <c r="Y774" s="13"/>
      <c r="Z774" s="14"/>
    </row>
    <row r="775" spans="1:26" ht="14.25" customHeight="1" x14ac:dyDescent="0.25">
      <c r="A775" s="14"/>
      <c r="B775" s="14"/>
      <c r="C775" s="14"/>
      <c r="D775" s="14"/>
      <c r="E775" s="122"/>
      <c r="F775" s="14"/>
      <c r="G775" s="14"/>
      <c r="H775" s="14"/>
      <c r="I775" s="14"/>
      <c r="J775" s="14"/>
      <c r="K775" s="7"/>
      <c r="L775" s="14"/>
      <c r="M775" s="7"/>
      <c r="N775" s="14"/>
      <c r="O775" s="14"/>
      <c r="P775" s="7"/>
      <c r="Q775" s="21"/>
      <c r="R775" s="14"/>
      <c r="S775" s="14"/>
      <c r="T775" s="14"/>
      <c r="U775" s="14"/>
      <c r="V775" s="14"/>
      <c r="W775" s="14"/>
      <c r="X775" s="14"/>
      <c r="Y775" s="13"/>
      <c r="Z775" s="14"/>
    </row>
    <row r="776" spans="1:26" ht="14.25" customHeight="1" x14ac:dyDescent="0.25">
      <c r="A776" s="14"/>
      <c r="B776" s="14"/>
      <c r="C776" s="14"/>
      <c r="D776" s="14"/>
      <c r="E776" s="122"/>
      <c r="F776" s="14"/>
      <c r="G776" s="14"/>
      <c r="H776" s="14"/>
      <c r="I776" s="14"/>
      <c r="J776" s="14"/>
      <c r="K776" s="7"/>
      <c r="L776" s="14"/>
      <c r="M776" s="7"/>
      <c r="N776" s="14"/>
      <c r="O776" s="14"/>
      <c r="P776" s="7"/>
      <c r="Q776" s="21"/>
      <c r="R776" s="14"/>
      <c r="S776" s="14"/>
      <c r="T776" s="14"/>
      <c r="U776" s="14"/>
      <c r="V776" s="14"/>
      <c r="W776" s="14"/>
      <c r="X776" s="14"/>
      <c r="Y776" s="13"/>
      <c r="Z776" s="14"/>
    </row>
    <row r="777" spans="1:26" ht="14.25" customHeight="1" x14ac:dyDescent="0.25">
      <c r="A777" s="14"/>
      <c r="B777" s="14"/>
      <c r="C777" s="14"/>
      <c r="D777" s="14"/>
      <c r="E777" s="122"/>
      <c r="F777" s="14"/>
      <c r="G777" s="14"/>
      <c r="H777" s="14"/>
      <c r="I777" s="14"/>
      <c r="J777" s="14"/>
      <c r="K777" s="7"/>
      <c r="L777" s="14"/>
      <c r="M777" s="7"/>
      <c r="N777" s="14"/>
      <c r="O777" s="14"/>
      <c r="P777" s="7"/>
      <c r="Q777" s="21"/>
      <c r="R777" s="14"/>
      <c r="S777" s="14"/>
      <c r="T777" s="14"/>
      <c r="U777" s="14"/>
      <c r="V777" s="14"/>
      <c r="W777" s="14"/>
      <c r="X777" s="14"/>
      <c r="Y777" s="13"/>
      <c r="Z777" s="14"/>
    </row>
    <row r="778" spans="1:26" ht="14.25" customHeight="1" x14ac:dyDescent="0.25">
      <c r="A778" s="14"/>
      <c r="B778" s="14"/>
      <c r="C778" s="14"/>
      <c r="D778" s="14"/>
      <c r="E778" s="122"/>
      <c r="F778" s="14"/>
      <c r="G778" s="14"/>
      <c r="H778" s="14"/>
      <c r="I778" s="14"/>
      <c r="J778" s="14"/>
      <c r="K778" s="7"/>
      <c r="L778" s="14"/>
      <c r="M778" s="7"/>
      <c r="N778" s="14"/>
      <c r="O778" s="14"/>
      <c r="P778" s="7"/>
      <c r="Q778" s="21"/>
      <c r="R778" s="14"/>
      <c r="S778" s="14"/>
      <c r="T778" s="14"/>
      <c r="U778" s="14"/>
      <c r="V778" s="14"/>
      <c r="W778" s="14"/>
      <c r="X778" s="14"/>
      <c r="Y778" s="13"/>
      <c r="Z778" s="14"/>
    </row>
    <row r="779" spans="1:26" ht="14.25" customHeight="1" x14ac:dyDescent="0.25">
      <c r="A779" s="14"/>
      <c r="B779" s="14"/>
      <c r="C779" s="14"/>
      <c r="D779" s="14"/>
      <c r="E779" s="122"/>
      <c r="F779" s="14"/>
      <c r="G779" s="14"/>
      <c r="H779" s="14"/>
      <c r="I779" s="14"/>
      <c r="J779" s="14"/>
      <c r="K779" s="7"/>
      <c r="L779" s="14"/>
      <c r="M779" s="7"/>
      <c r="N779" s="14"/>
      <c r="O779" s="14"/>
      <c r="P779" s="7"/>
      <c r="Q779" s="21"/>
      <c r="R779" s="14"/>
      <c r="S779" s="14"/>
      <c r="T779" s="14"/>
      <c r="U779" s="14"/>
      <c r="V779" s="14"/>
      <c r="W779" s="14"/>
      <c r="X779" s="14"/>
      <c r="Y779" s="13"/>
      <c r="Z779" s="14"/>
    </row>
    <row r="780" spans="1:26" ht="14.25" customHeight="1" x14ac:dyDescent="0.25">
      <c r="A780" s="14"/>
      <c r="B780" s="14"/>
      <c r="C780" s="14"/>
      <c r="D780" s="14"/>
      <c r="E780" s="122"/>
      <c r="F780" s="14"/>
      <c r="G780" s="14"/>
      <c r="H780" s="14"/>
      <c r="I780" s="14"/>
      <c r="J780" s="14"/>
      <c r="K780" s="7"/>
      <c r="L780" s="14"/>
      <c r="M780" s="7"/>
      <c r="N780" s="14"/>
      <c r="O780" s="14"/>
      <c r="P780" s="7"/>
      <c r="Q780" s="21"/>
      <c r="R780" s="14"/>
      <c r="S780" s="14"/>
      <c r="T780" s="14"/>
      <c r="U780" s="14"/>
      <c r="V780" s="14"/>
      <c r="W780" s="14"/>
      <c r="X780" s="14"/>
      <c r="Y780" s="13"/>
      <c r="Z780" s="14"/>
    </row>
    <row r="781" spans="1:26" ht="14.25" customHeight="1" x14ac:dyDescent="0.25">
      <c r="A781" s="14"/>
      <c r="B781" s="14"/>
      <c r="C781" s="14"/>
      <c r="D781" s="14"/>
      <c r="E781" s="122"/>
      <c r="F781" s="14"/>
      <c r="G781" s="14"/>
      <c r="H781" s="14"/>
      <c r="I781" s="14"/>
      <c r="J781" s="14"/>
      <c r="K781" s="7"/>
      <c r="L781" s="14"/>
      <c r="M781" s="7"/>
      <c r="N781" s="14"/>
      <c r="O781" s="14"/>
      <c r="P781" s="7"/>
      <c r="Q781" s="21"/>
      <c r="R781" s="14"/>
      <c r="S781" s="14"/>
      <c r="T781" s="14"/>
      <c r="U781" s="14"/>
      <c r="V781" s="14"/>
      <c r="W781" s="14"/>
      <c r="X781" s="14"/>
      <c r="Y781" s="13"/>
      <c r="Z781" s="14"/>
    </row>
    <row r="782" spans="1:26" ht="14.25" customHeight="1" x14ac:dyDescent="0.25">
      <c r="A782" s="14"/>
      <c r="B782" s="14"/>
      <c r="C782" s="14"/>
      <c r="D782" s="14"/>
      <c r="E782" s="122"/>
      <c r="F782" s="14"/>
      <c r="G782" s="14"/>
      <c r="H782" s="14"/>
      <c r="I782" s="14"/>
      <c r="J782" s="14"/>
      <c r="K782" s="7"/>
      <c r="L782" s="14"/>
      <c r="M782" s="7"/>
      <c r="N782" s="14"/>
      <c r="O782" s="14"/>
      <c r="P782" s="7"/>
      <c r="Q782" s="21"/>
      <c r="R782" s="14"/>
      <c r="S782" s="14"/>
      <c r="T782" s="14"/>
      <c r="U782" s="14"/>
      <c r="V782" s="14"/>
      <c r="W782" s="14"/>
      <c r="X782" s="14"/>
      <c r="Y782" s="13"/>
      <c r="Z782" s="14"/>
    </row>
    <row r="783" spans="1:26" ht="14.25" customHeight="1" x14ac:dyDescent="0.25">
      <c r="A783" s="14"/>
      <c r="B783" s="14"/>
      <c r="C783" s="14"/>
      <c r="D783" s="14"/>
      <c r="E783" s="122"/>
      <c r="F783" s="14"/>
      <c r="G783" s="14"/>
      <c r="H783" s="14"/>
      <c r="I783" s="14"/>
      <c r="J783" s="14"/>
      <c r="K783" s="7"/>
      <c r="L783" s="14"/>
      <c r="M783" s="7"/>
      <c r="N783" s="14"/>
      <c r="O783" s="14"/>
      <c r="P783" s="7"/>
      <c r="Q783" s="21"/>
      <c r="R783" s="14"/>
      <c r="S783" s="14"/>
      <c r="T783" s="14"/>
      <c r="U783" s="14"/>
      <c r="V783" s="14"/>
      <c r="W783" s="14"/>
      <c r="X783" s="14"/>
      <c r="Y783" s="13"/>
      <c r="Z783" s="14"/>
    </row>
    <row r="784" spans="1:26" ht="14.25" customHeight="1" x14ac:dyDescent="0.25">
      <c r="A784" s="14"/>
      <c r="B784" s="14"/>
      <c r="C784" s="14"/>
      <c r="D784" s="14"/>
      <c r="E784" s="122"/>
      <c r="F784" s="14"/>
      <c r="G784" s="14"/>
      <c r="H784" s="14"/>
      <c r="I784" s="14"/>
      <c r="J784" s="14"/>
      <c r="K784" s="7"/>
      <c r="L784" s="14"/>
      <c r="M784" s="7"/>
      <c r="N784" s="14"/>
      <c r="O784" s="14"/>
      <c r="P784" s="7"/>
      <c r="Q784" s="21"/>
      <c r="R784" s="14"/>
      <c r="S784" s="14"/>
      <c r="T784" s="14"/>
      <c r="U784" s="14"/>
      <c r="V784" s="14"/>
      <c r="W784" s="14"/>
      <c r="X784" s="14"/>
      <c r="Y784" s="13"/>
      <c r="Z784" s="14"/>
    </row>
    <row r="785" spans="1:26" ht="14.25" customHeight="1" x14ac:dyDescent="0.25">
      <c r="A785" s="14"/>
      <c r="B785" s="14"/>
      <c r="C785" s="14"/>
      <c r="D785" s="14"/>
      <c r="E785" s="122"/>
      <c r="F785" s="14"/>
      <c r="G785" s="14"/>
      <c r="H785" s="14"/>
      <c r="I785" s="14"/>
      <c r="J785" s="14"/>
      <c r="K785" s="7"/>
      <c r="L785" s="14"/>
      <c r="M785" s="7"/>
      <c r="N785" s="14"/>
      <c r="O785" s="14"/>
      <c r="P785" s="7"/>
      <c r="Q785" s="21"/>
      <c r="R785" s="14"/>
      <c r="S785" s="14"/>
      <c r="T785" s="14"/>
      <c r="U785" s="14"/>
      <c r="V785" s="14"/>
      <c r="W785" s="14"/>
      <c r="X785" s="14"/>
      <c r="Y785" s="13"/>
      <c r="Z785" s="14"/>
    </row>
    <row r="786" spans="1:26" ht="14.25" customHeight="1" x14ac:dyDescent="0.25">
      <c r="A786" s="14"/>
      <c r="B786" s="14"/>
      <c r="C786" s="14"/>
      <c r="D786" s="14"/>
      <c r="E786" s="122"/>
      <c r="F786" s="14"/>
      <c r="G786" s="14"/>
      <c r="H786" s="14"/>
      <c r="I786" s="14"/>
      <c r="J786" s="14"/>
      <c r="K786" s="7"/>
      <c r="L786" s="14"/>
      <c r="M786" s="7"/>
      <c r="N786" s="14"/>
      <c r="O786" s="14"/>
      <c r="P786" s="7"/>
      <c r="Q786" s="21"/>
      <c r="R786" s="14"/>
      <c r="S786" s="14"/>
      <c r="T786" s="14"/>
      <c r="U786" s="14"/>
      <c r="V786" s="14"/>
      <c r="W786" s="14"/>
      <c r="X786" s="14"/>
      <c r="Y786" s="13"/>
      <c r="Z786" s="14"/>
    </row>
    <row r="787" spans="1:26" ht="14.25" customHeight="1" x14ac:dyDescent="0.25">
      <c r="A787" s="14"/>
      <c r="B787" s="14"/>
      <c r="C787" s="14"/>
      <c r="D787" s="14"/>
      <c r="E787" s="122"/>
      <c r="F787" s="14"/>
      <c r="G787" s="14"/>
      <c r="H787" s="14"/>
      <c r="I787" s="14"/>
      <c r="J787" s="14"/>
      <c r="K787" s="7"/>
      <c r="L787" s="14"/>
      <c r="M787" s="7"/>
      <c r="N787" s="14"/>
      <c r="O787" s="14"/>
      <c r="P787" s="7"/>
      <c r="Q787" s="21"/>
      <c r="R787" s="14"/>
      <c r="S787" s="14"/>
      <c r="T787" s="14"/>
      <c r="U787" s="14"/>
      <c r="V787" s="14"/>
      <c r="W787" s="14"/>
      <c r="X787" s="14"/>
      <c r="Y787" s="13"/>
      <c r="Z787" s="14"/>
    </row>
    <row r="788" spans="1:26" ht="14.25" customHeight="1" x14ac:dyDescent="0.25">
      <c r="A788" s="14"/>
      <c r="B788" s="14"/>
      <c r="C788" s="14"/>
      <c r="D788" s="14"/>
      <c r="E788" s="122"/>
      <c r="F788" s="14"/>
      <c r="G788" s="14"/>
      <c r="H788" s="14"/>
      <c r="I788" s="14"/>
      <c r="J788" s="14"/>
      <c r="K788" s="7"/>
      <c r="L788" s="14"/>
      <c r="M788" s="7"/>
      <c r="N788" s="14"/>
      <c r="O788" s="14"/>
      <c r="P788" s="7"/>
      <c r="Q788" s="21"/>
      <c r="R788" s="14"/>
      <c r="S788" s="14"/>
      <c r="T788" s="14"/>
      <c r="U788" s="14"/>
      <c r="V788" s="14"/>
      <c r="W788" s="14"/>
      <c r="X788" s="14"/>
      <c r="Y788" s="13"/>
      <c r="Z788" s="14"/>
    </row>
    <row r="789" spans="1:26" ht="14.25" customHeight="1" x14ac:dyDescent="0.25">
      <c r="A789" s="14"/>
      <c r="B789" s="14"/>
      <c r="C789" s="14"/>
      <c r="D789" s="14"/>
      <c r="E789" s="122"/>
      <c r="F789" s="14"/>
      <c r="G789" s="14"/>
      <c r="H789" s="14"/>
      <c r="I789" s="14"/>
      <c r="J789" s="14"/>
      <c r="K789" s="7"/>
      <c r="L789" s="14"/>
      <c r="M789" s="7"/>
      <c r="N789" s="14"/>
      <c r="O789" s="14"/>
      <c r="P789" s="7"/>
      <c r="Q789" s="21"/>
      <c r="R789" s="14"/>
      <c r="S789" s="14"/>
      <c r="T789" s="14"/>
      <c r="U789" s="14"/>
      <c r="V789" s="14"/>
      <c r="W789" s="14"/>
      <c r="X789" s="14"/>
      <c r="Y789" s="13"/>
      <c r="Z789" s="14"/>
    </row>
    <row r="790" spans="1:26" ht="14.25" customHeight="1" x14ac:dyDescent="0.25">
      <c r="A790" s="14"/>
      <c r="B790" s="14"/>
      <c r="C790" s="14"/>
      <c r="D790" s="14"/>
      <c r="E790" s="122"/>
      <c r="F790" s="14"/>
      <c r="G790" s="14"/>
      <c r="H790" s="14"/>
      <c r="I790" s="14"/>
      <c r="J790" s="14"/>
      <c r="K790" s="7"/>
      <c r="L790" s="14"/>
      <c r="M790" s="7"/>
      <c r="N790" s="14"/>
      <c r="O790" s="14"/>
      <c r="P790" s="7"/>
      <c r="Q790" s="21"/>
      <c r="R790" s="14"/>
      <c r="S790" s="14"/>
      <c r="T790" s="14"/>
      <c r="U790" s="14"/>
      <c r="V790" s="14"/>
      <c r="W790" s="14"/>
      <c r="X790" s="14"/>
      <c r="Y790" s="13"/>
      <c r="Z790" s="14"/>
    </row>
    <row r="791" spans="1:26" ht="14.25" customHeight="1" x14ac:dyDescent="0.25">
      <c r="A791" s="14"/>
      <c r="B791" s="14"/>
      <c r="C791" s="14"/>
      <c r="D791" s="14"/>
      <c r="E791" s="122"/>
      <c r="F791" s="14"/>
      <c r="G791" s="14"/>
      <c r="H791" s="14"/>
      <c r="I791" s="14"/>
      <c r="J791" s="14"/>
      <c r="K791" s="7"/>
      <c r="L791" s="14"/>
      <c r="M791" s="7"/>
      <c r="N791" s="14"/>
      <c r="O791" s="14"/>
      <c r="P791" s="7"/>
      <c r="Q791" s="21"/>
      <c r="R791" s="14"/>
      <c r="S791" s="14"/>
      <c r="T791" s="14"/>
      <c r="U791" s="14"/>
      <c r="V791" s="14"/>
      <c r="W791" s="14"/>
      <c r="X791" s="14"/>
      <c r="Y791" s="13"/>
      <c r="Z791" s="14"/>
    </row>
    <row r="792" spans="1:26" ht="14.25" customHeight="1" x14ac:dyDescent="0.25">
      <c r="A792" s="14"/>
      <c r="B792" s="14"/>
      <c r="C792" s="14"/>
      <c r="D792" s="14"/>
      <c r="E792" s="122"/>
      <c r="F792" s="14"/>
      <c r="G792" s="14"/>
      <c r="H792" s="14"/>
      <c r="I792" s="14"/>
      <c r="J792" s="14"/>
      <c r="K792" s="7"/>
      <c r="L792" s="14"/>
      <c r="M792" s="7"/>
      <c r="N792" s="14"/>
      <c r="O792" s="14"/>
      <c r="P792" s="7"/>
      <c r="Q792" s="21"/>
      <c r="R792" s="14"/>
      <c r="S792" s="14"/>
      <c r="T792" s="14"/>
      <c r="U792" s="14"/>
      <c r="V792" s="14"/>
      <c r="W792" s="14"/>
      <c r="X792" s="14"/>
      <c r="Y792" s="13"/>
      <c r="Z792" s="14"/>
    </row>
    <row r="793" spans="1:26" ht="14.25" customHeight="1" x14ac:dyDescent="0.25">
      <c r="A793" s="14"/>
      <c r="B793" s="14"/>
      <c r="C793" s="14"/>
      <c r="D793" s="14"/>
      <c r="E793" s="122"/>
      <c r="F793" s="14"/>
      <c r="G793" s="14"/>
      <c r="H793" s="14"/>
      <c r="I793" s="14"/>
      <c r="J793" s="14"/>
      <c r="K793" s="7"/>
      <c r="L793" s="14"/>
      <c r="M793" s="7"/>
      <c r="N793" s="14"/>
      <c r="O793" s="14"/>
      <c r="P793" s="7"/>
      <c r="Q793" s="21"/>
      <c r="R793" s="14"/>
      <c r="S793" s="14"/>
      <c r="T793" s="14"/>
      <c r="U793" s="14"/>
      <c r="V793" s="14"/>
      <c r="W793" s="14"/>
      <c r="X793" s="14"/>
      <c r="Y793" s="13"/>
      <c r="Z793" s="14"/>
    </row>
    <row r="794" spans="1:26" ht="14.25" customHeight="1" x14ac:dyDescent="0.25">
      <c r="A794" s="14"/>
      <c r="B794" s="14"/>
      <c r="C794" s="14"/>
      <c r="D794" s="14"/>
      <c r="E794" s="122"/>
      <c r="F794" s="14"/>
      <c r="G794" s="14"/>
      <c r="H794" s="14"/>
      <c r="I794" s="14"/>
      <c r="J794" s="14"/>
      <c r="K794" s="7"/>
      <c r="L794" s="14"/>
      <c r="M794" s="7"/>
      <c r="N794" s="14"/>
      <c r="O794" s="14"/>
      <c r="P794" s="7"/>
      <c r="Q794" s="21"/>
      <c r="R794" s="14"/>
      <c r="S794" s="14"/>
      <c r="T794" s="14"/>
      <c r="U794" s="14"/>
      <c r="V794" s="14"/>
      <c r="W794" s="14"/>
      <c r="X794" s="14"/>
      <c r="Y794" s="13"/>
      <c r="Z794" s="14"/>
    </row>
    <row r="795" spans="1:26" ht="14.25" customHeight="1" x14ac:dyDescent="0.25">
      <c r="A795" s="14"/>
      <c r="B795" s="14"/>
      <c r="C795" s="14"/>
      <c r="D795" s="14"/>
      <c r="E795" s="122"/>
      <c r="F795" s="14"/>
      <c r="G795" s="14"/>
      <c r="H795" s="14"/>
      <c r="I795" s="14"/>
      <c r="J795" s="14"/>
      <c r="K795" s="7"/>
      <c r="L795" s="14"/>
      <c r="M795" s="7"/>
      <c r="N795" s="14"/>
      <c r="O795" s="14"/>
      <c r="P795" s="7"/>
      <c r="Q795" s="21"/>
      <c r="R795" s="14"/>
      <c r="S795" s="14"/>
      <c r="T795" s="14"/>
      <c r="U795" s="14"/>
      <c r="V795" s="14"/>
      <c r="W795" s="14"/>
      <c r="X795" s="14"/>
      <c r="Y795" s="13"/>
      <c r="Z795" s="14"/>
    </row>
    <row r="796" spans="1:26" ht="14.25" customHeight="1" x14ac:dyDescent="0.25">
      <c r="A796" s="14"/>
      <c r="B796" s="14"/>
      <c r="C796" s="14"/>
      <c r="D796" s="14"/>
      <c r="E796" s="122"/>
      <c r="F796" s="14"/>
      <c r="G796" s="14"/>
      <c r="H796" s="14"/>
      <c r="I796" s="14"/>
      <c r="J796" s="14"/>
      <c r="K796" s="7"/>
      <c r="L796" s="14"/>
      <c r="M796" s="7"/>
      <c r="N796" s="14"/>
      <c r="O796" s="14"/>
      <c r="P796" s="7"/>
      <c r="Q796" s="21"/>
      <c r="R796" s="14"/>
      <c r="S796" s="14"/>
      <c r="T796" s="14"/>
      <c r="U796" s="14"/>
      <c r="V796" s="14"/>
      <c r="W796" s="14"/>
      <c r="X796" s="14"/>
      <c r="Y796" s="13"/>
      <c r="Z796" s="14"/>
    </row>
    <row r="797" spans="1:26" ht="14.25" customHeight="1" x14ac:dyDescent="0.25">
      <c r="A797" s="14"/>
      <c r="B797" s="14"/>
      <c r="C797" s="14"/>
      <c r="D797" s="14"/>
      <c r="E797" s="122"/>
      <c r="F797" s="14"/>
      <c r="G797" s="14"/>
      <c r="H797" s="14"/>
      <c r="I797" s="14"/>
      <c r="J797" s="14"/>
      <c r="K797" s="7"/>
      <c r="L797" s="14"/>
      <c r="M797" s="7"/>
      <c r="N797" s="14"/>
      <c r="O797" s="14"/>
      <c r="P797" s="7"/>
      <c r="Q797" s="21"/>
      <c r="R797" s="14"/>
      <c r="S797" s="14"/>
      <c r="T797" s="14"/>
      <c r="U797" s="14"/>
      <c r="V797" s="14"/>
      <c r="W797" s="14"/>
      <c r="X797" s="14"/>
      <c r="Y797" s="13"/>
      <c r="Z797" s="14"/>
    </row>
    <row r="798" spans="1:26" ht="14.25" customHeight="1" x14ac:dyDescent="0.25">
      <c r="A798" s="14"/>
      <c r="B798" s="14"/>
      <c r="C798" s="14"/>
      <c r="D798" s="14"/>
      <c r="E798" s="122"/>
      <c r="F798" s="14"/>
      <c r="G798" s="14"/>
      <c r="H798" s="14"/>
      <c r="I798" s="14"/>
      <c r="J798" s="14"/>
      <c r="K798" s="7"/>
      <c r="L798" s="14"/>
      <c r="M798" s="7"/>
      <c r="N798" s="14"/>
      <c r="O798" s="14"/>
      <c r="P798" s="7"/>
      <c r="Q798" s="21"/>
      <c r="R798" s="14"/>
      <c r="S798" s="14"/>
      <c r="T798" s="14"/>
      <c r="U798" s="14"/>
      <c r="V798" s="14"/>
      <c r="W798" s="14"/>
      <c r="X798" s="14"/>
      <c r="Y798" s="13"/>
      <c r="Z798" s="14"/>
    </row>
    <row r="799" spans="1:26" ht="14.25" customHeight="1" x14ac:dyDescent="0.25">
      <c r="A799" s="14"/>
      <c r="B799" s="14"/>
      <c r="C799" s="14"/>
      <c r="D799" s="14"/>
      <c r="E799" s="122"/>
      <c r="F799" s="14"/>
      <c r="G799" s="14"/>
      <c r="H799" s="14"/>
      <c r="I799" s="14"/>
      <c r="J799" s="14"/>
      <c r="K799" s="7"/>
      <c r="L799" s="14"/>
      <c r="M799" s="7"/>
      <c r="N799" s="14"/>
      <c r="O799" s="14"/>
      <c r="P799" s="7"/>
      <c r="Q799" s="21"/>
      <c r="R799" s="14"/>
      <c r="S799" s="14"/>
      <c r="T799" s="14"/>
      <c r="U799" s="14"/>
      <c r="V799" s="14"/>
      <c r="W799" s="14"/>
      <c r="X799" s="14"/>
      <c r="Y799" s="13"/>
      <c r="Z799" s="14"/>
    </row>
    <row r="800" spans="1:26" ht="14.25" customHeight="1" x14ac:dyDescent="0.25">
      <c r="A800" s="14"/>
      <c r="B800" s="14"/>
      <c r="C800" s="14"/>
      <c r="D800" s="14"/>
      <c r="E800" s="122"/>
      <c r="F800" s="14"/>
      <c r="G800" s="14"/>
      <c r="H800" s="14"/>
      <c r="I800" s="14"/>
      <c r="J800" s="14"/>
      <c r="K800" s="7"/>
      <c r="L800" s="14"/>
      <c r="M800" s="7"/>
      <c r="N800" s="14"/>
      <c r="O800" s="14"/>
      <c r="P800" s="7"/>
      <c r="Q800" s="21"/>
      <c r="R800" s="14"/>
      <c r="S800" s="14"/>
      <c r="T800" s="14"/>
      <c r="U800" s="14"/>
      <c r="V800" s="14"/>
      <c r="W800" s="14"/>
      <c r="X800" s="14"/>
      <c r="Y800" s="13"/>
      <c r="Z800" s="14"/>
    </row>
    <row r="801" spans="1:26" ht="14.25" customHeight="1" x14ac:dyDescent="0.25">
      <c r="A801" s="14"/>
      <c r="B801" s="14"/>
      <c r="C801" s="14"/>
      <c r="D801" s="14"/>
      <c r="E801" s="122"/>
      <c r="F801" s="14"/>
      <c r="G801" s="14"/>
      <c r="H801" s="14"/>
      <c r="I801" s="14"/>
      <c r="J801" s="14"/>
      <c r="K801" s="7"/>
      <c r="L801" s="14"/>
      <c r="M801" s="7"/>
      <c r="N801" s="14"/>
      <c r="O801" s="14"/>
      <c r="P801" s="7"/>
      <c r="Q801" s="21"/>
      <c r="R801" s="14"/>
      <c r="S801" s="14"/>
      <c r="T801" s="14"/>
      <c r="U801" s="14"/>
      <c r="V801" s="14"/>
      <c r="W801" s="14"/>
      <c r="X801" s="14"/>
      <c r="Y801" s="13"/>
      <c r="Z801" s="14"/>
    </row>
    <row r="802" spans="1:26" ht="14.25" customHeight="1" x14ac:dyDescent="0.25">
      <c r="A802" s="14"/>
      <c r="B802" s="14"/>
      <c r="C802" s="14"/>
      <c r="D802" s="14"/>
      <c r="E802" s="122"/>
      <c r="F802" s="14"/>
      <c r="G802" s="14"/>
      <c r="H802" s="14"/>
      <c r="I802" s="14"/>
      <c r="J802" s="14"/>
      <c r="K802" s="7"/>
      <c r="L802" s="14"/>
      <c r="M802" s="7"/>
      <c r="N802" s="14"/>
      <c r="O802" s="14"/>
      <c r="P802" s="7"/>
      <c r="Q802" s="21"/>
      <c r="R802" s="14"/>
      <c r="S802" s="14"/>
      <c r="T802" s="14"/>
      <c r="U802" s="14"/>
      <c r="V802" s="14"/>
      <c r="W802" s="14"/>
      <c r="X802" s="14"/>
      <c r="Y802" s="13"/>
      <c r="Z802" s="14"/>
    </row>
    <row r="803" spans="1:26" ht="14.25" customHeight="1" x14ac:dyDescent="0.25">
      <c r="A803" s="14"/>
      <c r="B803" s="14"/>
      <c r="C803" s="14"/>
      <c r="D803" s="14"/>
      <c r="E803" s="122"/>
      <c r="F803" s="14"/>
      <c r="G803" s="14"/>
      <c r="H803" s="14"/>
      <c r="I803" s="14"/>
      <c r="J803" s="14"/>
      <c r="K803" s="7"/>
      <c r="L803" s="14"/>
      <c r="M803" s="7"/>
      <c r="N803" s="14"/>
      <c r="O803" s="14"/>
      <c r="P803" s="7"/>
      <c r="Q803" s="21"/>
      <c r="R803" s="14"/>
      <c r="S803" s="14"/>
      <c r="T803" s="14"/>
      <c r="U803" s="14"/>
      <c r="V803" s="14"/>
      <c r="W803" s="14"/>
      <c r="X803" s="14"/>
      <c r="Y803" s="13"/>
      <c r="Z803" s="14"/>
    </row>
    <row r="804" spans="1:26" ht="14.25" customHeight="1" x14ac:dyDescent="0.25">
      <c r="A804" s="14"/>
      <c r="B804" s="14"/>
      <c r="C804" s="14"/>
      <c r="D804" s="14"/>
      <c r="E804" s="122"/>
      <c r="F804" s="14"/>
      <c r="G804" s="14"/>
      <c r="H804" s="14"/>
      <c r="I804" s="14"/>
      <c r="J804" s="14"/>
      <c r="K804" s="7"/>
      <c r="L804" s="14"/>
      <c r="M804" s="7"/>
      <c r="N804" s="14"/>
      <c r="O804" s="14"/>
      <c r="P804" s="7"/>
      <c r="Q804" s="21"/>
      <c r="R804" s="14"/>
      <c r="S804" s="14"/>
      <c r="T804" s="14"/>
      <c r="U804" s="14"/>
      <c r="V804" s="14"/>
      <c r="W804" s="14"/>
      <c r="X804" s="14"/>
      <c r="Y804" s="13"/>
      <c r="Z804" s="14"/>
    </row>
    <row r="805" spans="1:26" ht="14.25" customHeight="1" x14ac:dyDescent="0.25">
      <c r="A805" s="14"/>
      <c r="B805" s="14"/>
      <c r="C805" s="14"/>
      <c r="D805" s="14"/>
      <c r="E805" s="122"/>
      <c r="F805" s="14"/>
      <c r="G805" s="14"/>
      <c r="H805" s="14"/>
      <c r="I805" s="14"/>
      <c r="J805" s="14"/>
      <c r="K805" s="7"/>
      <c r="L805" s="14"/>
      <c r="M805" s="7"/>
      <c r="N805" s="14"/>
      <c r="O805" s="14"/>
      <c r="P805" s="7"/>
      <c r="Q805" s="21"/>
      <c r="R805" s="14"/>
      <c r="S805" s="14"/>
      <c r="T805" s="14"/>
      <c r="U805" s="14"/>
      <c r="V805" s="14"/>
      <c r="W805" s="14"/>
      <c r="X805" s="14"/>
      <c r="Y805" s="13"/>
      <c r="Z805" s="14"/>
    </row>
    <row r="806" spans="1:26" ht="14.25" customHeight="1" x14ac:dyDescent="0.25">
      <c r="A806" s="14"/>
      <c r="B806" s="14"/>
      <c r="C806" s="14"/>
      <c r="D806" s="14"/>
      <c r="E806" s="122"/>
      <c r="F806" s="14"/>
      <c r="G806" s="14"/>
      <c r="H806" s="14"/>
      <c r="I806" s="14"/>
      <c r="J806" s="14"/>
      <c r="K806" s="7"/>
      <c r="L806" s="14"/>
      <c r="M806" s="7"/>
      <c r="N806" s="14"/>
      <c r="O806" s="14"/>
      <c r="P806" s="7"/>
      <c r="Q806" s="21"/>
      <c r="R806" s="14"/>
      <c r="S806" s="14"/>
      <c r="T806" s="14"/>
      <c r="U806" s="14"/>
      <c r="V806" s="14"/>
      <c r="W806" s="14"/>
      <c r="X806" s="14"/>
      <c r="Y806" s="13"/>
      <c r="Z806" s="14"/>
    </row>
    <row r="807" spans="1:26" ht="14.25" customHeight="1" x14ac:dyDescent="0.25">
      <c r="A807" s="14"/>
      <c r="B807" s="14"/>
      <c r="C807" s="14"/>
      <c r="D807" s="14"/>
      <c r="E807" s="122"/>
      <c r="F807" s="14"/>
      <c r="G807" s="14"/>
      <c r="H807" s="14"/>
      <c r="I807" s="14"/>
      <c r="J807" s="14"/>
      <c r="K807" s="7"/>
      <c r="L807" s="14"/>
      <c r="M807" s="7"/>
      <c r="N807" s="14"/>
      <c r="O807" s="14"/>
      <c r="P807" s="7"/>
      <c r="Q807" s="21"/>
      <c r="R807" s="14"/>
      <c r="S807" s="14"/>
      <c r="T807" s="14"/>
      <c r="U807" s="14"/>
      <c r="V807" s="14"/>
      <c r="W807" s="14"/>
      <c r="X807" s="14"/>
      <c r="Y807" s="13"/>
      <c r="Z807" s="14"/>
    </row>
    <row r="808" spans="1:26" ht="14.25" customHeight="1" x14ac:dyDescent="0.25">
      <c r="A808" s="14"/>
      <c r="B808" s="14"/>
      <c r="C808" s="14"/>
      <c r="D808" s="14"/>
      <c r="E808" s="122"/>
      <c r="F808" s="14"/>
      <c r="G808" s="14"/>
      <c r="H808" s="14"/>
      <c r="I808" s="14"/>
      <c r="J808" s="14"/>
      <c r="K808" s="7"/>
      <c r="L808" s="14"/>
      <c r="M808" s="7"/>
      <c r="N808" s="14"/>
      <c r="O808" s="14"/>
      <c r="P808" s="7"/>
      <c r="Q808" s="21"/>
      <c r="R808" s="14"/>
      <c r="S808" s="14"/>
      <c r="T808" s="14"/>
      <c r="U808" s="14"/>
      <c r="V808" s="14"/>
      <c r="W808" s="14"/>
      <c r="X808" s="14"/>
      <c r="Y808" s="13"/>
      <c r="Z808" s="14"/>
    </row>
    <row r="809" spans="1:26" ht="14.25" customHeight="1" x14ac:dyDescent="0.25">
      <c r="A809" s="14"/>
      <c r="B809" s="14"/>
      <c r="C809" s="14"/>
      <c r="D809" s="14"/>
      <c r="E809" s="122"/>
      <c r="F809" s="14"/>
      <c r="G809" s="14"/>
      <c r="H809" s="14"/>
      <c r="I809" s="14"/>
      <c r="J809" s="14"/>
      <c r="K809" s="7"/>
      <c r="L809" s="14"/>
      <c r="M809" s="7"/>
      <c r="N809" s="14"/>
      <c r="O809" s="14"/>
      <c r="P809" s="7"/>
      <c r="Q809" s="21"/>
      <c r="R809" s="14"/>
      <c r="S809" s="14"/>
      <c r="T809" s="14"/>
      <c r="U809" s="14"/>
      <c r="V809" s="14"/>
      <c r="W809" s="14"/>
      <c r="X809" s="14"/>
      <c r="Y809" s="13"/>
      <c r="Z809" s="14"/>
    </row>
    <row r="810" spans="1:26" ht="14.25" customHeight="1" x14ac:dyDescent="0.25">
      <c r="A810" s="14"/>
      <c r="B810" s="14"/>
      <c r="C810" s="14"/>
      <c r="D810" s="14"/>
      <c r="E810" s="122"/>
      <c r="F810" s="14"/>
      <c r="G810" s="14"/>
      <c r="H810" s="14"/>
      <c r="I810" s="14"/>
      <c r="J810" s="14"/>
      <c r="K810" s="7"/>
      <c r="L810" s="14"/>
      <c r="M810" s="7"/>
      <c r="N810" s="14"/>
      <c r="O810" s="14"/>
      <c r="P810" s="7"/>
      <c r="Q810" s="21"/>
      <c r="R810" s="14"/>
      <c r="S810" s="14"/>
      <c r="T810" s="14"/>
      <c r="U810" s="14"/>
      <c r="V810" s="14"/>
      <c r="W810" s="14"/>
      <c r="X810" s="14"/>
      <c r="Y810" s="13"/>
      <c r="Z810" s="14"/>
    </row>
    <row r="811" spans="1:26" ht="14.25" customHeight="1" x14ac:dyDescent="0.25">
      <c r="A811" s="14"/>
      <c r="B811" s="14"/>
      <c r="C811" s="14"/>
      <c r="D811" s="14"/>
      <c r="E811" s="122"/>
      <c r="F811" s="14"/>
      <c r="G811" s="14"/>
      <c r="H811" s="14"/>
      <c r="I811" s="14"/>
      <c r="J811" s="14"/>
      <c r="K811" s="7"/>
      <c r="L811" s="14"/>
      <c r="M811" s="7"/>
      <c r="N811" s="14"/>
      <c r="O811" s="14"/>
      <c r="P811" s="7"/>
      <c r="Q811" s="21"/>
      <c r="R811" s="14"/>
      <c r="S811" s="14"/>
      <c r="T811" s="14"/>
      <c r="U811" s="14"/>
      <c r="V811" s="14"/>
      <c r="W811" s="14"/>
      <c r="X811" s="14"/>
      <c r="Y811" s="13"/>
      <c r="Z811" s="14"/>
    </row>
    <row r="812" spans="1:26" ht="14.25" customHeight="1" x14ac:dyDescent="0.25">
      <c r="A812" s="14"/>
      <c r="B812" s="14"/>
      <c r="C812" s="14"/>
      <c r="D812" s="14"/>
      <c r="E812" s="122"/>
      <c r="F812" s="14"/>
      <c r="G812" s="14"/>
      <c r="H812" s="14"/>
      <c r="I812" s="14"/>
      <c r="J812" s="14"/>
      <c r="K812" s="7"/>
      <c r="L812" s="14"/>
      <c r="M812" s="7"/>
      <c r="N812" s="14"/>
      <c r="O812" s="14"/>
      <c r="P812" s="7"/>
      <c r="Q812" s="21"/>
      <c r="R812" s="14"/>
      <c r="S812" s="14"/>
      <c r="T812" s="14"/>
      <c r="U812" s="14"/>
      <c r="V812" s="14"/>
      <c r="W812" s="14"/>
      <c r="X812" s="14"/>
      <c r="Y812" s="13"/>
      <c r="Z812" s="14"/>
    </row>
    <row r="813" spans="1:26" ht="14.25" customHeight="1" x14ac:dyDescent="0.25">
      <c r="A813" s="14"/>
      <c r="B813" s="14"/>
      <c r="C813" s="14"/>
      <c r="D813" s="14"/>
      <c r="E813" s="122"/>
      <c r="F813" s="14"/>
      <c r="G813" s="14"/>
      <c r="H813" s="14"/>
      <c r="I813" s="14"/>
      <c r="J813" s="14"/>
      <c r="K813" s="7"/>
      <c r="L813" s="14"/>
      <c r="M813" s="7"/>
      <c r="N813" s="14"/>
      <c r="O813" s="14"/>
      <c r="P813" s="7"/>
      <c r="Q813" s="21"/>
      <c r="R813" s="14"/>
      <c r="S813" s="14"/>
      <c r="T813" s="14"/>
      <c r="U813" s="14"/>
      <c r="V813" s="14"/>
      <c r="W813" s="14"/>
      <c r="X813" s="14"/>
      <c r="Y813" s="13"/>
      <c r="Z813" s="14"/>
    </row>
    <row r="814" spans="1:26" ht="14.25" customHeight="1" x14ac:dyDescent="0.25">
      <c r="A814" s="14"/>
      <c r="B814" s="14"/>
      <c r="C814" s="14"/>
      <c r="D814" s="14"/>
      <c r="E814" s="122"/>
      <c r="F814" s="14"/>
      <c r="G814" s="14"/>
      <c r="H814" s="14"/>
      <c r="I814" s="14"/>
      <c r="J814" s="14"/>
      <c r="K814" s="7"/>
      <c r="L814" s="14"/>
      <c r="M814" s="7"/>
      <c r="N814" s="14"/>
      <c r="O814" s="14"/>
      <c r="P814" s="7"/>
      <c r="Q814" s="21"/>
      <c r="R814" s="14"/>
      <c r="S814" s="14"/>
      <c r="T814" s="14"/>
      <c r="U814" s="14"/>
      <c r="V814" s="14"/>
      <c r="W814" s="14"/>
      <c r="X814" s="14"/>
      <c r="Y814" s="13"/>
      <c r="Z814" s="14"/>
    </row>
    <row r="815" spans="1:26" ht="14.25" customHeight="1" x14ac:dyDescent="0.25">
      <c r="A815" s="14"/>
      <c r="B815" s="14"/>
      <c r="C815" s="14"/>
      <c r="D815" s="14"/>
      <c r="E815" s="122"/>
      <c r="F815" s="14"/>
      <c r="G815" s="14"/>
      <c r="H815" s="14"/>
      <c r="I815" s="14"/>
      <c r="J815" s="14"/>
      <c r="K815" s="7"/>
      <c r="L815" s="14"/>
      <c r="M815" s="7"/>
      <c r="N815" s="14"/>
      <c r="O815" s="14"/>
      <c r="P815" s="7"/>
      <c r="Q815" s="21"/>
      <c r="R815" s="14"/>
      <c r="S815" s="14"/>
      <c r="T815" s="14"/>
      <c r="U815" s="14"/>
      <c r="V815" s="14"/>
      <c r="W815" s="14"/>
      <c r="X815" s="14"/>
      <c r="Y815" s="13"/>
      <c r="Z815" s="14"/>
    </row>
    <row r="816" spans="1:26" ht="14.25" customHeight="1" x14ac:dyDescent="0.25">
      <c r="A816" s="14"/>
      <c r="B816" s="14"/>
      <c r="C816" s="14"/>
      <c r="D816" s="14"/>
      <c r="E816" s="122"/>
      <c r="F816" s="14"/>
      <c r="G816" s="14"/>
      <c r="H816" s="14"/>
      <c r="I816" s="14"/>
      <c r="J816" s="14"/>
      <c r="K816" s="7"/>
      <c r="L816" s="14"/>
      <c r="M816" s="7"/>
      <c r="N816" s="14"/>
      <c r="O816" s="14"/>
      <c r="P816" s="7"/>
      <c r="Q816" s="21"/>
      <c r="R816" s="14"/>
      <c r="S816" s="14"/>
      <c r="T816" s="14"/>
      <c r="U816" s="14"/>
      <c r="V816" s="14"/>
      <c r="W816" s="14"/>
      <c r="X816" s="14"/>
      <c r="Y816" s="13"/>
      <c r="Z816" s="14"/>
    </row>
    <row r="817" spans="1:26" ht="14.25" customHeight="1" x14ac:dyDescent="0.25">
      <c r="A817" s="14"/>
      <c r="B817" s="14"/>
      <c r="C817" s="14"/>
      <c r="D817" s="14"/>
      <c r="E817" s="122"/>
      <c r="F817" s="14"/>
      <c r="G817" s="14"/>
      <c r="H817" s="14"/>
      <c r="I817" s="14"/>
      <c r="J817" s="14"/>
      <c r="K817" s="7"/>
      <c r="L817" s="14"/>
      <c r="M817" s="7"/>
      <c r="N817" s="14"/>
      <c r="O817" s="14"/>
      <c r="P817" s="7"/>
      <c r="Q817" s="21"/>
      <c r="R817" s="14"/>
      <c r="S817" s="14"/>
      <c r="T817" s="14"/>
      <c r="U817" s="14"/>
      <c r="V817" s="14"/>
      <c r="W817" s="14"/>
      <c r="X817" s="14"/>
      <c r="Y817" s="13"/>
      <c r="Z817" s="14"/>
    </row>
    <row r="818" spans="1:26" ht="14.25" customHeight="1" x14ac:dyDescent="0.25">
      <c r="A818" s="14"/>
      <c r="B818" s="14"/>
      <c r="C818" s="14"/>
      <c r="D818" s="14"/>
      <c r="E818" s="122"/>
      <c r="F818" s="14"/>
      <c r="G818" s="14"/>
      <c r="H818" s="14"/>
      <c r="I818" s="14"/>
      <c r="J818" s="14"/>
      <c r="K818" s="7"/>
      <c r="L818" s="14"/>
      <c r="M818" s="7"/>
      <c r="N818" s="14"/>
      <c r="O818" s="14"/>
      <c r="P818" s="7"/>
      <c r="Q818" s="21"/>
      <c r="R818" s="14"/>
      <c r="S818" s="14"/>
      <c r="T818" s="14"/>
      <c r="U818" s="14"/>
      <c r="V818" s="14"/>
      <c r="W818" s="14"/>
      <c r="X818" s="14"/>
      <c r="Y818" s="13"/>
      <c r="Z818" s="14"/>
    </row>
    <row r="819" spans="1:26" ht="14.25" customHeight="1" x14ac:dyDescent="0.25">
      <c r="A819" s="14"/>
      <c r="B819" s="14"/>
      <c r="C819" s="14"/>
      <c r="D819" s="14"/>
      <c r="E819" s="122"/>
      <c r="F819" s="14"/>
      <c r="G819" s="14"/>
      <c r="H819" s="14"/>
      <c r="I819" s="14"/>
      <c r="J819" s="14"/>
      <c r="K819" s="7"/>
      <c r="L819" s="14"/>
      <c r="M819" s="7"/>
      <c r="N819" s="14"/>
      <c r="O819" s="14"/>
      <c r="P819" s="7"/>
      <c r="Q819" s="21"/>
      <c r="R819" s="14"/>
      <c r="S819" s="14"/>
      <c r="T819" s="14"/>
      <c r="U819" s="14"/>
      <c r="V819" s="14"/>
      <c r="W819" s="14"/>
      <c r="X819" s="14"/>
      <c r="Y819" s="13"/>
      <c r="Z819" s="14"/>
    </row>
    <row r="820" spans="1:26" ht="14.25" customHeight="1" x14ac:dyDescent="0.25">
      <c r="A820" s="14"/>
      <c r="B820" s="14"/>
      <c r="C820" s="14"/>
      <c r="D820" s="14"/>
      <c r="E820" s="122"/>
      <c r="F820" s="14"/>
      <c r="G820" s="14"/>
      <c r="H820" s="14"/>
      <c r="I820" s="14"/>
      <c r="J820" s="14"/>
      <c r="K820" s="7"/>
      <c r="L820" s="14"/>
      <c r="M820" s="7"/>
      <c r="N820" s="14"/>
      <c r="O820" s="14"/>
      <c r="P820" s="7"/>
      <c r="Q820" s="21"/>
      <c r="R820" s="14"/>
      <c r="S820" s="14"/>
      <c r="T820" s="14"/>
      <c r="U820" s="14"/>
      <c r="V820" s="14"/>
      <c r="W820" s="14"/>
      <c r="X820" s="14"/>
      <c r="Y820" s="13"/>
      <c r="Z820" s="14"/>
    </row>
    <row r="821" spans="1:26" ht="14.25" customHeight="1" x14ac:dyDescent="0.25">
      <c r="A821" s="14"/>
      <c r="B821" s="14"/>
      <c r="C821" s="14"/>
      <c r="D821" s="14"/>
      <c r="E821" s="122"/>
      <c r="F821" s="14"/>
      <c r="G821" s="14"/>
      <c r="H821" s="14"/>
      <c r="I821" s="14"/>
      <c r="J821" s="14"/>
      <c r="K821" s="7"/>
      <c r="L821" s="14"/>
      <c r="M821" s="7"/>
      <c r="N821" s="14"/>
      <c r="O821" s="14"/>
      <c r="P821" s="7"/>
      <c r="Q821" s="21"/>
      <c r="R821" s="14"/>
      <c r="S821" s="14"/>
      <c r="T821" s="14"/>
      <c r="U821" s="14"/>
      <c r="V821" s="14"/>
      <c r="W821" s="14"/>
      <c r="X821" s="14"/>
      <c r="Y821" s="13"/>
      <c r="Z821" s="14"/>
    </row>
    <row r="822" spans="1:26" ht="14.25" customHeight="1" x14ac:dyDescent="0.25">
      <c r="A822" s="14"/>
      <c r="B822" s="14"/>
      <c r="C822" s="14"/>
      <c r="D822" s="14"/>
      <c r="E822" s="122"/>
      <c r="F822" s="14"/>
      <c r="G822" s="14"/>
      <c r="H822" s="14"/>
      <c r="I822" s="14"/>
      <c r="J822" s="14"/>
      <c r="K822" s="7"/>
      <c r="L822" s="14"/>
      <c r="M822" s="7"/>
      <c r="N822" s="14"/>
      <c r="O822" s="14"/>
      <c r="P822" s="7"/>
      <c r="Q822" s="21"/>
      <c r="R822" s="14"/>
      <c r="S822" s="14"/>
      <c r="T822" s="14"/>
      <c r="U822" s="14"/>
      <c r="V822" s="14"/>
      <c r="W822" s="14"/>
      <c r="X822" s="14"/>
      <c r="Y822" s="13"/>
      <c r="Z822" s="14"/>
    </row>
    <row r="823" spans="1:26" ht="14.25" customHeight="1" x14ac:dyDescent="0.25">
      <c r="A823" s="14"/>
      <c r="B823" s="14"/>
      <c r="C823" s="14"/>
      <c r="D823" s="14"/>
      <c r="E823" s="122"/>
      <c r="F823" s="14"/>
      <c r="G823" s="14"/>
      <c r="H823" s="14"/>
      <c r="I823" s="14"/>
      <c r="J823" s="14"/>
      <c r="K823" s="7"/>
      <c r="L823" s="14"/>
      <c r="M823" s="7"/>
      <c r="N823" s="14"/>
      <c r="O823" s="14"/>
      <c r="P823" s="7"/>
      <c r="Q823" s="21"/>
      <c r="R823" s="14"/>
      <c r="S823" s="14"/>
      <c r="T823" s="14"/>
      <c r="U823" s="14"/>
      <c r="V823" s="14"/>
      <c r="W823" s="14"/>
      <c r="X823" s="14"/>
      <c r="Y823" s="13"/>
      <c r="Z823" s="14"/>
    </row>
    <row r="824" spans="1:26" ht="14.25" customHeight="1" x14ac:dyDescent="0.25">
      <c r="A824" s="14"/>
      <c r="B824" s="14"/>
      <c r="C824" s="14"/>
      <c r="D824" s="14"/>
      <c r="E824" s="122"/>
      <c r="F824" s="14"/>
      <c r="G824" s="14"/>
      <c r="H824" s="14"/>
      <c r="I824" s="14"/>
      <c r="J824" s="14"/>
      <c r="K824" s="7"/>
      <c r="L824" s="14"/>
      <c r="M824" s="7"/>
      <c r="N824" s="14"/>
      <c r="O824" s="14"/>
      <c r="P824" s="7"/>
      <c r="Q824" s="21"/>
      <c r="R824" s="14"/>
      <c r="S824" s="14"/>
      <c r="T824" s="14"/>
      <c r="U824" s="14"/>
      <c r="V824" s="14"/>
      <c r="W824" s="14"/>
      <c r="X824" s="14"/>
      <c r="Y824" s="13"/>
      <c r="Z824" s="14"/>
    </row>
    <row r="825" spans="1:26" ht="14.25" customHeight="1" x14ac:dyDescent="0.25">
      <c r="A825" s="14"/>
      <c r="B825" s="14"/>
      <c r="C825" s="14"/>
      <c r="D825" s="14"/>
      <c r="E825" s="122"/>
      <c r="F825" s="14"/>
      <c r="G825" s="14"/>
      <c r="H825" s="14"/>
      <c r="I825" s="14"/>
      <c r="J825" s="14"/>
      <c r="K825" s="7"/>
      <c r="L825" s="14"/>
      <c r="M825" s="7"/>
      <c r="N825" s="14"/>
      <c r="O825" s="14"/>
      <c r="P825" s="7"/>
      <c r="Q825" s="21"/>
      <c r="R825" s="14"/>
      <c r="S825" s="14"/>
      <c r="T825" s="14"/>
      <c r="U825" s="14"/>
      <c r="V825" s="14"/>
      <c r="W825" s="14"/>
      <c r="X825" s="14"/>
      <c r="Y825" s="13"/>
      <c r="Z825" s="14"/>
    </row>
    <row r="826" spans="1:26" ht="14.25" customHeight="1" x14ac:dyDescent="0.25">
      <c r="A826" s="14"/>
      <c r="B826" s="14"/>
      <c r="C826" s="14"/>
      <c r="D826" s="14"/>
      <c r="E826" s="122"/>
      <c r="F826" s="14"/>
      <c r="G826" s="14"/>
      <c r="H826" s="14"/>
      <c r="I826" s="14"/>
      <c r="J826" s="14"/>
      <c r="K826" s="7"/>
      <c r="L826" s="14"/>
      <c r="M826" s="7"/>
      <c r="N826" s="14"/>
      <c r="O826" s="14"/>
      <c r="P826" s="7"/>
      <c r="Q826" s="21"/>
      <c r="R826" s="14"/>
      <c r="S826" s="14"/>
      <c r="T826" s="14"/>
      <c r="U826" s="14"/>
      <c r="V826" s="14"/>
      <c r="W826" s="14"/>
      <c r="X826" s="14"/>
      <c r="Y826" s="13"/>
      <c r="Z826" s="14"/>
    </row>
    <row r="827" spans="1:26" ht="14.25" customHeight="1" x14ac:dyDescent="0.25">
      <c r="A827" s="14"/>
      <c r="B827" s="14"/>
      <c r="C827" s="14"/>
      <c r="D827" s="14"/>
      <c r="E827" s="122"/>
      <c r="F827" s="14"/>
      <c r="G827" s="14"/>
      <c r="H827" s="14"/>
      <c r="I827" s="14"/>
      <c r="J827" s="14"/>
      <c r="K827" s="7"/>
      <c r="L827" s="14"/>
      <c r="M827" s="7"/>
      <c r="N827" s="14"/>
      <c r="O827" s="14"/>
      <c r="P827" s="7"/>
      <c r="Q827" s="21"/>
      <c r="R827" s="14"/>
      <c r="S827" s="14"/>
      <c r="T827" s="14"/>
      <c r="U827" s="14"/>
      <c r="V827" s="14"/>
      <c r="W827" s="14"/>
      <c r="X827" s="14"/>
      <c r="Y827" s="13"/>
      <c r="Z827" s="14"/>
    </row>
    <row r="828" spans="1:26" ht="14.25" customHeight="1" x14ac:dyDescent="0.25">
      <c r="A828" s="14"/>
      <c r="B828" s="14"/>
      <c r="C828" s="14"/>
      <c r="D828" s="14"/>
      <c r="E828" s="122"/>
      <c r="F828" s="14"/>
      <c r="G828" s="14"/>
      <c r="H828" s="14"/>
      <c r="I828" s="14"/>
      <c r="J828" s="14"/>
      <c r="K828" s="7"/>
      <c r="L828" s="14"/>
      <c r="M828" s="7"/>
      <c r="N828" s="14"/>
      <c r="O828" s="14"/>
      <c r="P828" s="7"/>
      <c r="Q828" s="21"/>
      <c r="R828" s="14"/>
      <c r="S828" s="14"/>
      <c r="T828" s="14"/>
      <c r="U828" s="14"/>
      <c r="V828" s="14"/>
      <c r="W828" s="14"/>
      <c r="X828" s="14"/>
      <c r="Y828" s="13"/>
      <c r="Z828" s="14"/>
    </row>
    <row r="829" spans="1:26" ht="14.25" customHeight="1" x14ac:dyDescent="0.25">
      <c r="A829" s="14"/>
      <c r="B829" s="14"/>
      <c r="C829" s="14"/>
      <c r="D829" s="14"/>
      <c r="E829" s="122"/>
      <c r="F829" s="14"/>
      <c r="G829" s="14"/>
      <c r="H829" s="14"/>
      <c r="I829" s="14"/>
      <c r="J829" s="14"/>
      <c r="K829" s="7"/>
      <c r="L829" s="14"/>
      <c r="M829" s="7"/>
      <c r="N829" s="14"/>
      <c r="O829" s="14"/>
      <c r="P829" s="7"/>
      <c r="Q829" s="21"/>
      <c r="R829" s="14"/>
      <c r="S829" s="14"/>
      <c r="T829" s="14"/>
      <c r="U829" s="14"/>
      <c r="V829" s="14"/>
      <c r="W829" s="14"/>
      <c r="X829" s="14"/>
      <c r="Y829" s="13"/>
      <c r="Z829" s="14"/>
    </row>
    <row r="830" spans="1:26" ht="14.25" customHeight="1" x14ac:dyDescent="0.25">
      <c r="A830" s="14"/>
      <c r="B830" s="14"/>
      <c r="C830" s="14"/>
      <c r="D830" s="14"/>
      <c r="E830" s="122"/>
      <c r="F830" s="14"/>
      <c r="G830" s="14"/>
      <c r="H830" s="14"/>
      <c r="I830" s="14"/>
      <c r="J830" s="14"/>
      <c r="K830" s="7"/>
      <c r="L830" s="14"/>
      <c r="M830" s="7"/>
      <c r="N830" s="14"/>
      <c r="O830" s="14"/>
      <c r="P830" s="7"/>
      <c r="Q830" s="21"/>
      <c r="R830" s="14"/>
      <c r="S830" s="14"/>
      <c r="T830" s="14"/>
      <c r="U830" s="14"/>
      <c r="V830" s="14"/>
      <c r="W830" s="14"/>
      <c r="X830" s="14"/>
      <c r="Y830" s="13"/>
      <c r="Z830" s="14"/>
    </row>
    <row r="831" spans="1:26" ht="14.25" customHeight="1" x14ac:dyDescent="0.25">
      <c r="A831" s="14"/>
      <c r="B831" s="14"/>
      <c r="C831" s="14"/>
      <c r="D831" s="14"/>
      <c r="E831" s="122"/>
      <c r="F831" s="14"/>
      <c r="G831" s="14"/>
      <c r="H831" s="14"/>
      <c r="I831" s="14"/>
      <c r="J831" s="14"/>
      <c r="K831" s="7"/>
      <c r="L831" s="14"/>
      <c r="M831" s="7"/>
      <c r="N831" s="14"/>
      <c r="O831" s="14"/>
      <c r="P831" s="7"/>
      <c r="Q831" s="21"/>
      <c r="R831" s="14"/>
      <c r="S831" s="14"/>
      <c r="T831" s="14"/>
      <c r="U831" s="14"/>
      <c r="V831" s="14"/>
      <c r="W831" s="14"/>
      <c r="X831" s="14"/>
      <c r="Y831" s="13"/>
      <c r="Z831" s="14"/>
    </row>
    <row r="832" spans="1:26" ht="14.25" customHeight="1" x14ac:dyDescent="0.25">
      <c r="A832" s="14"/>
      <c r="B832" s="14"/>
      <c r="C832" s="14"/>
      <c r="D832" s="14"/>
      <c r="E832" s="122"/>
      <c r="F832" s="14"/>
      <c r="G832" s="14"/>
      <c r="H832" s="14"/>
      <c r="I832" s="14"/>
      <c r="J832" s="14"/>
      <c r="K832" s="7"/>
      <c r="L832" s="14"/>
      <c r="M832" s="7"/>
      <c r="N832" s="14"/>
      <c r="O832" s="14"/>
      <c r="P832" s="7"/>
      <c r="Q832" s="21"/>
      <c r="R832" s="14"/>
      <c r="S832" s="14"/>
      <c r="T832" s="14"/>
      <c r="U832" s="14"/>
      <c r="V832" s="14"/>
      <c r="W832" s="14"/>
      <c r="X832" s="14"/>
      <c r="Y832" s="13"/>
      <c r="Z832" s="14"/>
    </row>
    <row r="833" spans="1:26" ht="14.25" customHeight="1" x14ac:dyDescent="0.25">
      <c r="A833" s="14"/>
      <c r="B833" s="14"/>
      <c r="C833" s="14"/>
      <c r="D833" s="14"/>
      <c r="E833" s="122"/>
      <c r="F833" s="14"/>
      <c r="G833" s="14"/>
      <c r="H833" s="14"/>
      <c r="I833" s="14"/>
      <c r="J833" s="14"/>
      <c r="K833" s="7"/>
      <c r="L833" s="14"/>
      <c r="M833" s="7"/>
      <c r="N833" s="14"/>
      <c r="O833" s="14"/>
      <c r="P833" s="7"/>
      <c r="Q833" s="21"/>
      <c r="R833" s="14"/>
      <c r="S833" s="14"/>
      <c r="T833" s="14"/>
      <c r="U833" s="14"/>
      <c r="V833" s="14"/>
      <c r="W833" s="14"/>
      <c r="X833" s="14"/>
      <c r="Y833" s="13"/>
      <c r="Z833" s="14"/>
    </row>
    <row r="834" spans="1:26" ht="14.25" customHeight="1" x14ac:dyDescent="0.25">
      <c r="A834" s="14"/>
      <c r="B834" s="14"/>
      <c r="C834" s="14"/>
      <c r="D834" s="14"/>
      <c r="E834" s="122"/>
      <c r="F834" s="14"/>
      <c r="G834" s="14"/>
      <c r="H834" s="14"/>
      <c r="I834" s="14"/>
      <c r="J834" s="14"/>
      <c r="K834" s="7"/>
      <c r="L834" s="14"/>
      <c r="M834" s="7"/>
      <c r="N834" s="14"/>
      <c r="O834" s="14"/>
      <c r="P834" s="7"/>
      <c r="Q834" s="21"/>
      <c r="R834" s="14"/>
      <c r="S834" s="14"/>
      <c r="T834" s="14"/>
      <c r="U834" s="14"/>
      <c r="V834" s="14"/>
      <c r="W834" s="14"/>
      <c r="X834" s="14"/>
      <c r="Y834" s="13"/>
      <c r="Z834" s="14"/>
    </row>
    <row r="835" spans="1:26" ht="14.25" customHeight="1" x14ac:dyDescent="0.25">
      <c r="A835" s="14"/>
      <c r="B835" s="14"/>
      <c r="C835" s="14"/>
      <c r="D835" s="14"/>
      <c r="E835" s="122"/>
      <c r="F835" s="14"/>
      <c r="G835" s="14"/>
      <c r="H835" s="14"/>
      <c r="I835" s="14"/>
      <c r="J835" s="14"/>
      <c r="K835" s="7"/>
      <c r="L835" s="14"/>
      <c r="M835" s="7"/>
      <c r="N835" s="14"/>
      <c r="O835" s="14"/>
      <c r="P835" s="7"/>
      <c r="Q835" s="21"/>
      <c r="R835" s="14"/>
      <c r="S835" s="14"/>
      <c r="T835" s="14"/>
      <c r="U835" s="14"/>
      <c r="V835" s="14"/>
      <c r="W835" s="14"/>
      <c r="X835" s="14"/>
      <c r="Y835" s="13"/>
      <c r="Z835" s="14"/>
    </row>
    <row r="836" spans="1:26" ht="14.25" customHeight="1" x14ac:dyDescent="0.25">
      <c r="A836" s="14"/>
      <c r="B836" s="14"/>
      <c r="C836" s="14"/>
      <c r="D836" s="14"/>
      <c r="E836" s="122"/>
      <c r="F836" s="14"/>
      <c r="G836" s="14"/>
      <c r="H836" s="14"/>
      <c r="I836" s="14"/>
      <c r="J836" s="14"/>
      <c r="K836" s="7"/>
      <c r="L836" s="14"/>
      <c r="M836" s="7"/>
      <c r="N836" s="14"/>
      <c r="O836" s="14"/>
      <c r="P836" s="7"/>
      <c r="Q836" s="21"/>
      <c r="R836" s="14"/>
      <c r="S836" s="14"/>
      <c r="T836" s="14"/>
      <c r="U836" s="14"/>
      <c r="V836" s="14"/>
      <c r="W836" s="14"/>
      <c r="X836" s="14"/>
      <c r="Y836" s="13"/>
      <c r="Z836" s="14"/>
    </row>
    <row r="837" spans="1:26" ht="14.25" customHeight="1" x14ac:dyDescent="0.25">
      <c r="A837" s="14"/>
      <c r="B837" s="14"/>
      <c r="C837" s="14"/>
      <c r="D837" s="14"/>
      <c r="E837" s="122"/>
      <c r="F837" s="14"/>
      <c r="G837" s="14"/>
      <c r="H837" s="14"/>
      <c r="I837" s="14"/>
      <c r="J837" s="14"/>
      <c r="K837" s="7"/>
      <c r="L837" s="14"/>
      <c r="M837" s="7"/>
      <c r="N837" s="14"/>
      <c r="O837" s="14"/>
      <c r="P837" s="7"/>
      <c r="Q837" s="21"/>
      <c r="R837" s="14"/>
      <c r="S837" s="14"/>
      <c r="T837" s="14"/>
      <c r="U837" s="14"/>
      <c r="V837" s="14"/>
      <c r="W837" s="14"/>
      <c r="X837" s="14"/>
      <c r="Y837" s="13"/>
      <c r="Z837" s="14"/>
    </row>
    <row r="838" spans="1:26" ht="14.25" customHeight="1" x14ac:dyDescent="0.25">
      <c r="A838" s="14"/>
      <c r="B838" s="14"/>
      <c r="C838" s="14"/>
      <c r="D838" s="14"/>
      <c r="E838" s="122"/>
      <c r="F838" s="14"/>
      <c r="G838" s="14"/>
      <c r="H838" s="14"/>
      <c r="I838" s="14"/>
      <c r="J838" s="14"/>
      <c r="K838" s="7"/>
      <c r="L838" s="14"/>
      <c r="M838" s="7"/>
      <c r="N838" s="14"/>
      <c r="O838" s="14"/>
      <c r="P838" s="7"/>
      <c r="Q838" s="21"/>
      <c r="R838" s="14"/>
      <c r="S838" s="14"/>
      <c r="T838" s="14"/>
      <c r="U838" s="14"/>
      <c r="V838" s="14"/>
      <c r="W838" s="14"/>
      <c r="X838" s="14"/>
      <c r="Y838" s="13"/>
      <c r="Z838" s="14"/>
    </row>
    <row r="839" spans="1:26" ht="14.25" customHeight="1" x14ac:dyDescent="0.25">
      <c r="A839" s="14"/>
      <c r="B839" s="14"/>
      <c r="C839" s="14"/>
      <c r="D839" s="14"/>
      <c r="E839" s="122"/>
      <c r="F839" s="14"/>
      <c r="G839" s="14"/>
      <c r="H839" s="14"/>
      <c r="I839" s="14"/>
      <c r="J839" s="14"/>
      <c r="K839" s="7"/>
      <c r="L839" s="14"/>
      <c r="M839" s="7"/>
      <c r="N839" s="14"/>
      <c r="O839" s="14"/>
      <c r="P839" s="7"/>
      <c r="Q839" s="21"/>
      <c r="R839" s="14"/>
      <c r="S839" s="14"/>
      <c r="T839" s="14"/>
      <c r="U839" s="14"/>
      <c r="V839" s="14"/>
      <c r="W839" s="14"/>
      <c r="X839" s="14"/>
      <c r="Y839" s="13"/>
      <c r="Z839" s="14"/>
    </row>
    <row r="840" spans="1:26" ht="14.25" customHeight="1" x14ac:dyDescent="0.25">
      <c r="A840" s="14"/>
      <c r="B840" s="14"/>
      <c r="C840" s="14"/>
      <c r="D840" s="14"/>
      <c r="E840" s="122"/>
      <c r="F840" s="14"/>
      <c r="G840" s="14"/>
      <c r="H840" s="14"/>
      <c r="I840" s="14"/>
      <c r="J840" s="14"/>
      <c r="K840" s="7"/>
      <c r="L840" s="14"/>
      <c r="M840" s="7"/>
      <c r="N840" s="14"/>
      <c r="O840" s="14"/>
      <c r="P840" s="7"/>
      <c r="Q840" s="21"/>
      <c r="R840" s="14"/>
      <c r="S840" s="14"/>
      <c r="T840" s="14"/>
      <c r="U840" s="14"/>
      <c r="V840" s="14"/>
      <c r="W840" s="14"/>
      <c r="X840" s="14"/>
      <c r="Y840" s="13"/>
      <c r="Z840" s="14"/>
    </row>
    <row r="841" spans="1:26" ht="14.25" customHeight="1" x14ac:dyDescent="0.25">
      <c r="A841" s="14"/>
      <c r="B841" s="14"/>
      <c r="C841" s="14"/>
      <c r="D841" s="14"/>
      <c r="E841" s="122"/>
      <c r="F841" s="14"/>
      <c r="G841" s="14"/>
      <c r="H841" s="14"/>
      <c r="I841" s="14"/>
      <c r="J841" s="14"/>
      <c r="K841" s="7"/>
      <c r="L841" s="14"/>
      <c r="M841" s="7"/>
      <c r="N841" s="14"/>
      <c r="O841" s="14"/>
      <c r="P841" s="7"/>
      <c r="Q841" s="21"/>
      <c r="R841" s="14"/>
      <c r="S841" s="14"/>
      <c r="T841" s="14"/>
      <c r="U841" s="14"/>
      <c r="V841" s="14"/>
      <c r="W841" s="14"/>
      <c r="X841" s="14"/>
      <c r="Y841" s="13"/>
      <c r="Z841" s="14"/>
    </row>
    <row r="842" spans="1:26" ht="14.25" customHeight="1" x14ac:dyDescent="0.25">
      <c r="A842" s="14"/>
      <c r="B842" s="14"/>
      <c r="C842" s="14"/>
      <c r="D842" s="14"/>
      <c r="E842" s="122"/>
      <c r="F842" s="14"/>
      <c r="G842" s="14"/>
      <c r="H842" s="14"/>
      <c r="I842" s="14"/>
      <c r="J842" s="14"/>
      <c r="K842" s="7"/>
      <c r="L842" s="14"/>
      <c r="M842" s="7"/>
      <c r="N842" s="14"/>
      <c r="O842" s="14"/>
      <c r="P842" s="7"/>
      <c r="Q842" s="21"/>
      <c r="R842" s="14"/>
      <c r="S842" s="14"/>
      <c r="T842" s="14"/>
      <c r="U842" s="14"/>
      <c r="V842" s="14"/>
      <c r="W842" s="14"/>
      <c r="X842" s="14"/>
      <c r="Y842" s="13"/>
      <c r="Z842" s="14"/>
    </row>
    <row r="843" spans="1:26" ht="14.25" customHeight="1" x14ac:dyDescent="0.25">
      <c r="A843" s="14"/>
      <c r="B843" s="14"/>
      <c r="C843" s="14"/>
      <c r="D843" s="14"/>
      <c r="E843" s="122"/>
      <c r="F843" s="14"/>
      <c r="G843" s="14"/>
      <c r="H843" s="14"/>
      <c r="I843" s="14"/>
      <c r="J843" s="14"/>
      <c r="K843" s="7"/>
      <c r="L843" s="14"/>
      <c r="M843" s="7"/>
      <c r="N843" s="14"/>
      <c r="O843" s="14"/>
      <c r="P843" s="7"/>
      <c r="Q843" s="21"/>
      <c r="R843" s="14"/>
      <c r="S843" s="14"/>
      <c r="T843" s="14"/>
      <c r="U843" s="14"/>
      <c r="V843" s="14"/>
      <c r="W843" s="14"/>
      <c r="X843" s="14"/>
      <c r="Y843" s="13"/>
      <c r="Z843" s="14"/>
    </row>
    <row r="844" spans="1:26" ht="14.25" customHeight="1" x14ac:dyDescent="0.25">
      <c r="A844" s="14"/>
      <c r="B844" s="14"/>
      <c r="C844" s="14"/>
      <c r="D844" s="14"/>
      <c r="E844" s="122"/>
      <c r="F844" s="14"/>
      <c r="G844" s="14"/>
      <c r="H844" s="14"/>
      <c r="I844" s="14"/>
      <c r="J844" s="14"/>
      <c r="K844" s="7"/>
      <c r="L844" s="14"/>
      <c r="M844" s="7"/>
      <c r="N844" s="14"/>
      <c r="O844" s="14"/>
      <c r="P844" s="7"/>
      <c r="Q844" s="21"/>
      <c r="R844" s="14"/>
      <c r="S844" s="14"/>
      <c r="T844" s="14"/>
      <c r="U844" s="14"/>
      <c r="V844" s="14"/>
      <c r="W844" s="14"/>
      <c r="X844" s="14"/>
      <c r="Y844" s="13"/>
      <c r="Z844" s="14"/>
    </row>
    <row r="845" spans="1:26" ht="14.25" customHeight="1" x14ac:dyDescent="0.25">
      <c r="A845" s="14"/>
      <c r="B845" s="14"/>
      <c r="C845" s="14"/>
      <c r="D845" s="14"/>
      <c r="E845" s="122"/>
      <c r="F845" s="14"/>
      <c r="G845" s="14"/>
      <c r="H845" s="14"/>
      <c r="I845" s="14"/>
      <c r="J845" s="14"/>
      <c r="K845" s="7"/>
      <c r="L845" s="14"/>
      <c r="M845" s="7"/>
      <c r="N845" s="14"/>
      <c r="O845" s="14"/>
      <c r="P845" s="7"/>
      <c r="Q845" s="21"/>
      <c r="R845" s="14"/>
      <c r="S845" s="14"/>
      <c r="T845" s="14"/>
      <c r="U845" s="14"/>
      <c r="V845" s="14"/>
      <c r="W845" s="14"/>
      <c r="X845" s="14"/>
      <c r="Y845" s="13"/>
      <c r="Z845" s="14"/>
    </row>
    <row r="846" spans="1:26" ht="14.25" customHeight="1" x14ac:dyDescent="0.25">
      <c r="A846" s="14"/>
      <c r="B846" s="14"/>
      <c r="C846" s="14"/>
      <c r="D846" s="14"/>
      <c r="E846" s="122"/>
      <c r="F846" s="14"/>
      <c r="G846" s="14"/>
      <c r="H846" s="14"/>
      <c r="I846" s="14"/>
      <c r="J846" s="14"/>
      <c r="K846" s="7"/>
      <c r="L846" s="14"/>
      <c r="M846" s="7"/>
      <c r="N846" s="14"/>
      <c r="O846" s="14"/>
      <c r="P846" s="7"/>
      <c r="Q846" s="21"/>
      <c r="R846" s="14"/>
      <c r="S846" s="14"/>
      <c r="T846" s="14"/>
      <c r="U846" s="14"/>
      <c r="V846" s="14"/>
      <c r="W846" s="14"/>
      <c r="X846" s="14"/>
      <c r="Y846" s="13"/>
      <c r="Z846" s="14"/>
    </row>
    <row r="847" spans="1:26" ht="14.25" customHeight="1" x14ac:dyDescent="0.25">
      <c r="A847" s="14"/>
      <c r="B847" s="14"/>
      <c r="C847" s="14"/>
      <c r="D847" s="14"/>
      <c r="E847" s="122"/>
      <c r="F847" s="14"/>
      <c r="G847" s="14"/>
      <c r="H847" s="14"/>
      <c r="I847" s="14"/>
      <c r="J847" s="14"/>
      <c r="K847" s="7"/>
      <c r="L847" s="14"/>
      <c r="M847" s="7"/>
      <c r="N847" s="14"/>
      <c r="O847" s="14"/>
      <c r="P847" s="7"/>
      <c r="Q847" s="21"/>
      <c r="R847" s="14"/>
      <c r="S847" s="14"/>
      <c r="T847" s="14"/>
      <c r="U847" s="14"/>
      <c r="V847" s="14"/>
      <c r="W847" s="14"/>
      <c r="X847" s="14"/>
      <c r="Y847" s="13"/>
      <c r="Z847" s="14"/>
    </row>
    <row r="848" spans="1:26" ht="14.25" customHeight="1" x14ac:dyDescent="0.25">
      <c r="A848" s="14"/>
      <c r="B848" s="14"/>
      <c r="C848" s="14"/>
      <c r="D848" s="14"/>
      <c r="E848" s="122"/>
      <c r="F848" s="14"/>
      <c r="G848" s="14"/>
      <c r="H848" s="14"/>
      <c r="I848" s="14"/>
      <c r="J848" s="14"/>
      <c r="K848" s="7"/>
      <c r="L848" s="14"/>
      <c r="M848" s="7"/>
      <c r="N848" s="14"/>
      <c r="O848" s="14"/>
      <c r="P848" s="7"/>
      <c r="Q848" s="21"/>
      <c r="R848" s="14"/>
      <c r="S848" s="14"/>
      <c r="T848" s="14"/>
      <c r="U848" s="14"/>
      <c r="V848" s="14"/>
      <c r="W848" s="14"/>
      <c r="X848" s="14"/>
      <c r="Y848" s="13"/>
      <c r="Z848" s="14"/>
    </row>
    <row r="849" spans="1:26" ht="14.25" customHeight="1" x14ac:dyDescent="0.25">
      <c r="A849" s="14"/>
      <c r="B849" s="14"/>
      <c r="C849" s="14"/>
      <c r="D849" s="14"/>
      <c r="E849" s="122"/>
      <c r="F849" s="14"/>
      <c r="G849" s="14"/>
      <c r="H849" s="14"/>
      <c r="I849" s="14"/>
      <c r="J849" s="14"/>
      <c r="K849" s="7"/>
      <c r="L849" s="14"/>
      <c r="M849" s="7"/>
      <c r="N849" s="14"/>
      <c r="O849" s="14"/>
      <c r="P849" s="7"/>
      <c r="Q849" s="21"/>
      <c r="R849" s="14"/>
      <c r="S849" s="14"/>
      <c r="T849" s="14"/>
      <c r="U849" s="14"/>
      <c r="V849" s="14"/>
      <c r="W849" s="14"/>
      <c r="X849" s="14"/>
      <c r="Y849" s="13"/>
      <c r="Z849" s="14"/>
    </row>
    <row r="850" spans="1:26" ht="14.25" customHeight="1" x14ac:dyDescent="0.25">
      <c r="A850" s="14"/>
      <c r="B850" s="14"/>
      <c r="C850" s="14"/>
      <c r="D850" s="14"/>
      <c r="E850" s="122"/>
      <c r="F850" s="14"/>
      <c r="G850" s="14"/>
      <c r="H850" s="14"/>
      <c r="I850" s="14"/>
      <c r="J850" s="14"/>
      <c r="K850" s="7"/>
      <c r="L850" s="14"/>
      <c r="M850" s="7"/>
      <c r="N850" s="14"/>
      <c r="O850" s="14"/>
      <c r="P850" s="7"/>
      <c r="Q850" s="21"/>
      <c r="R850" s="14"/>
      <c r="S850" s="14"/>
      <c r="T850" s="14"/>
      <c r="U850" s="14"/>
      <c r="V850" s="14"/>
      <c r="W850" s="14"/>
      <c r="X850" s="14"/>
      <c r="Y850" s="13"/>
      <c r="Z850" s="14"/>
    </row>
    <row r="851" spans="1:26" ht="14.25" customHeight="1" x14ac:dyDescent="0.25">
      <c r="A851" s="14"/>
      <c r="B851" s="14"/>
      <c r="C851" s="14"/>
      <c r="D851" s="14"/>
      <c r="E851" s="122"/>
      <c r="F851" s="14"/>
      <c r="G851" s="14"/>
      <c r="H851" s="14"/>
      <c r="I851" s="14"/>
      <c r="J851" s="14"/>
      <c r="K851" s="7"/>
      <c r="L851" s="14"/>
      <c r="M851" s="7"/>
      <c r="N851" s="14"/>
      <c r="O851" s="14"/>
      <c r="P851" s="7"/>
      <c r="Q851" s="21"/>
      <c r="R851" s="14"/>
      <c r="S851" s="14"/>
      <c r="T851" s="14"/>
      <c r="U851" s="14"/>
      <c r="V851" s="14"/>
      <c r="W851" s="14"/>
      <c r="X851" s="14"/>
      <c r="Y851" s="13"/>
      <c r="Z851" s="14"/>
    </row>
    <row r="852" spans="1:26" ht="14.25" customHeight="1" x14ac:dyDescent="0.25">
      <c r="A852" s="14"/>
      <c r="B852" s="14"/>
      <c r="C852" s="14"/>
      <c r="D852" s="14"/>
      <c r="E852" s="122"/>
      <c r="F852" s="14"/>
      <c r="G852" s="14"/>
      <c r="H852" s="14"/>
      <c r="I852" s="14"/>
      <c r="J852" s="14"/>
      <c r="K852" s="7"/>
      <c r="L852" s="14"/>
      <c r="M852" s="7"/>
      <c r="N852" s="14"/>
      <c r="O852" s="14"/>
      <c r="P852" s="7"/>
      <c r="Q852" s="21"/>
      <c r="R852" s="14"/>
      <c r="S852" s="14"/>
      <c r="T852" s="14"/>
      <c r="U852" s="14"/>
      <c r="V852" s="14"/>
      <c r="W852" s="14"/>
      <c r="X852" s="14"/>
      <c r="Y852" s="13"/>
      <c r="Z852" s="14"/>
    </row>
    <row r="853" spans="1:26" ht="14.25" customHeight="1" x14ac:dyDescent="0.25">
      <c r="A853" s="14"/>
      <c r="B853" s="14"/>
      <c r="C853" s="14"/>
      <c r="D853" s="14"/>
      <c r="E853" s="122"/>
      <c r="F853" s="14"/>
      <c r="G853" s="14"/>
      <c r="H853" s="14"/>
      <c r="I853" s="14"/>
      <c r="J853" s="14"/>
      <c r="K853" s="7"/>
      <c r="L853" s="14"/>
      <c r="M853" s="7"/>
      <c r="N853" s="14"/>
      <c r="O853" s="14"/>
      <c r="P853" s="7"/>
      <c r="Q853" s="21"/>
      <c r="R853" s="14"/>
      <c r="S853" s="14"/>
      <c r="T853" s="14"/>
      <c r="U853" s="14"/>
      <c r="V853" s="14"/>
      <c r="W853" s="14"/>
      <c r="X853" s="14"/>
      <c r="Y853" s="13"/>
      <c r="Z853" s="14"/>
    </row>
    <row r="854" spans="1:26" ht="14.25" customHeight="1" x14ac:dyDescent="0.25">
      <c r="A854" s="14"/>
      <c r="B854" s="14"/>
      <c r="C854" s="14"/>
      <c r="D854" s="14"/>
      <c r="E854" s="122"/>
      <c r="F854" s="14"/>
      <c r="G854" s="14"/>
      <c r="H854" s="14"/>
      <c r="I854" s="14"/>
      <c r="J854" s="14"/>
      <c r="K854" s="7"/>
      <c r="L854" s="14"/>
      <c r="M854" s="7"/>
      <c r="N854" s="14"/>
      <c r="O854" s="14"/>
      <c r="P854" s="7"/>
      <c r="Q854" s="21"/>
      <c r="R854" s="14"/>
      <c r="S854" s="14"/>
      <c r="T854" s="14"/>
      <c r="U854" s="14"/>
      <c r="V854" s="14"/>
      <c r="W854" s="14"/>
      <c r="X854" s="14"/>
      <c r="Y854" s="13"/>
      <c r="Z854" s="14"/>
    </row>
    <row r="855" spans="1:26" ht="14.25" customHeight="1" x14ac:dyDescent="0.25">
      <c r="A855" s="14"/>
      <c r="B855" s="14"/>
      <c r="C855" s="14"/>
      <c r="D855" s="14"/>
      <c r="E855" s="122"/>
      <c r="F855" s="14"/>
      <c r="G855" s="14"/>
      <c r="H855" s="14"/>
      <c r="I855" s="14"/>
      <c r="J855" s="14"/>
      <c r="K855" s="7"/>
      <c r="L855" s="14"/>
      <c r="M855" s="7"/>
      <c r="N855" s="14"/>
      <c r="O855" s="14"/>
      <c r="P855" s="7"/>
      <c r="Q855" s="21"/>
      <c r="R855" s="14"/>
      <c r="S855" s="14"/>
      <c r="T855" s="14"/>
      <c r="U855" s="14"/>
      <c r="V855" s="14"/>
      <c r="W855" s="14"/>
      <c r="X855" s="14"/>
      <c r="Y855" s="13"/>
      <c r="Z855" s="14"/>
    </row>
    <row r="856" spans="1:26" ht="14.25" customHeight="1" x14ac:dyDescent="0.25">
      <c r="A856" s="14"/>
      <c r="B856" s="14"/>
      <c r="C856" s="14"/>
      <c r="D856" s="14"/>
      <c r="E856" s="122"/>
      <c r="F856" s="14"/>
      <c r="G856" s="14"/>
      <c r="H856" s="14"/>
      <c r="I856" s="14"/>
      <c r="J856" s="14"/>
      <c r="K856" s="7"/>
      <c r="L856" s="14"/>
      <c r="M856" s="7"/>
      <c r="N856" s="14"/>
      <c r="O856" s="14"/>
      <c r="P856" s="7"/>
      <c r="Q856" s="21"/>
      <c r="R856" s="14"/>
      <c r="S856" s="14"/>
      <c r="T856" s="14"/>
      <c r="U856" s="14"/>
      <c r="V856" s="14"/>
      <c r="W856" s="14"/>
      <c r="X856" s="14"/>
      <c r="Y856" s="13"/>
      <c r="Z856" s="14"/>
    </row>
    <row r="857" spans="1:26" ht="14.25" customHeight="1" x14ac:dyDescent="0.25">
      <c r="A857" s="14"/>
      <c r="B857" s="14"/>
      <c r="C857" s="14"/>
      <c r="D857" s="14"/>
      <c r="E857" s="122"/>
      <c r="F857" s="14"/>
      <c r="G857" s="14"/>
      <c r="H857" s="14"/>
      <c r="I857" s="14"/>
      <c r="J857" s="14"/>
      <c r="K857" s="7"/>
      <c r="L857" s="14"/>
      <c r="M857" s="7"/>
      <c r="N857" s="14"/>
      <c r="O857" s="14"/>
      <c r="P857" s="7"/>
      <c r="Q857" s="21"/>
      <c r="R857" s="14"/>
      <c r="S857" s="14"/>
      <c r="T857" s="14"/>
      <c r="U857" s="14"/>
      <c r="V857" s="14"/>
      <c r="W857" s="14"/>
      <c r="X857" s="14"/>
      <c r="Y857" s="13"/>
      <c r="Z857" s="14"/>
    </row>
    <row r="858" spans="1:26" ht="14.25" customHeight="1" x14ac:dyDescent="0.25">
      <c r="A858" s="14"/>
      <c r="B858" s="14"/>
      <c r="C858" s="14"/>
      <c r="D858" s="14"/>
      <c r="E858" s="122"/>
      <c r="F858" s="14"/>
      <c r="G858" s="14"/>
      <c r="H858" s="14"/>
      <c r="I858" s="14"/>
      <c r="J858" s="14"/>
      <c r="K858" s="7"/>
      <c r="L858" s="14"/>
      <c r="M858" s="7"/>
      <c r="N858" s="14"/>
      <c r="O858" s="14"/>
      <c r="P858" s="7"/>
      <c r="Q858" s="21"/>
      <c r="R858" s="14"/>
      <c r="S858" s="14"/>
      <c r="T858" s="14"/>
      <c r="U858" s="14"/>
      <c r="V858" s="14"/>
      <c r="W858" s="14"/>
      <c r="X858" s="14"/>
      <c r="Y858" s="13"/>
      <c r="Z858" s="14"/>
    </row>
    <row r="859" spans="1:26" ht="14.25" customHeight="1" x14ac:dyDescent="0.25">
      <c r="A859" s="14"/>
      <c r="B859" s="14"/>
      <c r="C859" s="14"/>
      <c r="D859" s="14"/>
      <c r="E859" s="122"/>
      <c r="F859" s="14"/>
      <c r="G859" s="14"/>
      <c r="H859" s="14"/>
      <c r="I859" s="14"/>
      <c r="J859" s="14"/>
      <c r="K859" s="7"/>
      <c r="L859" s="14"/>
      <c r="M859" s="7"/>
      <c r="N859" s="14"/>
      <c r="O859" s="14"/>
      <c r="P859" s="7"/>
      <c r="Q859" s="21"/>
      <c r="R859" s="14"/>
      <c r="S859" s="14"/>
      <c r="T859" s="14"/>
      <c r="U859" s="14"/>
      <c r="V859" s="14"/>
      <c r="W859" s="14"/>
      <c r="X859" s="14"/>
      <c r="Y859" s="13"/>
      <c r="Z859" s="14"/>
    </row>
    <row r="860" spans="1:26" ht="14.25" customHeight="1" x14ac:dyDescent="0.25">
      <c r="A860" s="14"/>
      <c r="B860" s="14"/>
      <c r="C860" s="14"/>
      <c r="D860" s="14"/>
      <c r="E860" s="122"/>
      <c r="F860" s="14"/>
      <c r="G860" s="14"/>
      <c r="H860" s="14"/>
      <c r="I860" s="14"/>
      <c r="J860" s="14"/>
      <c r="K860" s="7"/>
      <c r="L860" s="14"/>
      <c r="M860" s="7"/>
      <c r="N860" s="14"/>
      <c r="O860" s="14"/>
      <c r="P860" s="7"/>
      <c r="Q860" s="21"/>
      <c r="R860" s="14"/>
      <c r="S860" s="14"/>
      <c r="T860" s="14"/>
      <c r="U860" s="14"/>
      <c r="V860" s="14"/>
      <c r="W860" s="14"/>
      <c r="X860" s="14"/>
      <c r="Y860" s="13"/>
      <c r="Z860" s="14"/>
    </row>
    <row r="861" spans="1:26" ht="14.25" customHeight="1" x14ac:dyDescent="0.25">
      <c r="A861" s="14"/>
      <c r="B861" s="14"/>
      <c r="C861" s="14"/>
      <c r="D861" s="14"/>
      <c r="E861" s="122"/>
      <c r="F861" s="14"/>
      <c r="G861" s="14"/>
      <c r="H861" s="14"/>
      <c r="I861" s="14"/>
      <c r="J861" s="14"/>
      <c r="K861" s="7"/>
      <c r="L861" s="14"/>
      <c r="M861" s="7"/>
      <c r="N861" s="14"/>
      <c r="O861" s="14"/>
      <c r="P861" s="7"/>
      <c r="Q861" s="21"/>
      <c r="R861" s="14"/>
      <c r="S861" s="14"/>
      <c r="T861" s="14"/>
      <c r="U861" s="14"/>
      <c r="V861" s="14"/>
      <c r="W861" s="14"/>
      <c r="X861" s="14"/>
      <c r="Y861" s="13"/>
      <c r="Z861" s="14"/>
    </row>
    <row r="862" spans="1:26" ht="14.25" customHeight="1" x14ac:dyDescent="0.25">
      <c r="A862" s="14"/>
      <c r="B862" s="14"/>
      <c r="C862" s="14"/>
      <c r="D862" s="14"/>
      <c r="E862" s="122"/>
      <c r="F862" s="14"/>
      <c r="G862" s="14"/>
      <c r="H862" s="14"/>
      <c r="I862" s="14"/>
      <c r="J862" s="14"/>
      <c r="K862" s="7"/>
      <c r="L862" s="14"/>
      <c r="M862" s="7"/>
      <c r="N862" s="14"/>
      <c r="O862" s="14"/>
      <c r="P862" s="7"/>
      <c r="Q862" s="21"/>
      <c r="R862" s="14"/>
      <c r="S862" s="14"/>
      <c r="T862" s="14"/>
      <c r="U862" s="14"/>
      <c r="V862" s="14"/>
      <c r="W862" s="14"/>
      <c r="X862" s="14"/>
      <c r="Y862" s="13"/>
      <c r="Z862" s="14"/>
    </row>
    <row r="863" spans="1:26" ht="14.25" customHeight="1" x14ac:dyDescent="0.25">
      <c r="A863" s="14"/>
      <c r="B863" s="14"/>
      <c r="C863" s="14"/>
      <c r="D863" s="14"/>
      <c r="E863" s="122"/>
      <c r="F863" s="14"/>
      <c r="G863" s="14"/>
      <c r="H863" s="14"/>
      <c r="I863" s="14"/>
      <c r="J863" s="14"/>
      <c r="K863" s="7"/>
      <c r="L863" s="14"/>
      <c r="M863" s="7"/>
      <c r="N863" s="14"/>
      <c r="O863" s="14"/>
      <c r="P863" s="7"/>
      <c r="Q863" s="21"/>
      <c r="R863" s="14"/>
      <c r="S863" s="14"/>
      <c r="T863" s="14"/>
      <c r="U863" s="14"/>
      <c r="V863" s="14"/>
      <c r="W863" s="14"/>
      <c r="X863" s="14"/>
      <c r="Y863" s="13"/>
      <c r="Z863" s="14"/>
    </row>
    <row r="864" spans="1:26" ht="14.25" customHeight="1" x14ac:dyDescent="0.25">
      <c r="A864" s="14"/>
      <c r="B864" s="14"/>
      <c r="C864" s="14"/>
      <c r="D864" s="14"/>
      <c r="E864" s="122"/>
      <c r="F864" s="14"/>
      <c r="G864" s="14"/>
      <c r="H864" s="14"/>
      <c r="I864" s="14"/>
      <c r="J864" s="14"/>
      <c r="K864" s="7"/>
      <c r="L864" s="14"/>
      <c r="M864" s="7"/>
      <c r="N864" s="14"/>
      <c r="O864" s="14"/>
      <c r="P864" s="7"/>
      <c r="Q864" s="21"/>
      <c r="R864" s="14"/>
      <c r="S864" s="14"/>
      <c r="T864" s="14"/>
      <c r="U864" s="14"/>
      <c r="V864" s="14"/>
      <c r="W864" s="14"/>
      <c r="X864" s="14"/>
      <c r="Y864" s="13"/>
      <c r="Z864" s="14"/>
    </row>
    <row r="865" spans="1:26" ht="14.25" customHeight="1" x14ac:dyDescent="0.25">
      <c r="A865" s="14"/>
      <c r="B865" s="14"/>
      <c r="C865" s="14"/>
      <c r="D865" s="14"/>
      <c r="E865" s="122"/>
      <c r="F865" s="14"/>
      <c r="G865" s="14"/>
      <c r="H865" s="14"/>
      <c r="I865" s="14"/>
      <c r="J865" s="14"/>
      <c r="K865" s="7"/>
      <c r="L865" s="14"/>
      <c r="M865" s="7"/>
      <c r="N865" s="14"/>
      <c r="O865" s="14"/>
      <c r="P865" s="7"/>
      <c r="Q865" s="21"/>
      <c r="R865" s="14"/>
      <c r="S865" s="14"/>
      <c r="T865" s="14"/>
      <c r="U865" s="14"/>
      <c r="V865" s="14"/>
      <c r="W865" s="14"/>
      <c r="X865" s="14"/>
      <c r="Y865" s="13"/>
      <c r="Z865" s="14"/>
    </row>
    <row r="866" spans="1:26" ht="14.25" customHeight="1" x14ac:dyDescent="0.25">
      <c r="A866" s="14"/>
      <c r="B866" s="14"/>
      <c r="C866" s="14"/>
      <c r="D866" s="14"/>
      <c r="E866" s="122"/>
      <c r="F866" s="14"/>
      <c r="G866" s="14"/>
      <c r="H866" s="14"/>
      <c r="I866" s="14"/>
      <c r="J866" s="14"/>
      <c r="K866" s="7"/>
      <c r="L866" s="14"/>
      <c r="M866" s="7"/>
      <c r="N866" s="14"/>
      <c r="O866" s="14"/>
      <c r="P866" s="7"/>
      <c r="Q866" s="21"/>
      <c r="R866" s="14"/>
      <c r="S866" s="14"/>
      <c r="T866" s="14"/>
      <c r="U866" s="14"/>
      <c r="V866" s="14"/>
      <c r="W866" s="14"/>
      <c r="X866" s="14"/>
      <c r="Y866" s="13"/>
      <c r="Z866" s="14"/>
    </row>
    <row r="867" spans="1:26" ht="14.25" customHeight="1" x14ac:dyDescent="0.25">
      <c r="A867" s="14"/>
      <c r="B867" s="14"/>
      <c r="C867" s="14"/>
      <c r="D867" s="14"/>
      <c r="E867" s="122"/>
      <c r="F867" s="14"/>
      <c r="G867" s="14"/>
      <c r="H867" s="14"/>
      <c r="I867" s="14"/>
      <c r="J867" s="14"/>
      <c r="K867" s="7"/>
      <c r="L867" s="14"/>
      <c r="M867" s="7"/>
      <c r="N867" s="14"/>
      <c r="O867" s="14"/>
      <c r="P867" s="7"/>
      <c r="Q867" s="21"/>
      <c r="R867" s="14"/>
      <c r="S867" s="14"/>
      <c r="T867" s="14"/>
      <c r="U867" s="14"/>
      <c r="V867" s="14"/>
      <c r="W867" s="14"/>
      <c r="X867" s="14"/>
      <c r="Y867" s="13"/>
      <c r="Z867" s="14"/>
    </row>
    <row r="868" spans="1:26" ht="14.25" customHeight="1" x14ac:dyDescent="0.25">
      <c r="A868" s="14"/>
      <c r="B868" s="14"/>
      <c r="C868" s="14"/>
      <c r="D868" s="14"/>
      <c r="E868" s="122"/>
      <c r="F868" s="14"/>
      <c r="G868" s="14"/>
      <c r="H868" s="14"/>
      <c r="I868" s="14"/>
      <c r="J868" s="14"/>
      <c r="K868" s="7"/>
      <c r="L868" s="14"/>
      <c r="M868" s="7"/>
      <c r="N868" s="14"/>
      <c r="O868" s="14"/>
      <c r="P868" s="7"/>
      <c r="Q868" s="21"/>
      <c r="R868" s="14"/>
      <c r="S868" s="14"/>
      <c r="T868" s="14"/>
      <c r="U868" s="14"/>
      <c r="V868" s="14"/>
      <c r="W868" s="14"/>
      <c r="X868" s="14"/>
      <c r="Y868" s="13"/>
      <c r="Z868" s="14"/>
    </row>
    <row r="869" spans="1:26" ht="14.25" customHeight="1" x14ac:dyDescent="0.25">
      <c r="A869" s="14"/>
      <c r="B869" s="14"/>
      <c r="C869" s="14"/>
      <c r="D869" s="14"/>
      <c r="E869" s="122"/>
      <c r="F869" s="14"/>
      <c r="G869" s="14"/>
      <c r="H869" s="14"/>
      <c r="I869" s="14"/>
      <c r="J869" s="14"/>
      <c r="K869" s="7"/>
      <c r="L869" s="14"/>
      <c r="M869" s="7"/>
      <c r="N869" s="14"/>
      <c r="O869" s="14"/>
      <c r="P869" s="7"/>
      <c r="Q869" s="21"/>
      <c r="R869" s="14"/>
      <c r="S869" s="14"/>
      <c r="T869" s="14"/>
      <c r="U869" s="14"/>
      <c r="V869" s="14"/>
      <c r="W869" s="14"/>
      <c r="X869" s="14"/>
      <c r="Y869" s="13"/>
      <c r="Z869" s="14"/>
    </row>
    <row r="870" spans="1:26" ht="14.25" customHeight="1" x14ac:dyDescent="0.25">
      <c r="A870" s="14"/>
      <c r="B870" s="14"/>
      <c r="C870" s="14"/>
      <c r="D870" s="14"/>
      <c r="E870" s="122"/>
      <c r="F870" s="14"/>
      <c r="G870" s="14"/>
      <c r="H870" s="14"/>
      <c r="I870" s="14"/>
      <c r="J870" s="14"/>
      <c r="K870" s="7"/>
      <c r="L870" s="14"/>
      <c r="M870" s="7"/>
      <c r="N870" s="14"/>
      <c r="O870" s="14"/>
      <c r="P870" s="7"/>
      <c r="Q870" s="21"/>
      <c r="R870" s="14"/>
      <c r="S870" s="14"/>
      <c r="T870" s="14"/>
      <c r="U870" s="14"/>
      <c r="V870" s="14"/>
      <c r="W870" s="14"/>
      <c r="X870" s="14"/>
      <c r="Y870" s="13"/>
      <c r="Z870" s="14"/>
    </row>
    <row r="871" spans="1:26" ht="14.25" customHeight="1" x14ac:dyDescent="0.25">
      <c r="A871" s="14"/>
      <c r="B871" s="14"/>
      <c r="C871" s="14"/>
      <c r="D871" s="14"/>
      <c r="E871" s="122"/>
      <c r="F871" s="14"/>
      <c r="G871" s="14"/>
      <c r="H871" s="14"/>
      <c r="I871" s="14"/>
      <c r="J871" s="14"/>
      <c r="K871" s="7"/>
      <c r="L871" s="14"/>
      <c r="M871" s="7"/>
      <c r="N871" s="14"/>
      <c r="O871" s="14"/>
      <c r="P871" s="7"/>
      <c r="Q871" s="21"/>
      <c r="R871" s="14"/>
      <c r="S871" s="14"/>
      <c r="T871" s="14"/>
      <c r="U871" s="14"/>
      <c r="V871" s="14"/>
      <c r="W871" s="14"/>
      <c r="X871" s="14"/>
      <c r="Y871" s="13"/>
      <c r="Z871" s="14"/>
    </row>
    <row r="872" spans="1:26" ht="14.25" customHeight="1" x14ac:dyDescent="0.25">
      <c r="A872" s="14"/>
      <c r="B872" s="14"/>
      <c r="C872" s="14"/>
      <c r="D872" s="14"/>
      <c r="E872" s="122"/>
      <c r="F872" s="14"/>
      <c r="G872" s="14"/>
      <c r="H872" s="14"/>
      <c r="I872" s="14"/>
      <c r="J872" s="14"/>
      <c r="K872" s="7"/>
      <c r="L872" s="14"/>
      <c r="M872" s="7"/>
      <c r="N872" s="14"/>
      <c r="O872" s="14"/>
      <c r="P872" s="7"/>
      <c r="Q872" s="21"/>
      <c r="R872" s="14"/>
      <c r="S872" s="14"/>
      <c r="T872" s="14"/>
      <c r="U872" s="14"/>
      <c r="V872" s="14"/>
      <c r="W872" s="14"/>
      <c r="X872" s="14"/>
      <c r="Y872" s="13"/>
      <c r="Z872" s="14"/>
    </row>
    <row r="873" spans="1:26" ht="14.25" customHeight="1" x14ac:dyDescent="0.25">
      <c r="A873" s="14"/>
      <c r="B873" s="14"/>
      <c r="C873" s="14"/>
      <c r="D873" s="14"/>
      <c r="E873" s="122"/>
      <c r="F873" s="14"/>
      <c r="G873" s="14"/>
      <c r="H873" s="14"/>
      <c r="I873" s="14"/>
      <c r="J873" s="14"/>
      <c r="K873" s="7"/>
      <c r="L873" s="14"/>
      <c r="M873" s="7"/>
      <c r="N873" s="14"/>
      <c r="O873" s="14"/>
      <c r="P873" s="7"/>
      <c r="Q873" s="21"/>
      <c r="R873" s="14"/>
      <c r="S873" s="14"/>
      <c r="T873" s="14"/>
      <c r="U873" s="14"/>
      <c r="V873" s="14"/>
      <c r="W873" s="14"/>
      <c r="X873" s="14"/>
      <c r="Y873" s="13"/>
      <c r="Z873" s="14"/>
    </row>
    <row r="874" spans="1:26" ht="14.25" customHeight="1" x14ac:dyDescent="0.25">
      <c r="A874" s="14"/>
      <c r="B874" s="14"/>
      <c r="C874" s="14"/>
      <c r="D874" s="14"/>
      <c r="E874" s="122"/>
      <c r="F874" s="14"/>
      <c r="G874" s="14"/>
      <c r="H874" s="14"/>
      <c r="I874" s="14"/>
      <c r="J874" s="14"/>
      <c r="K874" s="7"/>
      <c r="L874" s="14"/>
      <c r="M874" s="7"/>
      <c r="N874" s="14"/>
      <c r="O874" s="14"/>
      <c r="P874" s="7"/>
      <c r="Q874" s="21"/>
      <c r="R874" s="14"/>
      <c r="S874" s="14"/>
      <c r="T874" s="14"/>
      <c r="U874" s="14"/>
      <c r="V874" s="14"/>
      <c r="W874" s="14"/>
      <c r="X874" s="14"/>
      <c r="Y874" s="13"/>
      <c r="Z874" s="14"/>
    </row>
    <row r="875" spans="1:26" ht="14.25" customHeight="1" x14ac:dyDescent="0.25">
      <c r="A875" s="14"/>
      <c r="B875" s="14"/>
      <c r="C875" s="14"/>
      <c r="D875" s="14"/>
      <c r="E875" s="122"/>
      <c r="F875" s="14"/>
      <c r="G875" s="14"/>
      <c r="H875" s="14"/>
      <c r="I875" s="14"/>
      <c r="J875" s="14"/>
      <c r="K875" s="7"/>
      <c r="L875" s="14"/>
      <c r="M875" s="7"/>
      <c r="N875" s="14"/>
      <c r="O875" s="14"/>
      <c r="P875" s="7"/>
      <c r="Q875" s="21"/>
      <c r="R875" s="14"/>
      <c r="S875" s="14"/>
      <c r="T875" s="14"/>
      <c r="U875" s="14"/>
      <c r="V875" s="14"/>
      <c r="W875" s="14"/>
      <c r="X875" s="14"/>
      <c r="Y875" s="13"/>
      <c r="Z875" s="14"/>
    </row>
    <row r="876" spans="1:26" ht="14.25" customHeight="1" x14ac:dyDescent="0.25">
      <c r="A876" s="14"/>
      <c r="B876" s="14"/>
      <c r="C876" s="14"/>
      <c r="D876" s="14"/>
      <c r="E876" s="122"/>
      <c r="F876" s="14"/>
      <c r="G876" s="14"/>
      <c r="H876" s="14"/>
      <c r="I876" s="14"/>
      <c r="J876" s="14"/>
      <c r="K876" s="7"/>
      <c r="L876" s="14"/>
      <c r="M876" s="7"/>
      <c r="N876" s="14"/>
      <c r="O876" s="14"/>
      <c r="P876" s="7"/>
      <c r="Q876" s="21"/>
      <c r="R876" s="14"/>
      <c r="S876" s="14"/>
      <c r="T876" s="14"/>
      <c r="U876" s="14"/>
      <c r="V876" s="14"/>
      <c r="W876" s="14"/>
      <c r="X876" s="14"/>
      <c r="Y876" s="13"/>
      <c r="Z876" s="14"/>
    </row>
    <row r="877" spans="1:26" ht="14.25" customHeight="1" x14ac:dyDescent="0.25">
      <c r="A877" s="14"/>
      <c r="B877" s="14"/>
      <c r="C877" s="14"/>
      <c r="D877" s="14"/>
      <c r="E877" s="122"/>
      <c r="F877" s="14"/>
      <c r="G877" s="14"/>
      <c r="H877" s="14"/>
      <c r="I877" s="14"/>
      <c r="J877" s="14"/>
      <c r="K877" s="7"/>
      <c r="L877" s="14"/>
      <c r="M877" s="7"/>
      <c r="N877" s="14"/>
      <c r="O877" s="14"/>
      <c r="P877" s="7"/>
      <c r="Q877" s="21"/>
      <c r="R877" s="14"/>
      <c r="S877" s="14"/>
      <c r="T877" s="14"/>
      <c r="U877" s="14"/>
      <c r="V877" s="14"/>
      <c r="W877" s="14"/>
      <c r="X877" s="14"/>
      <c r="Y877" s="13"/>
      <c r="Z877" s="14"/>
    </row>
    <row r="878" spans="1:26" ht="14.25" customHeight="1" x14ac:dyDescent="0.25">
      <c r="A878" s="14"/>
      <c r="B878" s="14"/>
      <c r="C878" s="14"/>
      <c r="D878" s="14"/>
      <c r="E878" s="122"/>
      <c r="F878" s="14"/>
      <c r="G878" s="14"/>
      <c r="H878" s="14"/>
      <c r="I878" s="14"/>
      <c r="J878" s="14"/>
      <c r="K878" s="7"/>
      <c r="L878" s="14"/>
      <c r="M878" s="7"/>
      <c r="N878" s="14"/>
      <c r="O878" s="14"/>
      <c r="P878" s="7"/>
      <c r="Q878" s="21"/>
      <c r="R878" s="14"/>
      <c r="S878" s="14"/>
      <c r="T878" s="14"/>
      <c r="U878" s="14"/>
      <c r="V878" s="14"/>
      <c r="W878" s="14"/>
      <c r="X878" s="14"/>
      <c r="Y878" s="13"/>
      <c r="Z878" s="14"/>
    </row>
    <row r="879" spans="1:26" ht="14.25" customHeight="1" x14ac:dyDescent="0.25">
      <c r="A879" s="14"/>
      <c r="B879" s="14"/>
      <c r="C879" s="14"/>
      <c r="D879" s="14"/>
      <c r="E879" s="122"/>
      <c r="F879" s="14"/>
      <c r="G879" s="14"/>
      <c r="H879" s="14"/>
      <c r="I879" s="14"/>
      <c r="J879" s="14"/>
      <c r="K879" s="7"/>
      <c r="L879" s="14"/>
      <c r="M879" s="7"/>
      <c r="N879" s="14"/>
      <c r="O879" s="14"/>
      <c r="P879" s="7"/>
      <c r="Q879" s="21"/>
      <c r="R879" s="14"/>
      <c r="S879" s="14"/>
      <c r="T879" s="14"/>
      <c r="U879" s="14"/>
      <c r="V879" s="14"/>
      <c r="W879" s="14"/>
      <c r="X879" s="14"/>
      <c r="Y879" s="13"/>
      <c r="Z879" s="14"/>
    </row>
    <row r="880" spans="1:26" ht="14.25" customHeight="1" x14ac:dyDescent="0.25">
      <c r="A880" s="14"/>
      <c r="B880" s="14"/>
      <c r="C880" s="14"/>
      <c r="D880" s="14"/>
      <c r="E880" s="122"/>
      <c r="F880" s="14"/>
      <c r="G880" s="14"/>
      <c r="H880" s="14"/>
      <c r="I880" s="14"/>
      <c r="J880" s="14"/>
      <c r="K880" s="7"/>
      <c r="L880" s="14"/>
      <c r="M880" s="7"/>
      <c r="N880" s="14"/>
      <c r="O880" s="14"/>
      <c r="P880" s="7"/>
      <c r="Q880" s="21"/>
      <c r="R880" s="14"/>
      <c r="S880" s="14"/>
      <c r="T880" s="14"/>
      <c r="U880" s="14"/>
      <c r="V880" s="14"/>
      <c r="W880" s="14"/>
      <c r="X880" s="14"/>
      <c r="Y880" s="13"/>
      <c r="Z880" s="14"/>
    </row>
    <row r="881" spans="1:26" ht="14.25" customHeight="1" x14ac:dyDescent="0.25">
      <c r="A881" s="14"/>
      <c r="B881" s="14"/>
      <c r="C881" s="14"/>
      <c r="D881" s="14"/>
      <c r="E881" s="122"/>
      <c r="F881" s="14"/>
      <c r="G881" s="14"/>
      <c r="H881" s="14"/>
      <c r="I881" s="14"/>
      <c r="J881" s="14"/>
      <c r="K881" s="7"/>
      <c r="L881" s="14"/>
      <c r="M881" s="7"/>
      <c r="N881" s="14"/>
      <c r="O881" s="14"/>
      <c r="P881" s="7"/>
      <c r="Q881" s="21"/>
      <c r="R881" s="14"/>
      <c r="S881" s="14"/>
      <c r="T881" s="14"/>
      <c r="U881" s="14"/>
      <c r="V881" s="14"/>
      <c r="W881" s="14"/>
      <c r="X881" s="14"/>
      <c r="Y881" s="13"/>
      <c r="Z881" s="14"/>
    </row>
    <row r="882" spans="1:26" ht="14.25" customHeight="1" x14ac:dyDescent="0.25">
      <c r="A882" s="14"/>
      <c r="B882" s="14"/>
      <c r="C882" s="14"/>
      <c r="D882" s="14"/>
      <c r="E882" s="122"/>
      <c r="F882" s="14"/>
      <c r="G882" s="14"/>
      <c r="H882" s="14"/>
      <c r="I882" s="14"/>
      <c r="J882" s="14"/>
      <c r="K882" s="7"/>
      <c r="L882" s="14"/>
      <c r="M882" s="7"/>
      <c r="N882" s="14"/>
      <c r="O882" s="14"/>
      <c r="P882" s="7"/>
      <c r="Q882" s="21"/>
      <c r="R882" s="14"/>
      <c r="S882" s="14"/>
      <c r="T882" s="14"/>
      <c r="U882" s="14"/>
      <c r="V882" s="14"/>
      <c r="W882" s="14"/>
      <c r="X882" s="14"/>
      <c r="Y882" s="13"/>
      <c r="Z882" s="14"/>
    </row>
    <row r="883" spans="1:26" ht="14.25" customHeight="1" x14ac:dyDescent="0.25">
      <c r="A883" s="14"/>
      <c r="B883" s="14"/>
      <c r="C883" s="14"/>
      <c r="D883" s="14"/>
      <c r="E883" s="122"/>
      <c r="F883" s="14"/>
      <c r="G883" s="14"/>
      <c r="H883" s="14"/>
      <c r="I883" s="14"/>
      <c r="J883" s="14"/>
      <c r="K883" s="7"/>
      <c r="L883" s="14"/>
      <c r="M883" s="7"/>
      <c r="N883" s="14"/>
      <c r="O883" s="14"/>
      <c r="P883" s="7"/>
      <c r="Q883" s="21"/>
      <c r="R883" s="14"/>
      <c r="S883" s="14"/>
      <c r="T883" s="14"/>
      <c r="U883" s="14"/>
      <c r="V883" s="14"/>
      <c r="W883" s="14"/>
      <c r="X883" s="14"/>
      <c r="Y883" s="13"/>
      <c r="Z883" s="14"/>
    </row>
    <row r="884" spans="1:26" ht="14.25" customHeight="1" x14ac:dyDescent="0.25">
      <c r="A884" s="14"/>
      <c r="B884" s="14"/>
      <c r="C884" s="14"/>
      <c r="D884" s="14"/>
      <c r="E884" s="122"/>
      <c r="F884" s="14"/>
      <c r="G884" s="14"/>
      <c r="H884" s="14"/>
      <c r="I884" s="14"/>
      <c r="J884" s="14"/>
      <c r="K884" s="7"/>
      <c r="L884" s="14"/>
      <c r="M884" s="7"/>
      <c r="N884" s="14"/>
      <c r="O884" s="14"/>
      <c r="P884" s="7"/>
      <c r="Q884" s="21"/>
      <c r="R884" s="14"/>
      <c r="S884" s="14"/>
      <c r="T884" s="14"/>
      <c r="U884" s="14"/>
      <c r="V884" s="14"/>
      <c r="W884" s="14"/>
      <c r="X884" s="14"/>
      <c r="Y884" s="13"/>
      <c r="Z884" s="14"/>
    </row>
    <row r="885" spans="1:26" ht="14.25" customHeight="1" x14ac:dyDescent="0.25">
      <c r="A885" s="14"/>
      <c r="B885" s="14"/>
      <c r="C885" s="14"/>
      <c r="D885" s="14"/>
      <c r="E885" s="122"/>
      <c r="F885" s="14"/>
      <c r="G885" s="14"/>
      <c r="H885" s="14"/>
      <c r="I885" s="14"/>
      <c r="J885" s="14"/>
      <c r="K885" s="7"/>
      <c r="L885" s="14"/>
      <c r="M885" s="7"/>
      <c r="N885" s="14"/>
      <c r="O885" s="14"/>
      <c r="P885" s="7"/>
      <c r="Q885" s="21"/>
      <c r="R885" s="14"/>
      <c r="S885" s="14"/>
      <c r="T885" s="14"/>
      <c r="U885" s="14"/>
      <c r="V885" s="14"/>
      <c r="W885" s="14"/>
      <c r="X885" s="14"/>
      <c r="Y885" s="13"/>
      <c r="Z885" s="14"/>
    </row>
    <row r="886" spans="1:26" ht="14.25" customHeight="1" x14ac:dyDescent="0.25">
      <c r="A886" s="14"/>
      <c r="B886" s="14"/>
      <c r="C886" s="14"/>
      <c r="D886" s="14"/>
      <c r="E886" s="122"/>
      <c r="F886" s="14"/>
      <c r="G886" s="14"/>
      <c r="H886" s="14"/>
      <c r="I886" s="14"/>
      <c r="J886" s="14"/>
      <c r="K886" s="7"/>
      <c r="L886" s="14"/>
      <c r="M886" s="7"/>
      <c r="N886" s="14"/>
      <c r="O886" s="14"/>
      <c r="P886" s="7"/>
      <c r="Q886" s="21"/>
      <c r="R886" s="14"/>
      <c r="S886" s="14"/>
      <c r="T886" s="14"/>
      <c r="U886" s="14"/>
      <c r="V886" s="14"/>
      <c r="W886" s="14"/>
      <c r="X886" s="14"/>
      <c r="Y886" s="13"/>
      <c r="Z886" s="14"/>
    </row>
    <row r="887" spans="1:26" ht="14.25" customHeight="1" x14ac:dyDescent="0.25">
      <c r="A887" s="14"/>
      <c r="B887" s="14"/>
      <c r="C887" s="14"/>
      <c r="D887" s="14"/>
      <c r="E887" s="122"/>
      <c r="F887" s="14"/>
      <c r="G887" s="14"/>
      <c r="H887" s="14"/>
      <c r="I887" s="14"/>
      <c r="J887" s="14"/>
      <c r="K887" s="7"/>
      <c r="L887" s="14"/>
      <c r="M887" s="7"/>
      <c r="N887" s="14"/>
      <c r="O887" s="14"/>
      <c r="P887" s="7"/>
      <c r="Q887" s="21"/>
      <c r="R887" s="14"/>
      <c r="S887" s="14"/>
      <c r="T887" s="14"/>
      <c r="U887" s="14"/>
      <c r="V887" s="14"/>
      <c r="W887" s="14"/>
      <c r="X887" s="14"/>
      <c r="Y887" s="13"/>
      <c r="Z887" s="14"/>
    </row>
    <row r="888" spans="1:26" ht="14.25" customHeight="1" x14ac:dyDescent="0.25">
      <c r="A888" s="14"/>
      <c r="B888" s="14"/>
      <c r="C888" s="14"/>
      <c r="D888" s="14"/>
      <c r="E888" s="122"/>
      <c r="F888" s="14"/>
      <c r="G888" s="14"/>
      <c r="H888" s="14"/>
      <c r="I888" s="14"/>
      <c r="J888" s="14"/>
      <c r="K888" s="7"/>
      <c r="L888" s="14"/>
      <c r="M888" s="7"/>
      <c r="N888" s="14"/>
      <c r="O888" s="14"/>
      <c r="P888" s="7"/>
      <c r="Q888" s="21"/>
      <c r="R888" s="14"/>
      <c r="S888" s="14"/>
      <c r="T888" s="14"/>
      <c r="U888" s="14"/>
      <c r="V888" s="14"/>
      <c r="W888" s="14"/>
      <c r="X888" s="14"/>
      <c r="Y888" s="13"/>
      <c r="Z888" s="14"/>
    </row>
    <row r="889" spans="1:26" ht="14.25" customHeight="1" x14ac:dyDescent="0.25">
      <c r="A889" s="14"/>
      <c r="B889" s="14"/>
      <c r="C889" s="14"/>
      <c r="D889" s="14"/>
      <c r="E889" s="122"/>
      <c r="F889" s="14"/>
      <c r="G889" s="14"/>
      <c r="H889" s="14"/>
      <c r="I889" s="14"/>
      <c r="J889" s="14"/>
      <c r="K889" s="7"/>
      <c r="L889" s="14"/>
      <c r="M889" s="7"/>
      <c r="N889" s="14"/>
      <c r="O889" s="14"/>
      <c r="P889" s="7"/>
      <c r="Q889" s="21"/>
      <c r="R889" s="14"/>
      <c r="S889" s="14"/>
      <c r="T889" s="14"/>
      <c r="U889" s="14"/>
      <c r="V889" s="14"/>
      <c r="W889" s="14"/>
      <c r="X889" s="14"/>
      <c r="Y889" s="13"/>
      <c r="Z889" s="14"/>
    </row>
    <row r="890" spans="1:26" ht="14.25" customHeight="1" x14ac:dyDescent="0.25">
      <c r="A890" s="14"/>
      <c r="B890" s="14"/>
      <c r="C890" s="14"/>
      <c r="D890" s="14"/>
      <c r="E890" s="122"/>
      <c r="F890" s="14"/>
      <c r="G890" s="14"/>
      <c r="H890" s="14"/>
      <c r="I890" s="14"/>
      <c r="J890" s="14"/>
      <c r="K890" s="7"/>
      <c r="L890" s="14"/>
      <c r="M890" s="7"/>
      <c r="N890" s="14"/>
      <c r="O890" s="14"/>
      <c r="P890" s="7"/>
      <c r="Q890" s="21"/>
      <c r="R890" s="14"/>
      <c r="S890" s="14"/>
      <c r="T890" s="14"/>
      <c r="U890" s="14"/>
      <c r="V890" s="14"/>
      <c r="W890" s="14"/>
      <c r="X890" s="14"/>
      <c r="Y890" s="13"/>
      <c r="Z890" s="14"/>
    </row>
    <row r="891" spans="1:26" ht="14.25" customHeight="1" x14ac:dyDescent="0.25">
      <c r="A891" s="14"/>
      <c r="B891" s="14"/>
      <c r="C891" s="14"/>
      <c r="D891" s="14"/>
      <c r="E891" s="122"/>
      <c r="F891" s="14"/>
      <c r="G891" s="14"/>
      <c r="H891" s="14"/>
      <c r="I891" s="14"/>
      <c r="J891" s="14"/>
      <c r="K891" s="7"/>
      <c r="L891" s="14"/>
      <c r="M891" s="7"/>
      <c r="N891" s="14"/>
      <c r="O891" s="14"/>
      <c r="P891" s="7"/>
      <c r="Q891" s="21"/>
      <c r="R891" s="14"/>
      <c r="S891" s="14"/>
      <c r="T891" s="14"/>
      <c r="U891" s="14"/>
      <c r="V891" s="14"/>
      <c r="W891" s="14"/>
      <c r="X891" s="14"/>
      <c r="Y891" s="13"/>
      <c r="Z891" s="14"/>
    </row>
    <row r="892" spans="1:26" ht="14.25" customHeight="1" x14ac:dyDescent="0.25">
      <c r="A892" s="14"/>
      <c r="B892" s="14"/>
      <c r="C892" s="14"/>
      <c r="D892" s="14"/>
      <c r="E892" s="122"/>
      <c r="F892" s="14"/>
      <c r="G892" s="14"/>
      <c r="H892" s="14"/>
      <c r="I892" s="14"/>
      <c r="J892" s="14"/>
      <c r="K892" s="7"/>
      <c r="L892" s="14"/>
      <c r="M892" s="7"/>
      <c r="N892" s="14"/>
      <c r="O892" s="14"/>
      <c r="P892" s="7"/>
      <c r="Q892" s="21"/>
      <c r="R892" s="14"/>
      <c r="S892" s="14"/>
      <c r="T892" s="14"/>
      <c r="U892" s="14"/>
      <c r="V892" s="14"/>
      <c r="W892" s="14"/>
      <c r="X892" s="14"/>
      <c r="Y892" s="13"/>
      <c r="Z892" s="14"/>
    </row>
    <row r="893" spans="1:26" ht="14.25" customHeight="1" x14ac:dyDescent="0.25">
      <c r="A893" s="14"/>
      <c r="B893" s="14"/>
      <c r="C893" s="14"/>
      <c r="D893" s="14"/>
      <c r="E893" s="122"/>
      <c r="F893" s="14"/>
      <c r="G893" s="14"/>
      <c r="H893" s="14"/>
      <c r="I893" s="14"/>
      <c r="J893" s="14"/>
      <c r="K893" s="7"/>
      <c r="L893" s="14"/>
      <c r="M893" s="7"/>
      <c r="N893" s="14"/>
      <c r="O893" s="14"/>
      <c r="P893" s="7"/>
      <c r="Q893" s="21"/>
      <c r="R893" s="14"/>
      <c r="S893" s="14"/>
      <c r="T893" s="14"/>
      <c r="U893" s="14"/>
      <c r="V893" s="14"/>
      <c r="W893" s="14"/>
      <c r="X893" s="14"/>
      <c r="Y893" s="13"/>
      <c r="Z893" s="14"/>
    </row>
    <row r="894" spans="1:26" ht="14.25" customHeight="1" x14ac:dyDescent="0.25">
      <c r="A894" s="14"/>
      <c r="B894" s="14"/>
      <c r="C894" s="14"/>
      <c r="D894" s="14"/>
      <c r="E894" s="122"/>
      <c r="F894" s="14"/>
      <c r="G894" s="14"/>
      <c r="H894" s="14"/>
      <c r="I894" s="14"/>
      <c r="J894" s="14"/>
      <c r="K894" s="7"/>
      <c r="L894" s="14"/>
      <c r="M894" s="7"/>
      <c r="N894" s="14"/>
      <c r="O894" s="14"/>
      <c r="P894" s="7"/>
      <c r="Q894" s="21"/>
      <c r="R894" s="14"/>
      <c r="S894" s="14"/>
      <c r="T894" s="14"/>
      <c r="U894" s="14"/>
      <c r="V894" s="14"/>
      <c r="W894" s="14"/>
      <c r="X894" s="14"/>
      <c r="Y894" s="13"/>
      <c r="Z894" s="14"/>
    </row>
    <row r="895" spans="1:26" ht="14.25" customHeight="1" x14ac:dyDescent="0.25">
      <c r="A895" s="14"/>
      <c r="B895" s="14"/>
      <c r="C895" s="14"/>
      <c r="D895" s="14"/>
      <c r="E895" s="122"/>
      <c r="F895" s="14"/>
      <c r="G895" s="14"/>
      <c r="H895" s="14"/>
      <c r="I895" s="14"/>
      <c r="J895" s="14"/>
      <c r="K895" s="7"/>
      <c r="L895" s="14"/>
      <c r="M895" s="7"/>
      <c r="N895" s="14"/>
      <c r="O895" s="14"/>
      <c r="P895" s="7"/>
      <c r="Q895" s="21"/>
      <c r="R895" s="14"/>
      <c r="S895" s="14"/>
      <c r="T895" s="14"/>
      <c r="U895" s="14"/>
      <c r="V895" s="14"/>
      <c r="W895" s="14"/>
      <c r="X895" s="14"/>
      <c r="Y895" s="13"/>
      <c r="Z895" s="14"/>
    </row>
    <row r="896" spans="1:26" ht="14.25" customHeight="1" x14ac:dyDescent="0.25">
      <c r="A896" s="14"/>
      <c r="B896" s="14"/>
      <c r="C896" s="14"/>
      <c r="D896" s="14"/>
      <c r="E896" s="122"/>
      <c r="F896" s="14"/>
      <c r="G896" s="14"/>
      <c r="H896" s="14"/>
      <c r="I896" s="14"/>
      <c r="J896" s="14"/>
      <c r="K896" s="7"/>
      <c r="L896" s="14"/>
      <c r="M896" s="7"/>
      <c r="N896" s="14"/>
      <c r="O896" s="14"/>
      <c r="P896" s="7"/>
      <c r="Q896" s="21"/>
      <c r="R896" s="14"/>
      <c r="S896" s="14"/>
      <c r="T896" s="14"/>
      <c r="U896" s="14"/>
      <c r="V896" s="14"/>
      <c r="W896" s="14"/>
      <c r="X896" s="14"/>
      <c r="Y896" s="13"/>
      <c r="Z896" s="14"/>
    </row>
    <row r="897" spans="1:26" ht="14.25" customHeight="1" x14ac:dyDescent="0.25">
      <c r="A897" s="14"/>
      <c r="B897" s="14"/>
      <c r="C897" s="14"/>
      <c r="D897" s="14"/>
      <c r="E897" s="122"/>
      <c r="F897" s="14"/>
      <c r="G897" s="14"/>
      <c r="H897" s="14"/>
      <c r="I897" s="14"/>
      <c r="J897" s="14"/>
      <c r="K897" s="7"/>
      <c r="L897" s="14"/>
      <c r="M897" s="7"/>
      <c r="N897" s="14"/>
      <c r="O897" s="14"/>
      <c r="P897" s="7"/>
      <c r="Q897" s="21"/>
      <c r="R897" s="14"/>
      <c r="S897" s="14"/>
      <c r="T897" s="14"/>
      <c r="U897" s="14"/>
      <c r="V897" s="14"/>
      <c r="W897" s="14"/>
      <c r="X897" s="14"/>
      <c r="Y897" s="13"/>
      <c r="Z897" s="14"/>
    </row>
    <row r="898" spans="1:26" ht="14.25" customHeight="1" x14ac:dyDescent="0.25">
      <c r="A898" s="14"/>
      <c r="B898" s="14"/>
      <c r="C898" s="14"/>
      <c r="D898" s="14"/>
      <c r="E898" s="122"/>
      <c r="F898" s="14"/>
      <c r="G898" s="14"/>
      <c r="H898" s="14"/>
      <c r="I898" s="14"/>
      <c r="J898" s="14"/>
      <c r="K898" s="7"/>
      <c r="L898" s="14"/>
      <c r="M898" s="7"/>
      <c r="N898" s="14"/>
      <c r="O898" s="14"/>
      <c r="P898" s="7"/>
      <c r="Q898" s="21"/>
      <c r="R898" s="14"/>
      <c r="S898" s="14"/>
      <c r="T898" s="14"/>
      <c r="U898" s="14"/>
      <c r="V898" s="14"/>
      <c r="W898" s="14"/>
      <c r="X898" s="14"/>
      <c r="Y898" s="13"/>
      <c r="Z898" s="14"/>
    </row>
    <row r="899" spans="1:26" ht="14.25" customHeight="1" x14ac:dyDescent="0.25">
      <c r="A899" s="14"/>
      <c r="B899" s="14"/>
      <c r="C899" s="14"/>
      <c r="D899" s="14"/>
      <c r="E899" s="122"/>
      <c r="F899" s="14"/>
      <c r="G899" s="14"/>
      <c r="H899" s="14"/>
      <c r="I899" s="14"/>
      <c r="J899" s="14"/>
      <c r="K899" s="7"/>
      <c r="L899" s="14"/>
      <c r="M899" s="7"/>
      <c r="N899" s="14"/>
      <c r="O899" s="14"/>
      <c r="P899" s="7"/>
      <c r="Q899" s="21"/>
      <c r="R899" s="14"/>
      <c r="S899" s="14"/>
      <c r="T899" s="14"/>
      <c r="U899" s="14"/>
      <c r="V899" s="14"/>
      <c r="W899" s="14"/>
      <c r="X899" s="14"/>
      <c r="Y899" s="13"/>
      <c r="Z899" s="14"/>
    </row>
    <row r="900" spans="1:26" ht="14.25" customHeight="1" x14ac:dyDescent="0.25">
      <c r="A900" s="14"/>
      <c r="B900" s="14"/>
      <c r="C900" s="14"/>
      <c r="D900" s="14"/>
      <c r="E900" s="122"/>
      <c r="F900" s="14"/>
      <c r="G900" s="14"/>
      <c r="H900" s="14"/>
      <c r="I900" s="14"/>
      <c r="J900" s="14"/>
      <c r="K900" s="7"/>
      <c r="L900" s="14"/>
      <c r="M900" s="7"/>
      <c r="N900" s="14"/>
      <c r="O900" s="14"/>
      <c r="P900" s="7"/>
      <c r="Q900" s="21"/>
      <c r="R900" s="14"/>
      <c r="S900" s="14"/>
      <c r="T900" s="14"/>
      <c r="U900" s="14"/>
      <c r="V900" s="14"/>
      <c r="W900" s="14"/>
      <c r="X900" s="14"/>
      <c r="Y900" s="13"/>
      <c r="Z900" s="14"/>
    </row>
    <row r="901" spans="1:26" ht="14.25" customHeight="1" x14ac:dyDescent="0.25">
      <c r="A901" s="14"/>
      <c r="B901" s="14"/>
      <c r="C901" s="14"/>
      <c r="D901" s="14"/>
      <c r="E901" s="122"/>
      <c r="F901" s="14"/>
      <c r="G901" s="14"/>
      <c r="H901" s="14"/>
      <c r="I901" s="14"/>
      <c r="J901" s="14"/>
      <c r="K901" s="7"/>
      <c r="L901" s="14"/>
      <c r="M901" s="7"/>
      <c r="N901" s="14"/>
      <c r="O901" s="14"/>
      <c r="P901" s="7"/>
      <c r="Q901" s="21"/>
      <c r="R901" s="14"/>
      <c r="S901" s="14"/>
      <c r="T901" s="14"/>
      <c r="U901" s="14"/>
      <c r="V901" s="14"/>
      <c r="W901" s="14"/>
      <c r="X901" s="14"/>
      <c r="Y901" s="13"/>
      <c r="Z901" s="14"/>
    </row>
    <row r="902" spans="1:26" ht="14.25" customHeight="1" x14ac:dyDescent="0.25">
      <c r="A902" s="14"/>
      <c r="B902" s="14"/>
      <c r="C902" s="14"/>
      <c r="D902" s="14"/>
      <c r="E902" s="122"/>
      <c r="F902" s="14"/>
      <c r="G902" s="14"/>
      <c r="H902" s="14"/>
      <c r="I902" s="14"/>
      <c r="J902" s="14"/>
      <c r="K902" s="7"/>
      <c r="L902" s="14"/>
      <c r="M902" s="7"/>
      <c r="N902" s="14"/>
      <c r="O902" s="14"/>
      <c r="P902" s="7"/>
      <c r="Q902" s="21"/>
      <c r="R902" s="14"/>
      <c r="S902" s="14"/>
      <c r="T902" s="14"/>
      <c r="U902" s="14"/>
      <c r="V902" s="14"/>
      <c r="W902" s="14"/>
      <c r="X902" s="14"/>
      <c r="Y902" s="13"/>
      <c r="Z902" s="14"/>
    </row>
    <row r="903" spans="1:26" ht="14.25" customHeight="1" x14ac:dyDescent="0.25">
      <c r="A903" s="14"/>
      <c r="B903" s="14"/>
      <c r="C903" s="14"/>
      <c r="D903" s="14"/>
      <c r="E903" s="122"/>
      <c r="F903" s="14"/>
      <c r="G903" s="14"/>
      <c r="H903" s="14"/>
      <c r="I903" s="14"/>
      <c r="J903" s="14"/>
      <c r="K903" s="7"/>
      <c r="L903" s="14"/>
      <c r="M903" s="7"/>
      <c r="N903" s="14"/>
      <c r="O903" s="14"/>
      <c r="P903" s="7"/>
      <c r="Q903" s="21"/>
      <c r="R903" s="14"/>
      <c r="S903" s="14"/>
      <c r="T903" s="14"/>
      <c r="U903" s="14"/>
      <c r="V903" s="14"/>
      <c r="W903" s="14"/>
      <c r="X903" s="14"/>
      <c r="Y903" s="13"/>
      <c r="Z903" s="14"/>
    </row>
    <row r="904" spans="1:26" ht="14.25" customHeight="1" x14ac:dyDescent="0.25">
      <c r="A904" s="14"/>
      <c r="B904" s="14"/>
      <c r="C904" s="14"/>
      <c r="D904" s="14"/>
      <c r="E904" s="122"/>
      <c r="F904" s="14"/>
      <c r="G904" s="14"/>
      <c r="H904" s="14"/>
      <c r="I904" s="14"/>
      <c r="J904" s="14"/>
      <c r="K904" s="7"/>
      <c r="L904" s="14"/>
      <c r="M904" s="7"/>
      <c r="N904" s="14"/>
      <c r="O904" s="14"/>
      <c r="P904" s="7"/>
      <c r="Q904" s="21"/>
      <c r="R904" s="14"/>
      <c r="S904" s="14"/>
      <c r="T904" s="14"/>
      <c r="U904" s="14"/>
      <c r="V904" s="14"/>
      <c r="W904" s="14"/>
      <c r="X904" s="14"/>
      <c r="Y904" s="13"/>
      <c r="Z904" s="14"/>
    </row>
    <row r="905" spans="1:26" ht="14.25" customHeight="1" x14ac:dyDescent="0.25">
      <c r="A905" s="14"/>
      <c r="B905" s="14"/>
      <c r="C905" s="14"/>
      <c r="D905" s="14"/>
      <c r="E905" s="122"/>
      <c r="F905" s="14"/>
      <c r="G905" s="14"/>
      <c r="H905" s="14"/>
      <c r="I905" s="14"/>
      <c r="J905" s="14"/>
      <c r="K905" s="7"/>
      <c r="L905" s="14"/>
      <c r="M905" s="7"/>
      <c r="N905" s="14"/>
      <c r="O905" s="14"/>
      <c r="P905" s="7"/>
      <c r="Q905" s="21"/>
      <c r="R905" s="14"/>
      <c r="S905" s="14"/>
      <c r="T905" s="14"/>
      <c r="U905" s="14"/>
      <c r="V905" s="14"/>
      <c r="W905" s="14"/>
      <c r="X905" s="14"/>
      <c r="Y905" s="13"/>
      <c r="Z905" s="14"/>
    </row>
    <row r="906" spans="1:26" ht="14.25" customHeight="1" x14ac:dyDescent="0.25">
      <c r="A906" s="14"/>
      <c r="B906" s="14"/>
      <c r="C906" s="14"/>
      <c r="D906" s="14"/>
      <c r="E906" s="122"/>
      <c r="F906" s="14"/>
      <c r="G906" s="14"/>
      <c r="H906" s="14"/>
      <c r="I906" s="14"/>
      <c r="J906" s="14"/>
      <c r="K906" s="7"/>
      <c r="L906" s="14"/>
      <c r="M906" s="7"/>
      <c r="N906" s="14"/>
      <c r="O906" s="14"/>
      <c r="P906" s="7"/>
      <c r="Q906" s="21"/>
      <c r="R906" s="14"/>
      <c r="S906" s="14"/>
      <c r="T906" s="14"/>
      <c r="U906" s="14"/>
      <c r="V906" s="14"/>
      <c r="W906" s="14"/>
      <c r="X906" s="14"/>
      <c r="Y906" s="13"/>
      <c r="Z906" s="14"/>
    </row>
    <row r="907" spans="1:26" ht="14.25" customHeight="1" x14ac:dyDescent="0.25">
      <c r="A907" s="14"/>
      <c r="B907" s="14"/>
      <c r="C907" s="14"/>
      <c r="D907" s="14"/>
      <c r="E907" s="122"/>
      <c r="F907" s="14"/>
      <c r="G907" s="14"/>
      <c r="H907" s="14"/>
      <c r="I907" s="14"/>
      <c r="J907" s="14"/>
      <c r="K907" s="7"/>
      <c r="L907" s="14"/>
      <c r="M907" s="7"/>
      <c r="N907" s="14"/>
      <c r="O907" s="14"/>
      <c r="P907" s="7"/>
      <c r="Q907" s="21"/>
      <c r="R907" s="14"/>
      <c r="S907" s="14"/>
      <c r="T907" s="14"/>
      <c r="U907" s="14"/>
      <c r="V907" s="14"/>
      <c r="W907" s="14"/>
      <c r="X907" s="14"/>
      <c r="Y907" s="13"/>
      <c r="Z907" s="14"/>
    </row>
    <row r="908" spans="1:26" ht="14.25" customHeight="1" x14ac:dyDescent="0.25">
      <c r="A908" s="14"/>
      <c r="B908" s="14"/>
      <c r="C908" s="14"/>
      <c r="D908" s="14"/>
      <c r="E908" s="122"/>
      <c r="F908" s="14"/>
      <c r="G908" s="14"/>
      <c r="H908" s="14"/>
      <c r="I908" s="14"/>
      <c r="J908" s="14"/>
      <c r="K908" s="7"/>
      <c r="L908" s="14"/>
      <c r="M908" s="7"/>
      <c r="N908" s="14"/>
      <c r="O908" s="14"/>
      <c r="P908" s="7"/>
      <c r="Q908" s="21"/>
      <c r="R908" s="14"/>
      <c r="S908" s="14"/>
      <c r="T908" s="14"/>
      <c r="U908" s="14"/>
      <c r="V908" s="14"/>
      <c r="W908" s="14"/>
      <c r="X908" s="14"/>
      <c r="Y908" s="13"/>
      <c r="Z908" s="14"/>
    </row>
    <row r="909" spans="1:26" ht="14.25" customHeight="1" x14ac:dyDescent="0.25">
      <c r="A909" s="14"/>
      <c r="B909" s="14"/>
      <c r="C909" s="14"/>
      <c r="D909" s="14"/>
      <c r="E909" s="122"/>
      <c r="F909" s="14"/>
      <c r="G909" s="14"/>
      <c r="H909" s="14"/>
      <c r="I909" s="14"/>
      <c r="J909" s="14"/>
      <c r="K909" s="7"/>
      <c r="L909" s="14"/>
      <c r="M909" s="7"/>
      <c r="N909" s="14"/>
      <c r="O909" s="14"/>
      <c r="P909" s="7"/>
      <c r="Q909" s="21"/>
      <c r="R909" s="14"/>
      <c r="S909" s="14"/>
      <c r="T909" s="14"/>
      <c r="U909" s="14"/>
      <c r="V909" s="14"/>
      <c r="W909" s="14"/>
      <c r="X909" s="14"/>
      <c r="Y909" s="13"/>
      <c r="Z909" s="14"/>
    </row>
    <row r="910" spans="1:26" ht="14.25" customHeight="1" x14ac:dyDescent="0.25">
      <c r="A910" s="14"/>
      <c r="B910" s="14"/>
      <c r="C910" s="14"/>
      <c r="D910" s="14"/>
      <c r="E910" s="122"/>
      <c r="F910" s="14"/>
      <c r="G910" s="14"/>
      <c r="H910" s="14"/>
      <c r="I910" s="14"/>
      <c r="J910" s="14"/>
      <c r="K910" s="7"/>
      <c r="L910" s="14"/>
      <c r="M910" s="7"/>
      <c r="N910" s="14"/>
      <c r="O910" s="14"/>
      <c r="P910" s="7"/>
      <c r="Q910" s="21"/>
      <c r="R910" s="14"/>
      <c r="S910" s="14"/>
      <c r="T910" s="14"/>
      <c r="U910" s="14"/>
      <c r="V910" s="14"/>
      <c r="W910" s="14"/>
      <c r="X910" s="14"/>
      <c r="Y910" s="13"/>
      <c r="Z910" s="14"/>
    </row>
    <row r="911" spans="1:26" ht="14.25" customHeight="1" x14ac:dyDescent="0.25">
      <c r="A911" s="14"/>
      <c r="B911" s="14"/>
      <c r="C911" s="14"/>
      <c r="D911" s="14"/>
      <c r="E911" s="122"/>
      <c r="F911" s="14"/>
      <c r="G911" s="14"/>
      <c r="H911" s="14"/>
      <c r="I911" s="14"/>
      <c r="J911" s="14"/>
      <c r="K911" s="7"/>
      <c r="L911" s="14"/>
      <c r="M911" s="7"/>
      <c r="N911" s="14"/>
      <c r="O911" s="14"/>
      <c r="P911" s="7"/>
      <c r="Q911" s="21"/>
      <c r="R911" s="14"/>
      <c r="S911" s="14"/>
      <c r="T911" s="14"/>
      <c r="U911" s="14"/>
      <c r="V911" s="14"/>
      <c r="W911" s="14"/>
      <c r="X911" s="14"/>
      <c r="Y911" s="13"/>
      <c r="Z911" s="14"/>
    </row>
    <row r="912" spans="1:26" ht="14.25" customHeight="1" x14ac:dyDescent="0.25">
      <c r="A912" s="14"/>
      <c r="B912" s="14"/>
      <c r="C912" s="14"/>
      <c r="D912" s="14"/>
      <c r="E912" s="122"/>
      <c r="F912" s="14"/>
      <c r="G912" s="14"/>
      <c r="H912" s="14"/>
      <c r="I912" s="14"/>
      <c r="J912" s="14"/>
      <c r="K912" s="7"/>
      <c r="L912" s="14"/>
      <c r="M912" s="7"/>
      <c r="N912" s="14"/>
      <c r="O912" s="14"/>
      <c r="P912" s="7"/>
      <c r="Q912" s="21"/>
      <c r="R912" s="14"/>
      <c r="S912" s="14"/>
      <c r="T912" s="14"/>
      <c r="U912" s="14"/>
      <c r="V912" s="14"/>
      <c r="W912" s="14"/>
      <c r="X912" s="14"/>
      <c r="Y912" s="13"/>
      <c r="Z912" s="14"/>
    </row>
    <row r="913" spans="1:26" ht="14.25" customHeight="1" x14ac:dyDescent="0.25">
      <c r="A913" s="14"/>
      <c r="B913" s="14"/>
      <c r="C913" s="14"/>
      <c r="D913" s="14"/>
      <c r="E913" s="122"/>
      <c r="F913" s="14"/>
      <c r="G913" s="14"/>
      <c r="H913" s="14"/>
      <c r="I913" s="14"/>
      <c r="J913" s="14"/>
      <c r="K913" s="7"/>
      <c r="L913" s="14"/>
      <c r="M913" s="7"/>
      <c r="N913" s="14"/>
      <c r="O913" s="14"/>
      <c r="P913" s="7"/>
      <c r="Q913" s="21"/>
      <c r="R913" s="14"/>
      <c r="S913" s="14"/>
      <c r="T913" s="14"/>
      <c r="U913" s="14"/>
      <c r="V913" s="14"/>
      <c r="W913" s="14"/>
      <c r="X913" s="14"/>
      <c r="Y913" s="13"/>
      <c r="Z913" s="14"/>
    </row>
    <row r="914" spans="1:26" ht="14.25" customHeight="1" x14ac:dyDescent="0.25">
      <c r="A914" s="14"/>
      <c r="B914" s="14"/>
      <c r="C914" s="14"/>
      <c r="D914" s="14"/>
      <c r="E914" s="122"/>
      <c r="F914" s="14"/>
      <c r="G914" s="14"/>
      <c r="H914" s="14"/>
      <c r="I914" s="14"/>
      <c r="J914" s="14"/>
      <c r="K914" s="7"/>
      <c r="L914" s="14"/>
      <c r="M914" s="7"/>
      <c r="N914" s="14"/>
      <c r="O914" s="14"/>
      <c r="P914" s="7"/>
      <c r="Q914" s="21"/>
      <c r="R914" s="14"/>
      <c r="S914" s="14"/>
      <c r="T914" s="14"/>
      <c r="U914" s="14"/>
      <c r="V914" s="14"/>
      <c r="W914" s="14"/>
      <c r="X914" s="14"/>
      <c r="Y914" s="13"/>
      <c r="Z914" s="14"/>
    </row>
    <row r="915" spans="1:26" ht="14.25" customHeight="1" x14ac:dyDescent="0.25">
      <c r="A915" s="14"/>
      <c r="B915" s="14"/>
      <c r="C915" s="14"/>
      <c r="D915" s="14"/>
      <c r="E915" s="122"/>
      <c r="F915" s="14"/>
      <c r="G915" s="14"/>
      <c r="H915" s="14"/>
      <c r="I915" s="14"/>
      <c r="J915" s="14"/>
      <c r="K915" s="7"/>
      <c r="L915" s="14"/>
      <c r="M915" s="7"/>
      <c r="N915" s="14"/>
      <c r="O915" s="14"/>
      <c r="P915" s="7"/>
      <c r="Q915" s="21"/>
      <c r="R915" s="14"/>
      <c r="S915" s="14"/>
      <c r="T915" s="14"/>
      <c r="U915" s="14"/>
      <c r="V915" s="14"/>
      <c r="W915" s="14"/>
      <c r="X915" s="14"/>
      <c r="Y915" s="13"/>
      <c r="Z915" s="14"/>
    </row>
    <row r="916" spans="1:26" ht="14.25" customHeight="1" x14ac:dyDescent="0.25">
      <c r="A916" s="14"/>
      <c r="B916" s="14"/>
      <c r="C916" s="14"/>
      <c r="D916" s="14"/>
      <c r="E916" s="122"/>
      <c r="F916" s="14"/>
      <c r="G916" s="14"/>
      <c r="H916" s="14"/>
      <c r="I916" s="14"/>
      <c r="J916" s="14"/>
      <c r="K916" s="7"/>
      <c r="L916" s="14"/>
      <c r="M916" s="7"/>
      <c r="N916" s="14"/>
      <c r="O916" s="14"/>
      <c r="P916" s="7"/>
      <c r="Q916" s="21"/>
      <c r="R916" s="14"/>
      <c r="S916" s="14"/>
      <c r="T916" s="14"/>
      <c r="U916" s="14"/>
      <c r="V916" s="14"/>
      <c r="W916" s="14"/>
      <c r="X916" s="14"/>
      <c r="Y916" s="13"/>
      <c r="Z916" s="14"/>
    </row>
    <row r="917" spans="1:26" ht="14.25" customHeight="1" x14ac:dyDescent="0.25">
      <c r="A917" s="14"/>
      <c r="B917" s="14"/>
      <c r="C917" s="14"/>
      <c r="D917" s="14"/>
      <c r="E917" s="122"/>
      <c r="F917" s="14"/>
      <c r="G917" s="14"/>
      <c r="H917" s="14"/>
      <c r="I917" s="14"/>
      <c r="J917" s="14"/>
      <c r="K917" s="7"/>
      <c r="L917" s="14"/>
      <c r="M917" s="7"/>
      <c r="N917" s="14"/>
      <c r="O917" s="14"/>
      <c r="P917" s="7"/>
      <c r="Q917" s="21"/>
      <c r="R917" s="14"/>
      <c r="S917" s="14"/>
      <c r="T917" s="14"/>
      <c r="U917" s="14"/>
      <c r="V917" s="14"/>
      <c r="W917" s="14"/>
      <c r="X917" s="14"/>
      <c r="Y917" s="13"/>
      <c r="Z917" s="14"/>
    </row>
    <row r="918" spans="1:26" ht="14.25" customHeight="1" x14ac:dyDescent="0.25">
      <c r="A918" s="14"/>
      <c r="B918" s="14"/>
      <c r="C918" s="14"/>
      <c r="D918" s="14"/>
      <c r="E918" s="122"/>
      <c r="F918" s="14"/>
      <c r="G918" s="14"/>
      <c r="H918" s="14"/>
      <c r="I918" s="14"/>
      <c r="J918" s="14"/>
      <c r="K918" s="7"/>
      <c r="L918" s="14"/>
      <c r="M918" s="7"/>
      <c r="N918" s="14"/>
      <c r="O918" s="14"/>
      <c r="P918" s="7"/>
      <c r="Q918" s="21"/>
      <c r="R918" s="14"/>
      <c r="S918" s="14"/>
      <c r="T918" s="14"/>
      <c r="U918" s="14"/>
      <c r="V918" s="14"/>
      <c r="W918" s="14"/>
      <c r="X918" s="14"/>
      <c r="Y918" s="13"/>
      <c r="Z918" s="14"/>
    </row>
    <row r="919" spans="1:26" ht="14.25" customHeight="1" x14ac:dyDescent="0.25">
      <c r="A919" s="14"/>
      <c r="B919" s="14"/>
      <c r="C919" s="14"/>
      <c r="D919" s="14"/>
      <c r="E919" s="122"/>
      <c r="F919" s="14"/>
      <c r="G919" s="14"/>
      <c r="H919" s="14"/>
      <c r="I919" s="14"/>
      <c r="J919" s="14"/>
      <c r="K919" s="7"/>
      <c r="L919" s="14"/>
      <c r="M919" s="7"/>
      <c r="N919" s="14"/>
      <c r="O919" s="14"/>
      <c r="P919" s="7"/>
      <c r="Q919" s="21"/>
      <c r="R919" s="14"/>
      <c r="S919" s="14"/>
      <c r="T919" s="14"/>
      <c r="U919" s="14"/>
      <c r="V919" s="14"/>
      <c r="W919" s="14"/>
      <c r="X919" s="14"/>
      <c r="Y919" s="13"/>
      <c r="Z919" s="14"/>
    </row>
    <row r="920" spans="1:26" ht="14.25" customHeight="1" x14ac:dyDescent="0.25">
      <c r="A920" s="14"/>
      <c r="B920" s="14"/>
      <c r="C920" s="14"/>
      <c r="D920" s="14"/>
      <c r="E920" s="122"/>
      <c r="F920" s="14"/>
      <c r="G920" s="14"/>
      <c r="H920" s="14"/>
      <c r="I920" s="14"/>
      <c r="J920" s="14"/>
      <c r="K920" s="7"/>
      <c r="L920" s="14"/>
      <c r="M920" s="7"/>
      <c r="N920" s="14"/>
      <c r="O920" s="14"/>
      <c r="P920" s="7"/>
      <c r="Q920" s="21"/>
      <c r="R920" s="14"/>
      <c r="S920" s="14"/>
      <c r="T920" s="14"/>
      <c r="U920" s="14"/>
      <c r="V920" s="14"/>
      <c r="W920" s="14"/>
      <c r="X920" s="14"/>
      <c r="Y920" s="13"/>
      <c r="Z920" s="14"/>
    </row>
    <row r="921" spans="1:26" ht="14.25" customHeight="1" x14ac:dyDescent="0.25">
      <c r="A921" s="14"/>
      <c r="B921" s="14"/>
      <c r="C921" s="14"/>
      <c r="D921" s="14"/>
      <c r="E921" s="122"/>
      <c r="F921" s="14"/>
      <c r="G921" s="14"/>
      <c r="H921" s="14"/>
      <c r="I921" s="14"/>
      <c r="J921" s="14"/>
      <c r="K921" s="7"/>
      <c r="L921" s="14"/>
      <c r="M921" s="7"/>
      <c r="N921" s="14"/>
      <c r="O921" s="14"/>
      <c r="P921" s="7"/>
      <c r="Q921" s="21"/>
      <c r="R921" s="14"/>
      <c r="S921" s="14"/>
      <c r="T921" s="14"/>
      <c r="U921" s="14"/>
      <c r="V921" s="14"/>
      <c r="W921" s="14"/>
      <c r="X921" s="14"/>
      <c r="Y921" s="13"/>
      <c r="Z921" s="14"/>
    </row>
    <row r="922" spans="1:26" ht="14.25" customHeight="1" x14ac:dyDescent="0.25">
      <c r="A922" s="14"/>
      <c r="B922" s="14"/>
      <c r="C922" s="14"/>
      <c r="D922" s="14"/>
      <c r="E922" s="122"/>
      <c r="F922" s="14"/>
      <c r="G922" s="14"/>
      <c r="H922" s="14"/>
      <c r="I922" s="14"/>
      <c r="J922" s="14"/>
      <c r="K922" s="7"/>
      <c r="L922" s="14"/>
      <c r="M922" s="7"/>
      <c r="N922" s="14"/>
      <c r="O922" s="14"/>
      <c r="P922" s="7"/>
      <c r="Q922" s="21"/>
      <c r="R922" s="14"/>
      <c r="S922" s="14"/>
      <c r="T922" s="14"/>
      <c r="U922" s="14"/>
      <c r="V922" s="14"/>
      <c r="W922" s="14"/>
      <c r="X922" s="14"/>
      <c r="Y922" s="13"/>
      <c r="Z922" s="14"/>
    </row>
    <row r="923" spans="1:26" ht="14.25" customHeight="1" x14ac:dyDescent="0.25">
      <c r="A923" s="14"/>
      <c r="B923" s="14"/>
      <c r="C923" s="14"/>
      <c r="D923" s="14"/>
      <c r="E923" s="122"/>
      <c r="F923" s="14"/>
      <c r="G923" s="14"/>
      <c r="H923" s="14"/>
      <c r="I923" s="14"/>
      <c r="J923" s="14"/>
      <c r="K923" s="7"/>
      <c r="L923" s="14"/>
      <c r="M923" s="7"/>
      <c r="N923" s="14"/>
      <c r="O923" s="14"/>
      <c r="P923" s="7"/>
      <c r="Q923" s="21"/>
      <c r="R923" s="14"/>
      <c r="S923" s="14"/>
      <c r="T923" s="14"/>
      <c r="U923" s="14"/>
      <c r="V923" s="14"/>
      <c r="W923" s="14"/>
      <c r="X923" s="14"/>
      <c r="Y923" s="13"/>
      <c r="Z923" s="14"/>
    </row>
    <row r="924" spans="1:26" ht="14.25" customHeight="1" x14ac:dyDescent="0.25">
      <c r="A924" s="14"/>
      <c r="B924" s="14"/>
      <c r="C924" s="14"/>
      <c r="D924" s="14"/>
      <c r="E924" s="122"/>
      <c r="F924" s="14"/>
      <c r="G924" s="14"/>
      <c r="H924" s="14"/>
      <c r="I924" s="14"/>
      <c r="J924" s="14"/>
      <c r="K924" s="7"/>
      <c r="L924" s="14"/>
      <c r="M924" s="7"/>
      <c r="N924" s="14"/>
      <c r="O924" s="14"/>
      <c r="P924" s="7"/>
      <c r="Q924" s="21"/>
      <c r="R924" s="14"/>
      <c r="S924" s="14"/>
      <c r="T924" s="14"/>
      <c r="U924" s="14"/>
      <c r="V924" s="14"/>
      <c r="W924" s="14"/>
      <c r="X924" s="14"/>
      <c r="Y924" s="13"/>
      <c r="Z924" s="14"/>
    </row>
    <row r="925" spans="1:26" ht="14.25" customHeight="1" x14ac:dyDescent="0.25">
      <c r="A925" s="14"/>
      <c r="B925" s="14"/>
      <c r="C925" s="14"/>
      <c r="D925" s="14"/>
      <c r="E925" s="122"/>
      <c r="F925" s="14"/>
      <c r="G925" s="14"/>
      <c r="H925" s="14"/>
      <c r="I925" s="14"/>
      <c r="J925" s="14"/>
      <c r="K925" s="7"/>
      <c r="L925" s="14"/>
      <c r="M925" s="7"/>
      <c r="N925" s="14"/>
      <c r="O925" s="14"/>
      <c r="P925" s="7"/>
      <c r="Q925" s="21"/>
      <c r="R925" s="14"/>
      <c r="S925" s="14"/>
      <c r="T925" s="14"/>
      <c r="U925" s="14"/>
      <c r="V925" s="14"/>
      <c r="W925" s="14"/>
      <c r="X925" s="14"/>
      <c r="Y925" s="13"/>
      <c r="Z925" s="14"/>
    </row>
    <row r="926" spans="1:26" ht="14.25" customHeight="1" x14ac:dyDescent="0.25">
      <c r="A926" s="14"/>
      <c r="B926" s="14"/>
      <c r="C926" s="14"/>
      <c r="D926" s="14"/>
      <c r="E926" s="122"/>
      <c r="F926" s="14"/>
      <c r="G926" s="14"/>
      <c r="H926" s="14"/>
      <c r="I926" s="14"/>
      <c r="J926" s="14"/>
      <c r="K926" s="7"/>
      <c r="L926" s="14"/>
      <c r="M926" s="7"/>
      <c r="N926" s="14"/>
      <c r="O926" s="14"/>
      <c r="P926" s="7"/>
      <c r="Q926" s="21"/>
      <c r="R926" s="14"/>
      <c r="S926" s="14"/>
      <c r="T926" s="14"/>
      <c r="U926" s="14"/>
      <c r="V926" s="14"/>
      <c r="W926" s="14"/>
      <c r="X926" s="14"/>
      <c r="Y926" s="13"/>
      <c r="Z926" s="14"/>
    </row>
    <row r="927" spans="1:26" ht="14.25" customHeight="1" x14ac:dyDescent="0.25">
      <c r="A927" s="14"/>
      <c r="B927" s="14"/>
      <c r="C927" s="14"/>
      <c r="D927" s="14"/>
      <c r="E927" s="122"/>
      <c r="F927" s="14"/>
      <c r="G927" s="14"/>
      <c r="H927" s="14"/>
      <c r="I927" s="14"/>
      <c r="J927" s="14"/>
      <c r="K927" s="7"/>
      <c r="L927" s="14"/>
      <c r="M927" s="7"/>
      <c r="N927" s="14"/>
      <c r="O927" s="14"/>
      <c r="P927" s="7"/>
      <c r="Q927" s="21"/>
      <c r="R927" s="14"/>
      <c r="S927" s="14"/>
      <c r="T927" s="14"/>
      <c r="U927" s="14"/>
      <c r="V927" s="14"/>
      <c r="W927" s="14"/>
      <c r="X927" s="14"/>
      <c r="Y927" s="13"/>
      <c r="Z927" s="14"/>
    </row>
    <row r="928" spans="1:26" ht="14.25" customHeight="1" x14ac:dyDescent="0.25">
      <c r="A928" s="14"/>
      <c r="B928" s="14"/>
      <c r="C928" s="14"/>
      <c r="D928" s="14"/>
      <c r="E928" s="122"/>
      <c r="F928" s="14"/>
      <c r="G928" s="14"/>
      <c r="H928" s="14"/>
      <c r="I928" s="14"/>
      <c r="J928" s="14"/>
      <c r="K928" s="7"/>
      <c r="L928" s="14"/>
      <c r="M928" s="7"/>
      <c r="N928" s="14"/>
      <c r="O928" s="14"/>
      <c r="P928" s="7"/>
      <c r="Q928" s="21"/>
      <c r="R928" s="14"/>
      <c r="S928" s="14"/>
      <c r="T928" s="14"/>
      <c r="U928" s="14"/>
      <c r="V928" s="14"/>
      <c r="W928" s="14"/>
      <c r="X928" s="14"/>
      <c r="Y928" s="13"/>
      <c r="Z928" s="14"/>
    </row>
    <row r="929" spans="1:26" ht="14.25" customHeight="1" x14ac:dyDescent="0.25">
      <c r="A929" s="14"/>
      <c r="B929" s="14"/>
      <c r="C929" s="14"/>
      <c r="D929" s="14"/>
      <c r="E929" s="122"/>
      <c r="F929" s="14"/>
      <c r="G929" s="14"/>
      <c r="H929" s="14"/>
      <c r="I929" s="14"/>
      <c r="J929" s="14"/>
      <c r="K929" s="7"/>
      <c r="L929" s="14"/>
      <c r="M929" s="7"/>
      <c r="N929" s="14"/>
      <c r="O929" s="14"/>
      <c r="P929" s="7"/>
      <c r="Q929" s="21"/>
      <c r="R929" s="14"/>
      <c r="S929" s="14"/>
      <c r="T929" s="14"/>
      <c r="U929" s="14"/>
      <c r="V929" s="14"/>
      <c r="W929" s="14"/>
      <c r="X929" s="14"/>
      <c r="Y929" s="13"/>
      <c r="Z929" s="14"/>
    </row>
    <row r="930" spans="1:26" ht="14.25" customHeight="1" x14ac:dyDescent="0.25">
      <c r="A930" s="14"/>
      <c r="B930" s="14"/>
      <c r="C930" s="14"/>
      <c r="D930" s="14"/>
      <c r="E930" s="122"/>
      <c r="F930" s="14"/>
      <c r="G930" s="14"/>
      <c r="H930" s="14"/>
      <c r="I930" s="14"/>
      <c r="J930" s="14"/>
      <c r="K930" s="7"/>
      <c r="L930" s="14"/>
      <c r="M930" s="7"/>
      <c r="N930" s="14"/>
      <c r="O930" s="14"/>
      <c r="P930" s="7"/>
      <c r="Q930" s="21"/>
      <c r="R930" s="14"/>
      <c r="S930" s="14"/>
      <c r="T930" s="14"/>
      <c r="U930" s="14"/>
      <c r="V930" s="14"/>
      <c r="W930" s="14"/>
      <c r="X930" s="14"/>
      <c r="Y930" s="13"/>
      <c r="Z930" s="14"/>
    </row>
    <row r="931" spans="1:26" ht="14.25" customHeight="1" x14ac:dyDescent="0.25">
      <c r="A931" s="14"/>
      <c r="B931" s="14"/>
      <c r="C931" s="14"/>
      <c r="D931" s="14"/>
      <c r="E931" s="122"/>
      <c r="F931" s="14"/>
      <c r="G931" s="14"/>
      <c r="H931" s="14"/>
      <c r="I931" s="14"/>
      <c r="J931" s="14"/>
      <c r="K931" s="7"/>
      <c r="L931" s="14"/>
      <c r="M931" s="7"/>
      <c r="N931" s="14"/>
      <c r="O931" s="14"/>
      <c r="P931" s="7"/>
      <c r="Q931" s="21"/>
      <c r="R931" s="14"/>
      <c r="S931" s="14"/>
      <c r="T931" s="14"/>
      <c r="U931" s="14"/>
      <c r="V931" s="14"/>
      <c r="W931" s="14"/>
      <c r="X931" s="14"/>
      <c r="Y931" s="13"/>
      <c r="Z931" s="14"/>
    </row>
    <row r="932" spans="1:26" ht="14.25" customHeight="1" x14ac:dyDescent="0.25">
      <c r="A932" s="14"/>
      <c r="B932" s="14"/>
      <c r="C932" s="14"/>
      <c r="D932" s="14"/>
      <c r="E932" s="122"/>
      <c r="F932" s="14"/>
      <c r="G932" s="14"/>
      <c r="H932" s="14"/>
      <c r="I932" s="14"/>
      <c r="J932" s="14"/>
      <c r="K932" s="7"/>
      <c r="L932" s="14"/>
      <c r="M932" s="7"/>
      <c r="N932" s="14"/>
      <c r="O932" s="14"/>
      <c r="P932" s="7"/>
      <c r="Q932" s="21"/>
      <c r="R932" s="14"/>
      <c r="S932" s="14"/>
      <c r="T932" s="14"/>
      <c r="U932" s="14"/>
      <c r="V932" s="14"/>
      <c r="W932" s="14"/>
      <c r="X932" s="14"/>
      <c r="Y932" s="13"/>
      <c r="Z932" s="14"/>
    </row>
    <row r="933" spans="1:26" ht="14.25" customHeight="1" x14ac:dyDescent="0.25">
      <c r="A933" s="14"/>
      <c r="B933" s="14"/>
      <c r="C933" s="14"/>
      <c r="D933" s="14"/>
      <c r="E933" s="122"/>
      <c r="F933" s="14"/>
      <c r="G933" s="14"/>
      <c r="H933" s="14"/>
      <c r="I933" s="14"/>
      <c r="J933" s="14"/>
      <c r="K933" s="7"/>
      <c r="L933" s="14"/>
      <c r="M933" s="7"/>
      <c r="N933" s="14"/>
      <c r="O933" s="14"/>
      <c r="P933" s="7"/>
      <c r="Q933" s="21"/>
      <c r="R933" s="14"/>
      <c r="S933" s="14"/>
      <c r="T933" s="14"/>
      <c r="U933" s="14"/>
      <c r="V933" s="14"/>
      <c r="W933" s="14"/>
      <c r="X933" s="14"/>
      <c r="Y933" s="13"/>
      <c r="Z933" s="14"/>
    </row>
    <row r="934" spans="1:26" ht="14.25" customHeight="1" x14ac:dyDescent="0.25">
      <c r="A934" s="14"/>
      <c r="B934" s="14"/>
      <c r="C934" s="14"/>
      <c r="D934" s="14"/>
      <c r="E934" s="122"/>
      <c r="F934" s="14"/>
      <c r="G934" s="14"/>
      <c r="H934" s="14"/>
      <c r="I934" s="14"/>
      <c r="J934" s="14"/>
      <c r="K934" s="7"/>
      <c r="L934" s="14"/>
      <c r="M934" s="7"/>
      <c r="N934" s="14"/>
      <c r="O934" s="14"/>
      <c r="P934" s="7"/>
      <c r="Q934" s="21"/>
      <c r="R934" s="14"/>
      <c r="S934" s="14"/>
      <c r="T934" s="14"/>
      <c r="U934" s="14"/>
      <c r="V934" s="14"/>
      <c r="W934" s="14"/>
      <c r="X934" s="14"/>
      <c r="Y934" s="13"/>
      <c r="Z934" s="14"/>
    </row>
    <row r="935" spans="1:26" ht="14.25" customHeight="1" x14ac:dyDescent="0.25">
      <c r="A935" s="14"/>
      <c r="B935" s="14"/>
      <c r="C935" s="14"/>
      <c r="D935" s="14"/>
      <c r="E935" s="122"/>
      <c r="F935" s="14"/>
      <c r="G935" s="14"/>
      <c r="H935" s="14"/>
      <c r="I935" s="14"/>
      <c r="J935" s="14"/>
      <c r="K935" s="7"/>
      <c r="L935" s="14"/>
      <c r="M935" s="7"/>
      <c r="N935" s="14"/>
      <c r="O935" s="14"/>
      <c r="P935" s="7"/>
      <c r="Q935" s="21"/>
      <c r="R935" s="14"/>
      <c r="S935" s="14"/>
      <c r="T935" s="14"/>
      <c r="U935" s="14"/>
      <c r="V935" s="14"/>
      <c r="W935" s="14"/>
      <c r="X935" s="14"/>
      <c r="Y935" s="13"/>
      <c r="Z935" s="14"/>
    </row>
    <row r="936" spans="1:26" ht="14.25" customHeight="1" x14ac:dyDescent="0.25">
      <c r="A936" s="14"/>
      <c r="B936" s="14"/>
      <c r="C936" s="14"/>
      <c r="D936" s="14"/>
      <c r="E936" s="122"/>
      <c r="F936" s="14"/>
      <c r="G936" s="14"/>
      <c r="H936" s="14"/>
      <c r="I936" s="14"/>
      <c r="J936" s="14"/>
      <c r="K936" s="7"/>
      <c r="L936" s="14"/>
      <c r="M936" s="7"/>
      <c r="N936" s="14"/>
      <c r="O936" s="14"/>
      <c r="P936" s="7"/>
      <c r="Q936" s="21"/>
      <c r="R936" s="14"/>
      <c r="S936" s="14"/>
      <c r="T936" s="14"/>
      <c r="U936" s="14"/>
      <c r="V936" s="14"/>
      <c r="W936" s="14"/>
      <c r="X936" s="14"/>
      <c r="Y936" s="13"/>
      <c r="Z936" s="14"/>
    </row>
    <row r="937" spans="1:26" ht="14.25" customHeight="1" x14ac:dyDescent="0.25">
      <c r="A937" s="14"/>
      <c r="B937" s="14"/>
      <c r="C937" s="14"/>
      <c r="D937" s="14"/>
      <c r="E937" s="122"/>
      <c r="F937" s="14"/>
      <c r="G937" s="14"/>
      <c r="H937" s="14"/>
      <c r="I937" s="14"/>
      <c r="J937" s="14"/>
      <c r="K937" s="7"/>
      <c r="L937" s="14"/>
      <c r="M937" s="7"/>
      <c r="N937" s="14"/>
      <c r="O937" s="14"/>
      <c r="P937" s="7"/>
      <c r="Q937" s="21"/>
      <c r="R937" s="14"/>
      <c r="S937" s="14"/>
      <c r="T937" s="14"/>
      <c r="U937" s="14"/>
      <c r="V937" s="14"/>
      <c r="W937" s="14"/>
      <c r="X937" s="14"/>
      <c r="Y937" s="13"/>
      <c r="Z937" s="14"/>
    </row>
    <row r="938" spans="1:26" ht="14.25" customHeight="1" x14ac:dyDescent="0.25">
      <c r="A938" s="14"/>
      <c r="B938" s="14"/>
      <c r="C938" s="14"/>
      <c r="D938" s="14"/>
      <c r="E938" s="122"/>
      <c r="F938" s="14"/>
      <c r="G938" s="14"/>
      <c r="H938" s="14"/>
      <c r="I938" s="14"/>
      <c r="J938" s="14"/>
      <c r="K938" s="7"/>
      <c r="L938" s="14"/>
      <c r="M938" s="7"/>
      <c r="N938" s="14"/>
      <c r="O938" s="14"/>
      <c r="P938" s="7"/>
      <c r="Q938" s="21"/>
      <c r="R938" s="14"/>
      <c r="S938" s="14"/>
      <c r="T938" s="14"/>
      <c r="U938" s="14"/>
      <c r="V938" s="14"/>
      <c r="W938" s="14"/>
      <c r="X938" s="14"/>
      <c r="Y938" s="13"/>
      <c r="Z938" s="14"/>
    </row>
    <row r="939" spans="1:26" ht="14.25" customHeight="1" x14ac:dyDescent="0.25">
      <c r="A939" s="14"/>
      <c r="B939" s="14"/>
      <c r="C939" s="14"/>
      <c r="D939" s="14"/>
      <c r="E939" s="122"/>
      <c r="F939" s="14"/>
      <c r="G939" s="14"/>
      <c r="H939" s="14"/>
      <c r="I939" s="14"/>
      <c r="J939" s="14"/>
      <c r="K939" s="7"/>
      <c r="L939" s="14"/>
      <c r="M939" s="7"/>
      <c r="N939" s="14"/>
      <c r="O939" s="14"/>
      <c r="P939" s="7"/>
      <c r="Q939" s="21"/>
      <c r="R939" s="14"/>
      <c r="S939" s="14"/>
      <c r="T939" s="14"/>
      <c r="U939" s="14"/>
      <c r="V939" s="14"/>
      <c r="W939" s="14"/>
      <c r="X939" s="14"/>
      <c r="Y939" s="13"/>
      <c r="Z939" s="14"/>
    </row>
    <row r="940" spans="1:26" ht="14.25" customHeight="1" x14ac:dyDescent="0.25">
      <c r="A940" s="14"/>
      <c r="B940" s="14"/>
      <c r="C940" s="14"/>
      <c r="D940" s="14"/>
      <c r="E940" s="122"/>
      <c r="F940" s="14"/>
      <c r="G940" s="14"/>
      <c r="H940" s="14"/>
      <c r="I940" s="14"/>
      <c r="J940" s="14"/>
      <c r="K940" s="7"/>
      <c r="L940" s="14"/>
      <c r="M940" s="7"/>
      <c r="N940" s="14"/>
      <c r="O940" s="14"/>
      <c r="P940" s="7"/>
      <c r="Q940" s="21"/>
      <c r="R940" s="14"/>
      <c r="S940" s="14"/>
      <c r="T940" s="14"/>
      <c r="U940" s="14"/>
      <c r="V940" s="14"/>
      <c r="W940" s="14"/>
      <c r="X940" s="14"/>
      <c r="Y940" s="13"/>
      <c r="Z940" s="14"/>
    </row>
    <row r="941" spans="1:26" ht="14.25" customHeight="1" x14ac:dyDescent="0.25">
      <c r="A941" s="14"/>
      <c r="B941" s="14"/>
      <c r="C941" s="14"/>
      <c r="D941" s="14"/>
      <c r="E941" s="122"/>
      <c r="F941" s="14"/>
      <c r="G941" s="14"/>
      <c r="H941" s="14"/>
      <c r="I941" s="14"/>
      <c r="J941" s="14"/>
      <c r="K941" s="7"/>
      <c r="L941" s="14"/>
      <c r="M941" s="7"/>
      <c r="N941" s="14"/>
      <c r="O941" s="14"/>
      <c r="P941" s="7"/>
      <c r="Q941" s="21"/>
      <c r="R941" s="14"/>
      <c r="S941" s="14"/>
      <c r="T941" s="14"/>
      <c r="U941" s="14"/>
      <c r="V941" s="14"/>
      <c r="W941" s="14"/>
      <c r="X941" s="14"/>
      <c r="Y941" s="13"/>
      <c r="Z941" s="14"/>
    </row>
    <row r="942" spans="1:26" ht="14.25" customHeight="1" x14ac:dyDescent="0.25">
      <c r="A942" s="14"/>
      <c r="B942" s="14"/>
      <c r="C942" s="14"/>
      <c r="D942" s="14"/>
      <c r="E942" s="122"/>
      <c r="F942" s="14"/>
      <c r="G942" s="14"/>
      <c r="H942" s="14"/>
      <c r="I942" s="14"/>
      <c r="J942" s="14"/>
      <c r="K942" s="7"/>
      <c r="L942" s="14"/>
      <c r="M942" s="7"/>
      <c r="N942" s="14"/>
      <c r="O942" s="14"/>
      <c r="P942" s="7"/>
      <c r="Q942" s="21"/>
      <c r="R942" s="14"/>
      <c r="S942" s="14"/>
      <c r="T942" s="14"/>
      <c r="U942" s="14"/>
      <c r="V942" s="14"/>
      <c r="W942" s="14"/>
      <c r="X942" s="14"/>
      <c r="Y942" s="13"/>
      <c r="Z942" s="14"/>
    </row>
    <row r="943" spans="1:26" ht="14.25" customHeight="1" x14ac:dyDescent="0.25">
      <c r="A943" s="14"/>
      <c r="B943" s="14"/>
      <c r="C943" s="14"/>
      <c r="D943" s="14"/>
      <c r="E943" s="122"/>
      <c r="F943" s="14"/>
      <c r="G943" s="14"/>
      <c r="H943" s="14"/>
      <c r="I943" s="14"/>
      <c r="J943" s="14"/>
      <c r="K943" s="7"/>
      <c r="L943" s="14"/>
      <c r="M943" s="7"/>
      <c r="N943" s="14"/>
      <c r="O943" s="14"/>
      <c r="P943" s="7"/>
      <c r="Q943" s="21"/>
      <c r="R943" s="14"/>
      <c r="S943" s="14"/>
      <c r="T943" s="14"/>
      <c r="U943" s="14"/>
      <c r="V943" s="14"/>
      <c r="W943" s="14"/>
      <c r="X943" s="14"/>
      <c r="Y943" s="13"/>
      <c r="Z943" s="14"/>
    </row>
    <row r="944" spans="1:26" ht="14.25" customHeight="1" x14ac:dyDescent="0.25">
      <c r="A944" s="14"/>
      <c r="B944" s="14"/>
      <c r="C944" s="14"/>
      <c r="D944" s="14"/>
      <c r="E944" s="122"/>
      <c r="F944" s="14"/>
      <c r="G944" s="14"/>
      <c r="H944" s="14"/>
      <c r="I944" s="14"/>
      <c r="J944" s="14"/>
      <c r="K944" s="7"/>
      <c r="L944" s="14"/>
      <c r="M944" s="7"/>
      <c r="N944" s="14"/>
      <c r="O944" s="14"/>
      <c r="P944" s="7"/>
      <c r="Q944" s="21"/>
      <c r="R944" s="14"/>
      <c r="S944" s="14"/>
      <c r="T944" s="14"/>
      <c r="U944" s="14"/>
      <c r="V944" s="14"/>
      <c r="W944" s="14"/>
      <c r="X944" s="14"/>
      <c r="Y944" s="13"/>
      <c r="Z944" s="14"/>
    </row>
    <row r="945" spans="1:26" ht="14.25" customHeight="1" x14ac:dyDescent="0.25">
      <c r="A945" s="14"/>
      <c r="B945" s="14"/>
      <c r="C945" s="14"/>
      <c r="D945" s="14"/>
      <c r="E945" s="122"/>
      <c r="F945" s="14"/>
      <c r="G945" s="14"/>
      <c r="H945" s="14"/>
      <c r="I945" s="14"/>
      <c r="J945" s="14"/>
      <c r="K945" s="7"/>
      <c r="L945" s="14"/>
      <c r="M945" s="7"/>
      <c r="N945" s="14"/>
      <c r="O945" s="14"/>
      <c r="P945" s="7"/>
      <c r="Q945" s="21"/>
      <c r="R945" s="14"/>
      <c r="S945" s="14"/>
      <c r="T945" s="14"/>
      <c r="U945" s="14"/>
      <c r="V945" s="14"/>
      <c r="W945" s="14"/>
      <c r="X945" s="14"/>
      <c r="Y945" s="13"/>
      <c r="Z945" s="14"/>
    </row>
    <row r="946" spans="1:26" ht="14.25" customHeight="1" x14ac:dyDescent="0.25">
      <c r="A946" s="14"/>
      <c r="B946" s="14"/>
      <c r="C946" s="14"/>
      <c r="D946" s="14"/>
      <c r="E946" s="122"/>
      <c r="F946" s="14"/>
      <c r="G946" s="14"/>
      <c r="H946" s="14"/>
      <c r="I946" s="14"/>
      <c r="J946" s="14"/>
      <c r="K946" s="7"/>
      <c r="L946" s="14"/>
      <c r="M946" s="7"/>
      <c r="N946" s="14"/>
      <c r="O946" s="14"/>
      <c r="P946" s="7"/>
      <c r="Q946" s="21"/>
      <c r="R946" s="14"/>
      <c r="S946" s="14"/>
      <c r="T946" s="14"/>
      <c r="U946" s="14"/>
      <c r="V946" s="14"/>
      <c r="W946" s="14"/>
      <c r="X946" s="14"/>
      <c r="Y946" s="13"/>
      <c r="Z946" s="14"/>
    </row>
    <row r="947" spans="1:26" ht="14.25" customHeight="1" x14ac:dyDescent="0.25">
      <c r="A947" s="14"/>
      <c r="B947" s="14"/>
      <c r="C947" s="14"/>
      <c r="D947" s="14"/>
      <c r="E947" s="122"/>
      <c r="F947" s="14"/>
      <c r="G947" s="14"/>
      <c r="H947" s="14"/>
      <c r="I947" s="14"/>
      <c r="J947" s="14"/>
      <c r="K947" s="7"/>
      <c r="L947" s="14"/>
      <c r="M947" s="7"/>
      <c r="N947" s="14"/>
      <c r="O947" s="14"/>
      <c r="P947" s="7"/>
      <c r="Q947" s="21"/>
      <c r="R947" s="14"/>
      <c r="S947" s="14"/>
      <c r="T947" s="14"/>
      <c r="U947" s="14"/>
      <c r="V947" s="14"/>
      <c r="W947" s="14"/>
      <c r="X947" s="14"/>
      <c r="Y947" s="13"/>
      <c r="Z947" s="14"/>
    </row>
    <row r="948" spans="1:26" ht="14.25" customHeight="1" x14ac:dyDescent="0.25">
      <c r="A948" s="14"/>
      <c r="B948" s="14"/>
      <c r="C948" s="14"/>
      <c r="D948" s="14"/>
      <c r="E948" s="122"/>
      <c r="F948" s="14"/>
      <c r="G948" s="14"/>
      <c r="H948" s="14"/>
      <c r="I948" s="14"/>
      <c r="J948" s="14"/>
      <c r="K948" s="7"/>
      <c r="L948" s="14"/>
      <c r="M948" s="7"/>
      <c r="N948" s="14"/>
      <c r="O948" s="14"/>
      <c r="P948" s="7"/>
      <c r="Q948" s="21"/>
      <c r="R948" s="14"/>
      <c r="S948" s="14"/>
      <c r="T948" s="14"/>
      <c r="U948" s="14"/>
      <c r="V948" s="14"/>
      <c r="W948" s="14"/>
      <c r="X948" s="14"/>
      <c r="Y948" s="13"/>
      <c r="Z948" s="14"/>
    </row>
    <row r="949" spans="1:26" ht="14.25" customHeight="1" x14ac:dyDescent="0.25">
      <c r="A949" s="14"/>
      <c r="B949" s="14"/>
      <c r="C949" s="14"/>
      <c r="D949" s="14"/>
      <c r="E949" s="122"/>
      <c r="F949" s="14"/>
      <c r="G949" s="14"/>
      <c r="H949" s="14"/>
      <c r="I949" s="14"/>
      <c r="J949" s="14"/>
      <c r="K949" s="7"/>
      <c r="L949" s="14"/>
      <c r="M949" s="7"/>
      <c r="N949" s="14"/>
      <c r="O949" s="14"/>
      <c r="P949" s="7"/>
      <c r="Q949" s="21"/>
      <c r="R949" s="14"/>
      <c r="S949" s="14"/>
      <c r="T949" s="14"/>
      <c r="U949" s="14"/>
      <c r="V949" s="14"/>
      <c r="W949" s="14"/>
      <c r="X949" s="14"/>
      <c r="Y949" s="13"/>
      <c r="Z949" s="14"/>
    </row>
    <row r="950" spans="1:26" ht="14.25" customHeight="1" x14ac:dyDescent="0.25">
      <c r="A950" s="14"/>
      <c r="B950" s="14"/>
      <c r="C950" s="14"/>
      <c r="D950" s="14"/>
      <c r="E950" s="122"/>
      <c r="F950" s="14"/>
      <c r="G950" s="14"/>
      <c r="H950" s="14"/>
      <c r="I950" s="14"/>
      <c r="J950" s="14"/>
      <c r="K950" s="7"/>
      <c r="L950" s="14"/>
      <c r="M950" s="7"/>
      <c r="N950" s="14"/>
      <c r="O950" s="14"/>
      <c r="P950" s="7"/>
      <c r="Q950" s="21"/>
      <c r="R950" s="14"/>
      <c r="S950" s="14"/>
      <c r="T950" s="14"/>
      <c r="U950" s="14"/>
      <c r="V950" s="14"/>
      <c r="W950" s="14"/>
      <c r="X950" s="14"/>
      <c r="Y950" s="13"/>
      <c r="Z950" s="14"/>
    </row>
    <row r="951" spans="1:26" ht="14.25" customHeight="1" x14ac:dyDescent="0.25">
      <c r="A951" s="14"/>
      <c r="B951" s="14"/>
      <c r="C951" s="14"/>
      <c r="D951" s="14"/>
      <c r="E951" s="122"/>
      <c r="F951" s="14"/>
      <c r="G951" s="14"/>
      <c r="H951" s="14"/>
      <c r="I951" s="14"/>
      <c r="J951" s="14"/>
      <c r="K951" s="7"/>
      <c r="L951" s="14"/>
      <c r="M951" s="7"/>
      <c r="N951" s="14"/>
      <c r="O951" s="14"/>
      <c r="P951" s="7"/>
      <c r="Q951" s="21"/>
      <c r="R951" s="14"/>
      <c r="S951" s="14"/>
      <c r="T951" s="14"/>
      <c r="U951" s="14"/>
      <c r="V951" s="14"/>
      <c r="W951" s="14"/>
      <c r="X951" s="14"/>
      <c r="Y951" s="13"/>
      <c r="Z951" s="14"/>
    </row>
    <row r="952" spans="1:26" ht="14.25" customHeight="1" x14ac:dyDescent="0.25">
      <c r="A952" s="14"/>
      <c r="B952" s="14"/>
      <c r="C952" s="14"/>
      <c r="D952" s="14"/>
      <c r="E952" s="122"/>
      <c r="F952" s="14"/>
      <c r="G952" s="14"/>
      <c r="H952" s="14"/>
      <c r="I952" s="14"/>
      <c r="J952" s="14"/>
      <c r="K952" s="7"/>
      <c r="L952" s="14"/>
      <c r="M952" s="7"/>
      <c r="N952" s="14"/>
      <c r="O952" s="14"/>
      <c r="P952" s="7"/>
      <c r="Q952" s="21"/>
      <c r="R952" s="14"/>
      <c r="S952" s="14"/>
      <c r="T952" s="14"/>
      <c r="U952" s="14"/>
      <c r="V952" s="14"/>
      <c r="W952" s="14"/>
      <c r="X952" s="14"/>
      <c r="Y952" s="13"/>
      <c r="Z952" s="14"/>
    </row>
    <row r="953" spans="1:26" ht="14.25" customHeight="1" x14ac:dyDescent="0.25">
      <c r="A953" s="14"/>
      <c r="B953" s="14"/>
      <c r="C953" s="14"/>
      <c r="D953" s="14"/>
      <c r="E953" s="122"/>
      <c r="F953" s="14"/>
      <c r="G953" s="14"/>
      <c r="H953" s="14"/>
      <c r="I953" s="14"/>
      <c r="J953" s="14"/>
      <c r="K953" s="7"/>
      <c r="L953" s="14"/>
      <c r="M953" s="7"/>
      <c r="N953" s="14"/>
      <c r="O953" s="14"/>
      <c r="P953" s="7"/>
      <c r="Q953" s="21"/>
      <c r="R953" s="14"/>
      <c r="S953" s="14"/>
      <c r="T953" s="14"/>
      <c r="U953" s="14"/>
      <c r="V953" s="14"/>
      <c r="W953" s="14"/>
      <c r="X953" s="14"/>
      <c r="Y953" s="13"/>
      <c r="Z953" s="14"/>
    </row>
    <row r="954" spans="1:26" ht="14.25" customHeight="1" x14ac:dyDescent="0.25">
      <c r="A954" s="14"/>
      <c r="B954" s="14"/>
      <c r="C954" s="14"/>
      <c r="D954" s="14"/>
      <c r="E954" s="122"/>
      <c r="F954" s="14"/>
      <c r="G954" s="14"/>
      <c r="H954" s="14"/>
      <c r="I954" s="14"/>
      <c r="J954" s="14"/>
      <c r="K954" s="7"/>
      <c r="L954" s="14"/>
      <c r="M954" s="7"/>
      <c r="N954" s="14"/>
      <c r="O954" s="14"/>
      <c r="P954" s="7"/>
      <c r="Q954" s="21"/>
      <c r="R954" s="14"/>
      <c r="S954" s="14"/>
      <c r="T954" s="14"/>
      <c r="U954" s="14"/>
      <c r="V954" s="14"/>
      <c r="W954" s="14"/>
      <c r="X954" s="14"/>
      <c r="Y954" s="13"/>
      <c r="Z954" s="14"/>
    </row>
    <row r="955" spans="1:26" ht="14.25" customHeight="1" x14ac:dyDescent="0.25">
      <c r="A955" s="14"/>
      <c r="B955" s="14"/>
      <c r="C955" s="14"/>
      <c r="D955" s="14"/>
      <c r="E955" s="122"/>
      <c r="F955" s="14"/>
      <c r="G955" s="14"/>
      <c r="H955" s="14"/>
      <c r="I955" s="14"/>
      <c r="J955" s="14"/>
      <c r="K955" s="7"/>
      <c r="L955" s="14"/>
      <c r="M955" s="7"/>
      <c r="N955" s="14"/>
      <c r="O955" s="14"/>
      <c r="P955" s="7"/>
      <c r="Q955" s="21"/>
      <c r="R955" s="14"/>
      <c r="S955" s="14"/>
      <c r="T955" s="14"/>
      <c r="U955" s="14"/>
      <c r="V955" s="14"/>
      <c r="W955" s="14"/>
      <c r="X955" s="14"/>
      <c r="Y955" s="13"/>
      <c r="Z955" s="14"/>
    </row>
    <row r="956" spans="1:26" ht="14.25" customHeight="1" x14ac:dyDescent="0.25">
      <c r="A956" s="14"/>
      <c r="B956" s="14"/>
      <c r="C956" s="14"/>
      <c r="D956" s="14"/>
      <c r="E956" s="122"/>
      <c r="F956" s="14"/>
      <c r="G956" s="14"/>
      <c r="H956" s="14"/>
      <c r="I956" s="14"/>
      <c r="J956" s="14"/>
      <c r="K956" s="7"/>
      <c r="L956" s="14"/>
      <c r="M956" s="7"/>
      <c r="N956" s="14"/>
      <c r="O956" s="14"/>
      <c r="P956" s="7"/>
      <c r="Q956" s="21"/>
      <c r="R956" s="14"/>
      <c r="S956" s="14"/>
      <c r="T956" s="14"/>
      <c r="U956" s="14"/>
      <c r="V956" s="14"/>
      <c r="W956" s="14"/>
      <c r="X956" s="14"/>
      <c r="Y956" s="13"/>
      <c r="Z956" s="14"/>
    </row>
    <row r="957" spans="1:26" ht="14.25" customHeight="1" x14ac:dyDescent="0.25">
      <c r="A957" s="14"/>
      <c r="B957" s="14"/>
      <c r="C957" s="14"/>
      <c r="D957" s="14"/>
      <c r="E957" s="122"/>
      <c r="F957" s="14"/>
      <c r="G957" s="14"/>
      <c r="H957" s="14"/>
      <c r="I957" s="14"/>
      <c r="J957" s="14"/>
      <c r="K957" s="7"/>
      <c r="L957" s="14"/>
      <c r="M957" s="7"/>
      <c r="N957" s="14"/>
      <c r="O957" s="14"/>
      <c r="P957" s="7"/>
      <c r="Q957" s="21"/>
      <c r="R957" s="14"/>
      <c r="S957" s="14"/>
      <c r="T957" s="14"/>
      <c r="U957" s="14"/>
      <c r="V957" s="14"/>
      <c r="W957" s="14"/>
      <c r="X957" s="14"/>
      <c r="Y957" s="13"/>
      <c r="Z957" s="14"/>
    </row>
    <row r="958" spans="1:26" ht="14.25" customHeight="1" x14ac:dyDescent="0.25">
      <c r="A958" s="14"/>
      <c r="B958" s="14"/>
      <c r="C958" s="14"/>
      <c r="D958" s="14"/>
      <c r="E958" s="122"/>
      <c r="F958" s="14"/>
      <c r="G958" s="14"/>
      <c r="H958" s="14"/>
      <c r="I958" s="14"/>
      <c r="J958" s="14"/>
      <c r="K958" s="7"/>
      <c r="L958" s="14"/>
      <c r="M958" s="7"/>
      <c r="N958" s="14"/>
      <c r="O958" s="14"/>
      <c r="P958" s="7"/>
      <c r="Q958" s="21"/>
      <c r="R958" s="14"/>
      <c r="S958" s="14"/>
      <c r="T958" s="14"/>
      <c r="U958" s="14"/>
      <c r="V958" s="14"/>
      <c r="W958" s="14"/>
      <c r="X958" s="14"/>
      <c r="Y958" s="13"/>
      <c r="Z958" s="14"/>
    </row>
    <row r="959" spans="1:26" ht="14.25" customHeight="1" x14ac:dyDescent="0.25">
      <c r="A959" s="14"/>
      <c r="B959" s="14"/>
      <c r="C959" s="14"/>
      <c r="D959" s="14"/>
      <c r="E959" s="122"/>
      <c r="F959" s="14"/>
      <c r="G959" s="14"/>
      <c r="H959" s="14"/>
      <c r="I959" s="14"/>
      <c r="J959" s="14"/>
      <c r="K959" s="7"/>
      <c r="L959" s="14"/>
      <c r="M959" s="7"/>
      <c r="N959" s="14"/>
      <c r="O959" s="14"/>
      <c r="P959" s="7"/>
      <c r="Q959" s="21"/>
      <c r="R959" s="14"/>
      <c r="S959" s="14"/>
      <c r="T959" s="14"/>
      <c r="U959" s="14"/>
      <c r="V959" s="14"/>
      <c r="W959" s="14"/>
      <c r="X959" s="14"/>
      <c r="Y959" s="13"/>
      <c r="Z959" s="14"/>
    </row>
    <row r="960" spans="1:26" ht="14.25" customHeight="1" x14ac:dyDescent="0.25">
      <c r="A960" s="14"/>
      <c r="B960" s="14"/>
      <c r="C960" s="14"/>
      <c r="D960" s="14"/>
      <c r="E960" s="122"/>
      <c r="F960" s="14"/>
      <c r="G960" s="14"/>
      <c r="H960" s="14"/>
      <c r="I960" s="14"/>
      <c r="J960" s="14"/>
      <c r="K960" s="7"/>
      <c r="L960" s="14"/>
      <c r="M960" s="7"/>
      <c r="N960" s="14"/>
      <c r="O960" s="14"/>
      <c r="P960" s="7"/>
      <c r="Q960" s="21"/>
      <c r="R960" s="14"/>
      <c r="S960" s="14"/>
      <c r="T960" s="14"/>
      <c r="U960" s="14"/>
      <c r="V960" s="14"/>
      <c r="W960" s="14"/>
      <c r="X960" s="14"/>
      <c r="Y960" s="13"/>
      <c r="Z960" s="14"/>
    </row>
    <row r="961" spans="1:26" ht="14.25" customHeight="1" x14ac:dyDescent="0.25">
      <c r="A961" s="14"/>
      <c r="B961" s="14"/>
      <c r="C961" s="14"/>
      <c r="D961" s="14"/>
      <c r="E961" s="122"/>
      <c r="F961" s="14"/>
      <c r="G961" s="14"/>
      <c r="H961" s="14"/>
      <c r="I961" s="14"/>
      <c r="J961" s="14"/>
      <c r="K961" s="7"/>
      <c r="L961" s="14"/>
      <c r="M961" s="7"/>
      <c r="N961" s="14"/>
      <c r="O961" s="14"/>
      <c r="P961" s="7"/>
      <c r="Q961" s="21"/>
      <c r="R961" s="14"/>
      <c r="S961" s="14"/>
      <c r="T961" s="14"/>
      <c r="U961" s="14"/>
      <c r="V961" s="14"/>
      <c r="W961" s="14"/>
      <c r="X961" s="14"/>
      <c r="Y961" s="13"/>
      <c r="Z961" s="14"/>
    </row>
    <row r="962" spans="1:26" ht="14.25" customHeight="1" x14ac:dyDescent="0.25">
      <c r="A962" s="14"/>
      <c r="B962" s="14"/>
      <c r="C962" s="14"/>
      <c r="D962" s="14"/>
      <c r="E962" s="122"/>
      <c r="F962" s="14"/>
      <c r="G962" s="14"/>
      <c r="H962" s="14"/>
      <c r="I962" s="14"/>
      <c r="J962" s="14"/>
      <c r="K962" s="7"/>
      <c r="L962" s="14"/>
      <c r="M962" s="7"/>
      <c r="N962" s="14"/>
      <c r="O962" s="14"/>
      <c r="P962" s="7"/>
      <c r="Q962" s="21"/>
      <c r="R962" s="14"/>
      <c r="S962" s="14"/>
      <c r="T962" s="14"/>
      <c r="U962" s="14"/>
      <c r="V962" s="14"/>
      <c r="W962" s="14"/>
      <c r="X962" s="14"/>
      <c r="Y962" s="13"/>
      <c r="Z962" s="14"/>
    </row>
    <row r="963" spans="1:26" ht="14.25" customHeight="1" x14ac:dyDescent="0.25">
      <c r="A963" s="14"/>
      <c r="B963" s="14"/>
      <c r="C963" s="14"/>
      <c r="D963" s="14"/>
      <c r="E963" s="122"/>
      <c r="F963" s="14"/>
      <c r="G963" s="14"/>
      <c r="H963" s="14"/>
      <c r="I963" s="14"/>
      <c r="J963" s="14"/>
      <c r="K963" s="7"/>
      <c r="L963" s="14"/>
      <c r="M963" s="7"/>
      <c r="N963" s="14"/>
      <c r="O963" s="14"/>
      <c r="P963" s="7"/>
      <c r="Q963" s="21"/>
      <c r="R963" s="14"/>
      <c r="S963" s="14"/>
      <c r="T963" s="14"/>
      <c r="U963" s="14"/>
      <c r="V963" s="14"/>
      <c r="W963" s="14"/>
      <c r="X963" s="14"/>
      <c r="Y963" s="13"/>
      <c r="Z963" s="14"/>
    </row>
    <row r="964" spans="1:26" ht="14.25" customHeight="1" x14ac:dyDescent="0.25">
      <c r="A964" s="14"/>
      <c r="B964" s="14"/>
      <c r="C964" s="14"/>
      <c r="D964" s="14"/>
      <c r="E964" s="122"/>
      <c r="F964" s="14"/>
      <c r="G964" s="14"/>
      <c r="H964" s="14"/>
      <c r="I964" s="14"/>
      <c r="J964" s="14"/>
      <c r="K964" s="7"/>
      <c r="L964" s="14"/>
      <c r="M964" s="7"/>
      <c r="N964" s="14"/>
      <c r="O964" s="14"/>
      <c r="P964" s="7"/>
      <c r="Q964" s="21"/>
      <c r="R964" s="14"/>
      <c r="S964" s="14"/>
      <c r="T964" s="14"/>
      <c r="U964" s="14"/>
      <c r="V964" s="14"/>
      <c r="W964" s="14"/>
      <c r="X964" s="14"/>
      <c r="Y964" s="13"/>
      <c r="Z964" s="14"/>
    </row>
    <row r="965" spans="1:26" ht="14.25" customHeight="1" x14ac:dyDescent="0.25">
      <c r="A965" s="14"/>
      <c r="B965" s="14"/>
      <c r="C965" s="14"/>
      <c r="D965" s="14"/>
      <c r="E965" s="122"/>
      <c r="F965" s="14"/>
      <c r="G965" s="14"/>
      <c r="H965" s="14"/>
      <c r="I965" s="14"/>
      <c r="J965" s="14"/>
      <c r="K965" s="7"/>
      <c r="L965" s="14"/>
      <c r="M965" s="7"/>
      <c r="N965" s="14"/>
      <c r="O965" s="14"/>
      <c r="P965" s="7"/>
      <c r="Q965" s="21"/>
      <c r="R965" s="14"/>
      <c r="S965" s="14"/>
      <c r="T965" s="14"/>
      <c r="U965" s="14"/>
      <c r="V965" s="14"/>
      <c r="W965" s="14"/>
      <c r="X965" s="14"/>
      <c r="Y965" s="13"/>
      <c r="Z965" s="14"/>
    </row>
    <row r="966" spans="1:26" ht="14.25" customHeight="1" x14ac:dyDescent="0.25">
      <c r="A966" s="14"/>
      <c r="B966" s="14"/>
      <c r="C966" s="14"/>
      <c r="D966" s="14"/>
      <c r="E966" s="122"/>
      <c r="F966" s="14"/>
      <c r="G966" s="14"/>
      <c r="H966" s="14"/>
      <c r="I966" s="14"/>
      <c r="J966" s="14"/>
      <c r="K966" s="7"/>
      <c r="L966" s="14"/>
      <c r="M966" s="7"/>
      <c r="N966" s="14"/>
      <c r="O966" s="14"/>
      <c r="P966" s="7"/>
      <c r="Q966" s="21"/>
      <c r="R966" s="14"/>
      <c r="S966" s="14"/>
      <c r="T966" s="14"/>
      <c r="U966" s="14"/>
      <c r="V966" s="14"/>
      <c r="W966" s="14"/>
      <c r="X966" s="14"/>
      <c r="Y966" s="13"/>
      <c r="Z966" s="14"/>
    </row>
    <row r="967" spans="1:26" ht="14.25" customHeight="1" x14ac:dyDescent="0.25">
      <c r="A967" s="14"/>
      <c r="B967" s="14"/>
      <c r="C967" s="14"/>
      <c r="D967" s="14"/>
      <c r="E967" s="122"/>
      <c r="F967" s="14"/>
      <c r="G967" s="14"/>
      <c r="H967" s="14"/>
      <c r="I967" s="14"/>
      <c r="J967" s="14"/>
      <c r="K967" s="7"/>
      <c r="L967" s="14"/>
      <c r="M967" s="7"/>
      <c r="N967" s="14"/>
      <c r="O967" s="14"/>
      <c r="P967" s="7"/>
      <c r="Q967" s="21"/>
      <c r="R967" s="14"/>
      <c r="S967" s="14"/>
      <c r="T967" s="14"/>
      <c r="U967" s="14"/>
      <c r="V967" s="14"/>
      <c r="W967" s="14"/>
      <c r="X967" s="14"/>
      <c r="Y967" s="13"/>
      <c r="Z967" s="14"/>
    </row>
    <row r="968" spans="1:26" ht="14.25" customHeight="1" x14ac:dyDescent="0.25">
      <c r="A968" s="14"/>
      <c r="B968" s="14"/>
      <c r="C968" s="14"/>
      <c r="D968" s="14"/>
      <c r="E968" s="122"/>
      <c r="F968" s="14"/>
      <c r="G968" s="14"/>
      <c r="H968" s="14"/>
      <c r="I968" s="14"/>
      <c r="J968" s="14"/>
      <c r="K968" s="7"/>
      <c r="L968" s="14"/>
      <c r="M968" s="7"/>
      <c r="N968" s="14"/>
      <c r="O968" s="14"/>
      <c r="P968" s="7"/>
      <c r="Q968" s="21"/>
      <c r="R968" s="14"/>
      <c r="S968" s="14"/>
      <c r="T968" s="14"/>
      <c r="U968" s="14"/>
      <c r="V968" s="14"/>
      <c r="W968" s="14"/>
      <c r="X968" s="14"/>
      <c r="Y968" s="13"/>
      <c r="Z968" s="14"/>
    </row>
    <row r="969" spans="1:26" ht="14.25" customHeight="1" x14ac:dyDescent="0.25">
      <c r="A969" s="14"/>
      <c r="B969" s="14"/>
      <c r="C969" s="14"/>
      <c r="D969" s="14"/>
      <c r="E969" s="122"/>
      <c r="F969" s="14"/>
      <c r="G969" s="14"/>
      <c r="H969" s="14"/>
      <c r="I969" s="14"/>
      <c r="J969" s="14"/>
      <c r="K969" s="7"/>
      <c r="L969" s="14"/>
      <c r="M969" s="7"/>
      <c r="N969" s="14"/>
      <c r="O969" s="14"/>
      <c r="P969" s="7"/>
      <c r="Q969" s="21"/>
      <c r="R969" s="14"/>
      <c r="S969" s="14"/>
      <c r="T969" s="14"/>
      <c r="U969" s="14"/>
      <c r="V969" s="14"/>
      <c r="W969" s="14"/>
      <c r="X969" s="14"/>
      <c r="Y969" s="13"/>
      <c r="Z969" s="14"/>
    </row>
    <row r="970" spans="1:26" ht="14.25" customHeight="1" x14ac:dyDescent="0.25">
      <c r="A970" s="14"/>
      <c r="B970" s="14"/>
      <c r="C970" s="14"/>
      <c r="D970" s="14"/>
      <c r="E970" s="122"/>
      <c r="F970" s="14"/>
      <c r="G970" s="14"/>
      <c r="H970" s="14"/>
      <c r="I970" s="14"/>
      <c r="J970" s="14"/>
      <c r="K970" s="7"/>
      <c r="L970" s="14"/>
      <c r="M970" s="7"/>
      <c r="N970" s="14"/>
      <c r="O970" s="14"/>
      <c r="P970" s="7"/>
      <c r="Q970" s="21"/>
      <c r="R970" s="14"/>
      <c r="S970" s="14"/>
      <c r="T970" s="14"/>
      <c r="U970" s="14"/>
      <c r="V970" s="14"/>
      <c r="W970" s="14"/>
      <c r="X970" s="14"/>
      <c r="Y970" s="13"/>
      <c r="Z970" s="14"/>
    </row>
    <row r="971" spans="1:26" ht="14.25" customHeight="1" x14ac:dyDescent="0.25">
      <c r="A971" s="14"/>
      <c r="B971" s="14"/>
      <c r="C971" s="14"/>
      <c r="D971" s="14"/>
      <c r="E971" s="122"/>
      <c r="F971" s="14"/>
      <c r="G971" s="14"/>
      <c r="H971" s="14"/>
      <c r="I971" s="14"/>
      <c r="J971" s="14"/>
      <c r="K971" s="7"/>
      <c r="L971" s="14"/>
      <c r="M971" s="7"/>
      <c r="N971" s="14"/>
      <c r="O971" s="14"/>
      <c r="P971" s="7"/>
      <c r="Q971" s="21"/>
      <c r="R971" s="14"/>
      <c r="S971" s="14"/>
      <c r="T971" s="14"/>
      <c r="U971" s="14"/>
      <c r="V971" s="14"/>
      <c r="W971" s="14"/>
      <c r="X971" s="14"/>
      <c r="Y971" s="13"/>
      <c r="Z971" s="14"/>
    </row>
    <row r="972" spans="1:26" ht="14.25" customHeight="1" x14ac:dyDescent="0.25">
      <c r="A972" s="14"/>
      <c r="B972" s="14"/>
      <c r="C972" s="14"/>
      <c r="D972" s="14"/>
      <c r="E972" s="122"/>
      <c r="F972" s="14"/>
      <c r="G972" s="14"/>
      <c r="H972" s="14"/>
      <c r="I972" s="14"/>
      <c r="J972" s="14"/>
      <c r="K972" s="7"/>
      <c r="L972" s="14"/>
      <c r="M972" s="7"/>
      <c r="N972" s="14"/>
      <c r="O972" s="14"/>
      <c r="P972" s="7"/>
      <c r="Q972" s="21"/>
      <c r="R972" s="14"/>
      <c r="S972" s="14"/>
      <c r="T972" s="14"/>
      <c r="U972" s="14"/>
      <c r="V972" s="14"/>
      <c r="W972" s="14"/>
      <c r="X972" s="14"/>
      <c r="Y972" s="13"/>
      <c r="Z972" s="14"/>
    </row>
    <row r="973" spans="1:26" ht="14.25" customHeight="1" x14ac:dyDescent="0.25">
      <c r="A973" s="14"/>
      <c r="B973" s="14"/>
      <c r="C973" s="14"/>
      <c r="D973" s="14"/>
      <c r="E973" s="122"/>
      <c r="F973" s="14"/>
      <c r="G973" s="14"/>
      <c r="H973" s="14"/>
      <c r="I973" s="14"/>
      <c r="J973" s="14"/>
      <c r="K973" s="7"/>
      <c r="L973" s="14"/>
      <c r="M973" s="7"/>
      <c r="N973" s="14"/>
      <c r="O973" s="14"/>
      <c r="P973" s="7"/>
      <c r="Q973" s="21"/>
      <c r="R973" s="14"/>
      <c r="S973" s="14"/>
      <c r="T973" s="14"/>
      <c r="U973" s="14"/>
      <c r="V973" s="14"/>
      <c r="W973" s="14"/>
      <c r="X973" s="14"/>
      <c r="Y973" s="13"/>
      <c r="Z973" s="14"/>
    </row>
    <row r="974" spans="1:26" ht="14.25" customHeight="1" x14ac:dyDescent="0.25">
      <c r="A974" s="14"/>
      <c r="B974" s="14"/>
      <c r="C974" s="14"/>
      <c r="D974" s="14"/>
      <c r="E974" s="122"/>
      <c r="F974" s="14"/>
      <c r="G974" s="14"/>
      <c r="H974" s="14"/>
      <c r="I974" s="14"/>
      <c r="J974" s="14"/>
      <c r="K974" s="7"/>
      <c r="L974" s="14"/>
      <c r="M974" s="7"/>
      <c r="N974" s="14"/>
      <c r="O974" s="14"/>
      <c r="P974" s="7"/>
      <c r="Q974" s="21"/>
      <c r="R974" s="14"/>
      <c r="S974" s="14"/>
      <c r="T974" s="14"/>
      <c r="U974" s="14"/>
      <c r="V974" s="14"/>
      <c r="W974" s="14"/>
      <c r="X974" s="14"/>
      <c r="Y974" s="13"/>
      <c r="Z974" s="14"/>
    </row>
    <row r="975" spans="1:26" ht="14.25" customHeight="1" x14ac:dyDescent="0.25">
      <c r="A975" s="14"/>
      <c r="B975" s="14"/>
      <c r="C975" s="14"/>
      <c r="D975" s="14"/>
      <c r="E975" s="122"/>
      <c r="F975" s="14"/>
      <c r="G975" s="14"/>
      <c r="H975" s="14"/>
      <c r="I975" s="14"/>
      <c r="J975" s="14"/>
      <c r="K975" s="7"/>
      <c r="L975" s="14"/>
      <c r="M975" s="7"/>
      <c r="N975" s="14"/>
      <c r="O975" s="14"/>
      <c r="P975" s="7"/>
      <c r="Q975" s="21"/>
      <c r="R975" s="14"/>
      <c r="S975" s="14"/>
      <c r="T975" s="14"/>
      <c r="U975" s="14"/>
      <c r="V975" s="14"/>
      <c r="W975" s="14"/>
      <c r="X975" s="14"/>
      <c r="Y975" s="13"/>
      <c r="Z975" s="14"/>
    </row>
    <row r="976" spans="1:26" ht="14.25" customHeight="1" x14ac:dyDescent="0.25">
      <c r="A976" s="14"/>
      <c r="B976" s="14"/>
      <c r="C976" s="14"/>
      <c r="D976" s="14"/>
      <c r="E976" s="122"/>
      <c r="F976" s="14"/>
      <c r="G976" s="14"/>
      <c r="H976" s="14"/>
      <c r="I976" s="14"/>
      <c r="J976" s="14"/>
      <c r="K976" s="7"/>
      <c r="L976" s="14"/>
      <c r="M976" s="7"/>
      <c r="N976" s="14"/>
      <c r="O976" s="14"/>
      <c r="P976" s="7"/>
      <c r="Q976" s="21"/>
      <c r="R976" s="14"/>
      <c r="S976" s="14"/>
      <c r="T976" s="14"/>
      <c r="U976" s="14"/>
      <c r="V976" s="14"/>
      <c r="W976" s="14"/>
      <c r="X976" s="14"/>
      <c r="Y976" s="13"/>
      <c r="Z976" s="14"/>
    </row>
    <row r="977" spans="1:26" ht="14.25" customHeight="1" x14ac:dyDescent="0.25">
      <c r="A977" s="14"/>
      <c r="B977" s="14"/>
      <c r="C977" s="14"/>
      <c r="D977" s="14"/>
      <c r="E977" s="122"/>
      <c r="F977" s="14"/>
      <c r="G977" s="14"/>
      <c r="H977" s="14"/>
      <c r="I977" s="14"/>
      <c r="J977" s="14"/>
      <c r="K977" s="7"/>
      <c r="L977" s="14"/>
      <c r="M977" s="7"/>
      <c r="N977" s="14"/>
      <c r="O977" s="14"/>
      <c r="P977" s="7"/>
      <c r="Q977" s="21"/>
      <c r="R977" s="14"/>
      <c r="S977" s="14"/>
      <c r="T977" s="14"/>
      <c r="U977" s="14"/>
      <c r="V977" s="14"/>
      <c r="W977" s="14"/>
      <c r="X977" s="14"/>
      <c r="Y977" s="13"/>
      <c r="Z977" s="14"/>
    </row>
    <row r="978" spans="1:26" ht="14.25" customHeight="1" x14ac:dyDescent="0.25">
      <c r="A978" s="14"/>
      <c r="B978" s="14"/>
      <c r="C978" s="14"/>
      <c r="D978" s="14"/>
      <c r="E978" s="122"/>
      <c r="F978" s="14"/>
      <c r="G978" s="14"/>
      <c r="H978" s="14"/>
      <c r="I978" s="14"/>
      <c r="J978" s="14"/>
      <c r="K978" s="7"/>
      <c r="L978" s="14"/>
      <c r="M978" s="7"/>
      <c r="N978" s="14"/>
      <c r="O978" s="14"/>
      <c r="P978" s="7"/>
      <c r="Q978" s="21"/>
      <c r="R978" s="14"/>
      <c r="S978" s="14"/>
      <c r="T978" s="14"/>
      <c r="U978" s="14"/>
      <c r="V978" s="14"/>
      <c r="W978" s="14"/>
      <c r="X978" s="14"/>
      <c r="Y978" s="13"/>
      <c r="Z978" s="14"/>
    </row>
    <row r="979" spans="1:26" ht="14.25" customHeight="1" x14ac:dyDescent="0.25">
      <c r="A979" s="14"/>
      <c r="B979" s="14"/>
      <c r="C979" s="14"/>
      <c r="D979" s="14"/>
      <c r="E979" s="122"/>
      <c r="F979" s="14"/>
      <c r="G979" s="14"/>
      <c r="H979" s="14"/>
      <c r="I979" s="14"/>
      <c r="J979" s="14"/>
      <c r="K979" s="7"/>
      <c r="L979" s="14"/>
      <c r="M979" s="7"/>
      <c r="N979" s="14"/>
      <c r="O979" s="14"/>
      <c r="P979" s="7"/>
      <c r="Q979" s="21"/>
      <c r="R979" s="14"/>
      <c r="S979" s="14"/>
      <c r="T979" s="14"/>
      <c r="U979" s="14"/>
      <c r="V979" s="14"/>
      <c r="W979" s="14"/>
      <c r="X979" s="14"/>
      <c r="Y979" s="13"/>
      <c r="Z979" s="14"/>
    </row>
    <row r="980" spans="1:26" ht="14.25" customHeight="1" x14ac:dyDescent="0.25">
      <c r="A980" s="14"/>
      <c r="B980" s="14"/>
      <c r="C980" s="14"/>
      <c r="D980" s="14"/>
      <c r="E980" s="122"/>
      <c r="F980" s="14"/>
      <c r="G980" s="14"/>
      <c r="H980" s="14"/>
      <c r="I980" s="14"/>
      <c r="J980" s="14"/>
      <c r="K980" s="7"/>
      <c r="L980" s="14"/>
      <c r="M980" s="7"/>
      <c r="N980" s="14"/>
      <c r="O980" s="14"/>
      <c r="P980" s="7"/>
      <c r="Q980" s="21"/>
      <c r="R980" s="14"/>
      <c r="S980" s="14"/>
      <c r="T980" s="14"/>
      <c r="U980" s="14"/>
      <c r="V980" s="14"/>
      <c r="W980" s="14"/>
      <c r="X980" s="14"/>
      <c r="Y980" s="13"/>
      <c r="Z980" s="14"/>
    </row>
    <row r="981" spans="1:26" ht="14.25" customHeight="1" x14ac:dyDescent="0.25">
      <c r="A981" s="14"/>
      <c r="B981" s="14"/>
      <c r="C981" s="14"/>
      <c r="D981" s="14"/>
      <c r="E981" s="122"/>
      <c r="F981" s="14"/>
      <c r="G981" s="14"/>
      <c r="H981" s="14"/>
      <c r="I981" s="14"/>
      <c r="J981" s="14"/>
      <c r="K981" s="7"/>
      <c r="L981" s="14"/>
      <c r="M981" s="7"/>
      <c r="N981" s="14"/>
      <c r="O981" s="14"/>
      <c r="P981" s="7"/>
      <c r="Q981" s="21"/>
      <c r="R981" s="14"/>
      <c r="S981" s="14"/>
      <c r="T981" s="14"/>
      <c r="U981" s="14"/>
      <c r="V981" s="14"/>
      <c r="W981" s="14"/>
      <c r="X981" s="14"/>
      <c r="Y981" s="13"/>
      <c r="Z981" s="14"/>
    </row>
    <row r="982" spans="1:26" ht="14.25" customHeight="1" x14ac:dyDescent="0.25">
      <c r="A982" s="14"/>
      <c r="B982" s="14"/>
      <c r="C982" s="14"/>
      <c r="D982" s="14"/>
      <c r="E982" s="122"/>
      <c r="F982" s="14"/>
      <c r="G982" s="14"/>
      <c r="H982" s="14"/>
      <c r="I982" s="14"/>
      <c r="J982" s="14"/>
      <c r="K982" s="7"/>
      <c r="L982" s="14"/>
      <c r="M982" s="7"/>
      <c r="N982" s="14"/>
      <c r="O982" s="14"/>
      <c r="P982" s="7"/>
      <c r="Q982" s="21"/>
      <c r="R982" s="14"/>
      <c r="S982" s="14"/>
      <c r="T982" s="14"/>
      <c r="U982" s="14"/>
      <c r="V982" s="14"/>
      <c r="W982" s="14"/>
      <c r="X982" s="14"/>
      <c r="Y982" s="13"/>
      <c r="Z982" s="14"/>
    </row>
    <row r="983" spans="1:26" ht="14.25" customHeight="1" x14ac:dyDescent="0.25">
      <c r="A983" s="14"/>
      <c r="B983" s="14"/>
      <c r="C983" s="14"/>
      <c r="D983" s="14"/>
      <c r="E983" s="122"/>
      <c r="F983" s="14"/>
      <c r="G983" s="14"/>
      <c r="H983" s="14"/>
      <c r="I983" s="14"/>
      <c r="J983" s="14"/>
      <c r="K983" s="7"/>
      <c r="L983" s="14"/>
      <c r="M983" s="7"/>
      <c r="N983" s="14"/>
      <c r="O983" s="14"/>
      <c r="P983" s="7"/>
      <c r="Q983" s="21"/>
      <c r="R983" s="14"/>
      <c r="S983" s="14"/>
      <c r="T983" s="14"/>
      <c r="U983" s="14"/>
      <c r="V983" s="14"/>
      <c r="W983" s="14"/>
      <c r="X983" s="14"/>
      <c r="Y983" s="13"/>
      <c r="Z983" s="14"/>
    </row>
    <row r="984" spans="1:26" ht="14.25" customHeight="1" x14ac:dyDescent="0.25">
      <c r="A984" s="14"/>
      <c r="B984" s="14"/>
      <c r="C984" s="14"/>
      <c r="D984" s="14"/>
      <c r="E984" s="122"/>
      <c r="F984" s="14"/>
      <c r="G984" s="14"/>
      <c r="H984" s="14"/>
      <c r="I984" s="14"/>
      <c r="J984" s="14"/>
      <c r="K984" s="7"/>
      <c r="L984" s="14"/>
      <c r="M984" s="7"/>
      <c r="N984" s="14"/>
      <c r="O984" s="14"/>
      <c r="P984" s="7"/>
      <c r="Q984" s="21"/>
      <c r="R984" s="14"/>
      <c r="S984" s="14"/>
      <c r="T984" s="14"/>
      <c r="U984" s="14"/>
      <c r="V984" s="14"/>
      <c r="W984" s="14"/>
      <c r="X984" s="14"/>
      <c r="Y984" s="13"/>
      <c r="Z984" s="14"/>
    </row>
    <row r="985" spans="1:26" ht="14.25" customHeight="1" x14ac:dyDescent="0.25">
      <c r="A985" s="14"/>
      <c r="B985" s="14"/>
      <c r="C985" s="14"/>
      <c r="D985" s="14"/>
      <c r="E985" s="122"/>
      <c r="F985" s="14"/>
      <c r="G985" s="14"/>
      <c r="H985" s="14"/>
      <c r="I985" s="14"/>
      <c r="J985" s="14"/>
      <c r="K985" s="7"/>
      <c r="L985" s="14"/>
      <c r="M985" s="7"/>
      <c r="N985" s="14"/>
      <c r="O985" s="14"/>
      <c r="P985" s="7"/>
      <c r="Q985" s="21"/>
      <c r="R985" s="14"/>
      <c r="S985" s="14"/>
      <c r="T985" s="14"/>
      <c r="U985" s="14"/>
      <c r="V985" s="14"/>
      <c r="W985" s="14"/>
      <c r="X985" s="14"/>
      <c r="Y985" s="13"/>
      <c r="Z985" s="14"/>
    </row>
    <row r="986" spans="1:26" ht="14.25" customHeight="1" x14ac:dyDescent="0.25">
      <c r="A986" s="14"/>
      <c r="B986" s="14"/>
      <c r="C986" s="14"/>
      <c r="D986" s="14"/>
      <c r="E986" s="122"/>
      <c r="F986" s="14"/>
      <c r="G986" s="14"/>
      <c r="H986" s="14"/>
      <c r="I986" s="14"/>
      <c r="J986" s="14"/>
      <c r="K986" s="7"/>
      <c r="L986" s="14"/>
      <c r="M986" s="7"/>
      <c r="N986" s="14"/>
      <c r="O986" s="14"/>
      <c r="P986" s="7"/>
      <c r="Q986" s="21"/>
      <c r="R986" s="14"/>
      <c r="S986" s="14"/>
      <c r="T986" s="14"/>
      <c r="U986" s="14"/>
      <c r="V986" s="14"/>
      <c r="W986" s="14"/>
      <c r="X986" s="14"/>
      <c r="Y986" s="13"/>
      <c r="Z986" s="14"/>
    </row>
    <row r="987" spans="1:26" ht="14.25" customHeight="1" x14ac:dyDescent="0.25">
      <c r="A987" s="14"/>
      <c r="B987" s="14"/>
      <c r="C987" s="14"/>
      <c r="D987" s="14"/>
      <c r="E987" s="122"/>
      <c r="F987" s="14"/>
      <c r="G987" s="14"/>
      <c r="H987" s="14"/>
      <c r="I987" s="14"/>
      <c r="J987" s="14"/>
      <c r="K987" s="7"/>
      <c r="L987" s="14"/>
      <c r="M987" s="7"/>
      <c r="N987" s="14"/>
      <c r="O987" s="14"/>
      <c r="P987" s="7"/>
      <c r="Q987" s="21"/>
      <c r="R987" s="14"/>
      <c r="S987" s="14"/>
      <c r="T987" s="14"/>
      <c r="U987" s="14"/>
      <c r="V987" s="14"/>
      <c r="W987" s="14"/>
      <c r="X987" s="14"/>
      <c r="Y987" s="13"/>
      <c r="Z987" s="14"/>
    </row>
    <row r="988" spans="1:26" ht="14.25" customHeight="1" x14ac:dyDescent="0.25">
      <c r="A988" s="14"/>
      <c r="B988" s="14"/>
      <c r="C988" s="14"/>
      <c r="D988" s="14"/>
      <c r="E988" s="122"/>
      <c r="F988" s="14"/>
      <c r="G988" s="14"/>
      <c r="H988" s="14"/>
      <c r="I988" s="14"/>
      <c r="J988" s="14"/>
      <c r="K988" s="7"/>
      <c r="L988" s="14"/>
      <c r="M988" s="7"/>
      <c r="N988" s="14"/>
      <c r="O988" s="14"/>
      <c r="P988" s="7"/>
      <c r="Q988" s="21"/>
      <c r="R988" s="14"/>
      <c r="S988" s="14"/>
      <c r="T988" s="14"/>
      <c r="U988" s="14"/>
      <c r="V988" s="14"/>
      <c r="W988" s="14"/>
      <c r="X988" s="14"/>
      <c r="Y988" s="13"/>
      <c r="Z988" s="14"/>
    </row>
    <row r="989" spans="1:26" ht="14.25" customHeight="1" x14ac:dyDescent="0.25">
      <c r="A989" s="14"/>
      <c r="B989" s="14"/>
      <c r="C989" s="14"/>
      <c r="D989" s="14"/>
      <c r="E989" s="122"/>
      <c r="F989" s="14"/>
      <c r="G989" s="14"/>
      <c r="H989" s="14"/>
      <c r="I989" s="14"/>
      <c r="J989" s="14"/>
      <c r="K989" s="7"/>
      <c r="L989" s="14"/>
      <c r="M989" s="7"/>
      <c r="N989" s="14"/>
      <c r="O989" s="14"/>
      <c r="P989" s="7"/>
      <c r="Q989" s="21"/>
      <c r="R989" s="14"/>
      <c r="S989" s="14"/>
      <c r="T989" s="14"/>
      <c r="U989" s="14"/>
      <c r="V989" s="14"/>
      <c r="W989" s="14"/>
      <c r="X989" s="14"/>
      <c r="Y989" s="13"/>
      <c r="Z989" s="14"/>
    </row>
    <row r="990" spans="1:26" ht="14.25" customHeight="1" x14ac:dyDescent="0.25">
      <c r="A990" s="14"/>
      <c r="B990" s="14"/>
      <c r="C990" s="14"/>
      <c r="D990" s="14"/>
      <c r="E990" s="122"/>
      <c r="F990" s="14"/>
      <c r="G990" s="14"/>
      <c r="H990" s="14"/>
      <c r="I990" s="14"/>
      <c r="J990" s="14"/>
      <c r="K990" s="7"/>
      <c r="L990" s="14"/>
      <c r="M990" s="7"/>
      <c r="N990" s="14"/>
      <c r="O990" s="14"/>
      <c r="P990" s="7"/>
      <c r="Q990" s="21"/>
      <c r="R990" s="14"/>
      <c r="S990" s="14"/>
      <c r="T990" s="14"/>
      <c r="U990" s="14"/>
      <c r="V990" s="14"/>
      <c r="W990" s="14"/>
      <c r="X990" s="14"/>
      <c r="Y990" s="13"/>
      <c r="Z990" s="14"/>
    </row>
    <row r="991" spans="1:26" ht="14.25" customHeight="1" x14ac:dyDescent="0.25">
      <c r="A991" s="14"/>
      <c r="B991" s="14"/>
      <c r="C991" s="14"/>
      <c r="D991" s="14"/>
      <c r="E991" s="122"/>
      <c r="F991" s="14"/>
      <c r="G991" s="14"/>
      <c r="H991" s="14"/>
      <c r="I991" s="14"/>
      <c r="J991" s="14"/>
      <c r="K991" s="7"/>
      <c r="L991" s="14"/>
      <c r="M991" s="7"/>
      <c r="N991" s="14"/>
      <c r="O991" s="14"/>
      <c r="P991" s="7"/>
      <c r="Q991" s="21"/>
      <c r="R991" s="14"/>
      <c r="S991" s="14"/>
      <c r="T991" s="14"/>
      <c r="U991" s="14"/>
      <c r="V991" s="14"/>
      <c r="W991" s="14"/>
      <c r="X991" s="14"/>
      <c r="Y991" s="13"/>
      <c r="Z991" s="14"/>
    </row>
    <row r="992" spans="1:26" ht="14.25" customHeight="1" x14ac:dyDescent="0.25">
      <c r="A992" s="14"/>
      <c r="B992" s="14"/>
      <c r="C992" s="14"/>
      <c r="D992" s="14"/>
      <c r="E992" s="122"/>
      <c r="F992" s="14"/>
      <c r="G992" s="14"/>
      <c r="H992" s="14"/>
      <c r="I992" s="14"/>
      <c r="J992" s="14"/>
      <c r="K992" s="7"/>
      <c r="L992" s="14"/>
      <c r="M992" s="7"/>
      <c r="N992" s="14"/>
      <c r="O992" s="14"/>
      <c r="P992" s="7"/>
      <c r="Q992" s="21"/>
      <c r="R992" s="14"/>
      <c r="S992" s="14"/>
      <c r="T992" s="14"/>
      <c r="U992" s="14"/>
      <c r="V992" s="14"/>
      <c r="W992" s="14"/>
      <c r="X992" s="14"/>
      <c r="Y992" s="13"/>
      <c r="Z992" s="14"/>
    </row>
    <row r="993" spans="1:26" x14ac:dyDescent="0.25">
      <c r="A993" s="105"/>
      <c r="B993" s="105"/>
      <c r="C993" s="105"/>
      <c r="D993" s="105"/>
      <c r="E993" s="106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spans="1:26" x14ac:dyDescent="0.25">
      <c r="A994" s="105"/>
      <c r="B994" s="105"/>
      <c r="C994" s="105"/>
      <c r="D994" s="105"/>
      <c r="E994" s="106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spans="1:26" x14ac:dyDescent="0.25">
      <c r="A995" s="105"/>
      <c r="B995" s="105"/>
      <c r="C995" s="105"/>
      <c r="D995" s="105"/>
      <c r="E995" s="106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spans="1:26" x14ac:dyDescent="0.25">
      <c r="A996" s="105"/>
      <c r="B996" s="105"/>
      <c r="C996" s="105"/>
      <c r="D996" s="105"/>
      <c r="E996" s="106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spans="1:26" x14ac:dyDescent="0.25">
      <c r="A997" s="105"/>
      <c r="B997" s="105"/>
      <c r="C997" s="105"/>
      <c r="D997" s="105"/>
      <c r="E997" s="106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</sheetData>
  <autoFilter ref="A1:Y59" xr:uid="{00000000-0009-0000-0000-000001000000}"/>
  <conditionalFormatting sqref="N2:N992">
    <cfRule type="containsText" dxfId="613" priority="1" operator="containsText" text="AL DIA">
      <formula>NOT(ISERROR(SEARCH(("AL DIA"),(N2))))</formula>
    </cfRule>
  </conditionalFormatting>
  <conditionalFormatting sqref="N2:N992">
    <cfRule type="containsText" dxfId="612" priority="2" operator="containsText" text="PENDIENTE">
      <formula>NOT(ISERROR(SEARCH(("PENDIENTE"),(N2))))</formula>
    </cfRule>
  </conditionalFormatting>
  <conditionalFormatting sqref="S32:S992 S2:S20">
    <cfRule type="containsText" dxfId="611" priority="3" operator="containsText" text="RETIRADO">
      <formula>NOT(ISERROR(SEARCH(("RETIRADO"),(S2))))</formula>
    </cfRule>
  </conditionalFormatting>
  <conditionalFormatting sqref="S32:S992 S2:S20">
    <cfRule type="containsText" dxfId="610" priority="4" operator="containsText" text="ACTIVO">
      <formula>NOT(ISERROR(SEARCH(("ACTIVO"),(S2))))</formula>
    </cfRule>
  </conditionalFormatting>
  <dataValidations count="4">
    <dataValidation type="list" allowBlank="1" showErrorMessage="1" sqref="S32:S476" xr:uid="{00000000-0002-0000-0100-000000000000}">
      <formula1>$Y$1:$Y$2</formula1>
    </dataValidation>
    <dataValidation type="list" allowBlank="1" showErrorMessage="1" sqref="N65:N476" xr:uid="{00000000-0002-0000-0100-000003000000}">
      <formula1>$X$1:$X$2</formula1>
    </dataValidation>
    <dataValidation type="list" allowBlank="1" showErrorMessage="1" sqref="N2:N64" xr:uid="{00000000-0002-0000-0100-000001000000}">
      <formula1>$X$2:$X$3</formula1>
    </dataValidation>
    <dataValidation type="list" allowBlank="1" showErrorMessage="1" sqref="S2:S20" xr:uid="{00000000-0002-0000-0100-000002000000}">
      <formula1>$V$1:$V$2</formula1>
    </dataValidation>
  </dataValidations>
  <hyperlinks>
    <hyperlink ref="W2" r:id="rId1" xr:uid="{00000000-0004-0000-0100-000000000000}"/>
    <hyperlink ref="W3" r:id="rId2" xr:uid="{00000000-0004-0000-0100-000001000000}"/>
    <hyperlink ref="W4" r:id="rId3" xr:uid="{00000000-0004-0000-0100-000002000000}"/>
    <hyperlink ref="W5" r:id="rId4" xr:uid="{00000000-0004-0000-0100-000003000000}"/>
    <hyperlink ref="W6" r:id="rId5" xr:uid="{00000000-0004-0000-0100-000004000000}"/>
    <hyperlink ref="W9" r:id="rId6" xr:uid="{00000000-0004-0000-0100-000006000000}"/>
    <hyperlink ref="W10" r:id="rId7" xr:uid="{00000000-0004-0000-0100-000007000000}"/>
    <hyperlink ref="W11" r:id="rId8" xr:uid="{00000000-0004-0000-0100-000008000000}"/>
    <hyperlink ref="W12" r:id="rId9" xr:uid="{00000000-0004-0000-0100-000009000000}"/>
    <hyperlink ref="W13" r:id="rId10" xr:uid="{00000000-0004-0000-0100-00000A000000}"/>
    <hyperlink ref="W14" r:id="rId11" xr:uid="{00000000-0004-0000-0100-00000B000000}"/>
    <hyperlink ref="W15" r:id="rId12" xr:uid="{00000000-0004-0000-0100-00000C000000}"/>
    <hyperlink ref="W16" r:id="rId13" xr:uid="{00000000-0004-0000-0100-00000D000000}"/>
    <hyperlink ref="W17" r:id="rId14" xr:uid="{00000000-0004-0000-0100-00000F000000}"/>
    <hyperlink ref="W18" r:id="rId15" xr:uid="{00000000-0004-0000-0100-000010000000}"/>
    <hyperlink ref="W19" r:id="rId16" xr:uid="{00000000-0004-0000-0100-000011000000}"/>
    <hyperlink ref="W20" r:id="rId17" xr:uid="{00000000-0004-0000-0100-000012000000}"/>
    <hyperlink ref="W21" r:id="rId18" xr:uid="{00000000-0004-0000-0100-000013000000}"/>
    <hyperlink ref="W22" r:id="rId19" xr:uid="{00000000-0004-0000-0100-000014000000}"/>
    <hyperlink ref="W23" r:id="rId20" xr:uid="{00000000-0004-0000-0100-000015000000}"/>
    <hyperlink ref="W24" r:id="rId21" xr:uid="{00000000-0004-0000-0100-000016000000}"/>
    <hyperlink ref="W25" r:id="rId22" xr:uid="{00000000-0004-0000-0100-000017000000}"/>
    <hyperlink ref="W26" r:id="rId23" xr:uid="{00000000-0004-0000-0100-000018000000}"/>
    <hyperlink ref="W27" r:id="rId24" xr:uid="{00000000-0004-0000-0100-000019000000}"/>
    <hyperlink ref="W28" r:id="rId25" xr:uid="{00000000-0004-0000-0100-00001A000000}"/>
    <hyperlink ref="W29" r:id="rId26" xr:uid="{00000000-0004-0000-0100-00001B000000}"/>
    <hyperlink ref="W30" r:id="rId27" xr:uid="{00000000-0004-0000-0100-00001C000000}"/>
    <hyperlink ref="W31" r:id="rId28" xr:uid="{00000000-0004-0000-0100-00001D000000}"/>
    <hyperlink ref="W32" r:id="rId29" xr:uid="{00000000-0004-0000-0100-00001E000000}"/>
    <hyperlink ref="W33" r:id="rId30" xr:uid="{00000000-0004-0000-0100-00001F000000}"/>
    <hyperlink ref="W34" r:id="rId31" xr:uid="{00000000-0004-0000-0100-000020000000}"/>
    <hyperlink ref="W35" r:id="rId32" xr:uid="{00000000-0004-0000-0100-000021000000}"/>
    <hyperlink ref="W36" r:id="rId33" xr:uid="{00000000-0004-0000-0100-000022000000}"/>
    <hyperlink ref="W37" r:id="rId34" xr:uid="{00000000-0004-0000-0100-000023000000}"/>
    <hyperlink ref="W38" r:id="rId35" xr:uid="{00000000-0004-0000-0100-000024000000}"/>
    <hyperlink ref="W39" r:id="rId36" xr:uid="{00000000-0004-0000-0100-000025000000}"/>
    <hyperlink ref="W40" r:id="rId37" xr:uid="{00000000-0004-0000-0100-000026000000}"/>
    <hyperlink ref="W41" r:id="rId38" xr:uid="{00000000-0004-0000-0100-000027000000}"/>
    <hyperlink ref="W42" r:id="rId39" xr:uid="{00000000-0004-0000-0100-000028000000}"/>
    <hyperlink ref="W43" r:id="rId40" xr:uid="{00000000-0004-0000-0100-000029000000}"/>
    <hyperlink ref="W44" r:id="rId41" xr:uid="{00000000-0004-0000-0100-00002A000000}"/>
    <hyperlink ref="W47" r:id="rId42" xr:uid="{00000000-0004-0000-0100-00002B000000}"/>
    <hyperlink ref="W48" r:id="rId43" xr:uid="{00000000-0004-0000-0100-00002C000000}"/>
    <hyperlink ref="W49" r:id="rId44" xr:uid="{00000000-0004-0000-0100-00002D000000}"/>
    <hyperlink ref="W50" r:id="rId45" xr:uid="{00000000-0004-0000-0100-00002E000000}"/>
    <hyperlink ref="W51" r:id="rId46" xr:uid="{00000000-0004-0000-0100-00002F000000}"/>
    <hyperlink ref="W56" r:id="rId47" xr:uid="{00000000-0004-0000-0100-000030000000}"/>
    <hyperlink ref="W57" r:id="rId48" xr:uid="{00000000-0004-0000-0100-000031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topLeftCell="F56" workbookViewId="0">
      <selection activeCell="O66" sqref="O66"/>
    </sheetView>
  </sheetViews>
  <sheetFormatPr baseColWidth="10" defaultColWidth="14.42578125" defaultRowHeight="15" customHeight="1" x14ac:dyDescent="0.25"/>
  <cols>
    <col min="1" max="1" width="11.5703125" customWidth="1"/>
    <col min="2" max="2" width="22.28515625" customWidth="1"/>
    <col min="3" max="3" width="25.85546875" customWidth="1"/>
    <col min="4" max="4" width="45" customWidth="1"/>
    <col min="5" max="5" width="12.140625" customWidth="1"/>
    <col min="6" max="6" width="25.28515625" customWidth="1"/>
    <col min="7" max="7" width="15.7109375" bestFit="1" customWidth="1"/>
    <col min="8" max="8" width="12.7109375" customWidth="1"/>
    <col min="9" max="9" width="19.42578125" bestFit="1" customWidth="1"/>
    <col min="10" max="10" width="15.140625" hidden="1" customWidth="1"/>
    <col min="11" max="11" width="9.42578125" hidden="1" customWidth="1"/>
    <col min="12" max="12" width="22.140625" customWidth="1"/>
    <col min="13" max="13" width="22.5703125" customWidth="1"/>
    <col min="14" max="14" width="21.42578125" customWidth="1"/>
    <col min="15" max="15" width="20.42578125" customWidth="1"/>
    <col min="16" max="16" width="22.140625" customWidth="1"/>
    <col min="17" max="17" width="26.28515625" customWidth="1"/>
    <col min="18" max="18" width="22.5703125" hidden="1" customWidth="1"/>
    <col min="19" max="19" width="23.7109375" hidden="1" customWidth="1"/>
    <col min="20" max="20" width="26.85546875" customWidth="1"/>
    <col min="21" max="21" width="32.28515625" customWidth="1"/>
    <col min="22" max="22" width="39.5703125" customWidth="1"/>
    <col min="23" max="26" width="10.7109375" customWidth="1"/>
  </cols>
  <sheetData>
    <row r="1" spans="1:26" x14ac:dyDescent="0.25">
      <c r="A1" s="14"/>
      <c r="B1" s="2"/>
      <c r="C1" s="2"/>
      <c r="D1" s="3" t="s">
        <v>0</v>
      </c>
      <c r="E1" s="3" t="s">
        <v>2721</v>
      </c>
      <c r="F1" s="3" t="s">
        <v>2</v>
      </c>
      <c r="G1" s="3" t="s">
        <v>2722</v>
      </c>
      <c r="H1" s="3" t="s">
        <v>2723</v>
      </c>
      <c r="I1" s="3" t="s">
        <v>6</v>
      </c>
      <c r="J1" s="117" t="s">
        <v>7</v>
      </c>
      <c r="K1" s="118" t="s">
        <v>2724</v>
      </c>
      <c r="L1" s="117" t="s">
        <v>8</v>
      </c>
      <c r="M1" s="3" t="s">
        <v>9</v>
      </c>
      <c r="N1" s="3" t="s">
        <v>10</v>
      </c>
      <c r="O1" s="117" t="s">
        <v>11</v>
      </c>
      <c r="P1" s="10" t="s">
        <v>12</v>
      </c>
      <c r="Q1" s="11" t="s">
        <v>13</v>
      </c>
      <c r="R1" s="11" t="s">
        <v>14</v>
      </c>
      <c r="S1" s="11" t="s">
        <v>15</v>
      </c>
      <c r="T1" s="11" t="s">
        <v>3024</v>
      </c>
      <c r="U1" s="11" t="s">
        <v>3025</v>
      </c>
      <c r="V1" s="11" t="s">
        <v>18</v>
      </c>
      <c r="W1" s="12" t="s">
        <v>19</v>
      </c>
      <c r="X1" s="1" t="s">
        <v>20</v>
      </c>
      <c r="Y1" s="14"/>
      <c r="Z1" s="14"/>
    </row>
    <row r="2" spans="1:26" x14ac:dyDescent="0.25">
      <c r="A2" s="14"/>
      <c r="B2" s="15"/>
      <c r="C2" s="15"/>
      <c r="D2" s="36" t="s">
        <v>3026</v>
      </c>
      <c r="E2" s="36">
        <v>94395003</v>
      </c>
      <c r="F2" s="36">
        <v>3235889557</v>
      </c>
      <c r="G2" s="36" t="s">
        <v>3027</v>
      </c>
      <c r="H2" s="36" t="s">
        <v>3028</v>
      </c>
      <c r="I2" s="36" t="s">
        <v>421</v>
      </c>
      <c r="J2" s="57">
        <v>82000</v>
      </c>
      <c r="K2" s="57"/>
      <c r="L2" s="57">
        <f t="shared" ref="L2:L10" si="0">J2</f>
        <v>82000</v>
      </c>
      <c r="M2" s="18" t="s">
        <v>234</v>
      </c>
      <c r="N2" s="64"/>
      <c r="O2" s="18"/>
      <c r="P2" s="66"/>
      <c r="Q2" s="15" t="s">
        <v>3029</v>
      </c>
      <c r="R2" s="15" t="s">
        <v>20</v>
      </c>
      <c r="S2" s="15"/>
      <c r="T2" s="36" t="s">
        <v>3030</v>
      </c>
      <c r="U2" s="36" t="s">
        <v>3031</v>
      </c>
      <c r="V2" s="53" t="s">
        <v>3032</v>
      </c>
      <c r="W2" s="103" t="s">
        <v>26</v>
      </c>
      <c r="X2" s="15" t="s">
        <v>2563</v>
      </c>
      <c r="Y2" s="14"/>
      <c r="Z2" s="14"/>
    </row>
    <row r="3" spans="1:26" x14ac:dyDescent="0.25">
      <c r="A3" s="14"/>
      <c r="B3" s="15"/>
      <c r="C3" s="15"/>
      <c r="D3" s="36" t="s">
        <v>3033</v>
      </c>
      <c r="E3" s="105" t="s">
        <v>3034</v>
      </c>
      <c r="F3" s="36">
        <v>3117744040</v>
      </c>
      <c r="G3" s="36" t="s">
        <v>3035</v>
      </c>
      <c r="H3" s="36" t="s">
        <v>3028</v>
      </c>
      <c r="I3" s="36" t="s">
        <v>421</v>
      </c>
      <c r="J3" s="57">
        <v>82000</v>
      </c>
      <c r="K3" s="57"/>
      <c r="L3" s="57">
        <f t="shared" si="0"/>
        <v>82000</v>
      </c>
      <c r="M3" s="57" t="s">
        <v>234</v>
      </c>
      <c r="N3" s="64"/>
      <c r="O3" s="18"/>
      <c r="P3" s="66"/>
      <c r="Q3" s="15" t="s">
        <v>3029</v>
      </c>
      <c r="R3" s="15" t="s">
        <v>20</v>
      </c>
      <c r="S3" s="15"/>
      <c r="T3" s="36" t="s">
        <v>3036</v>
      </c>
      <c r="U3" s="36" t="s">
        <v>3037</v>
      </c>
      <c r="V3" s="47" t="s">
        <v>311</v>
      </c>
      <c r="W3" s="67" t="s">
        <v>234</v>
      </c>
      <c r="X3" s="15"/>
      <c r="Y3" s="14"/>
      <c r="Z3" s="14"/>
    </row>
    <row r="4" spans="1:26" x14ac:dyDescent="0.25">
      <c r="A4" s="14"/>
      <c r="B4" s="15"/>
      <c r="C4" s="15"/>
      <c r="D4" s="36" t="s">
        <v>3038</v>
      </c>
      <c r="E4" s="36">
        <v>1007723307</v>
      </c>
      <c r="F4" s="36">
        <v>3012156516</v>
      </c>
      <c r="G4" s="36" t="s">
        <v>3039</v>
      </c>
      <c r="H4" s="36" t="s">
        <v>3028</v>
      </c>
      <c r="I4" s="36" t="s">
        <v>421</v>
      </c>
      <c r="J4" s="57">
        <v>82000</v>
      </c>
      <c r="K4" s="57"/>
      <c r="L4" s="57">
        <f t="shared" si="0"/>
        <v>82000</v>
      </c>
      <c r="M4" s="57" t="s">
        <v>234</v>
      </c>
      <c r="N4" s="64"/>
      <c r="O4" s="18"/>
      <c r="P4" s="66"/>
      <c r="Q4" s="15" t="s">
        <v>3029</v>
      </c>
      <c r="R4" s="15" t="s">
        <v>20</v>
      </c>
      <c r="S4" s="15"/>
      <c r="T4" s="36" t="s">
        <v>3040</v>
      </c>
      <c r="U4" s="36" t="s">
        <v>3041</v>
      </c>
      <c r="V4" s="53" t="s">
        <v>3042</v>
      </c>
      <c r="W4" s="15"/>
      <c r="X4" s="15"/>
      <c r="Y4" s="14"/>
      <c r="Z4" s="14"/>
    </row>
    <row r="5" spans="1:26" x14ac:dyDescent="0.25">
      <c r="A5" s="14"/>
      <c r="B5" s="15"/>
      <c r="C5" s="15"/>
      <c r="D5" s="36" t="s">
        <v>3043</v>
      </c>
      <c r="E5" s="36">
        <v>94287465</v>
      </c>
      <c r="F5" s="36">
        <v>3105203114</v>
      </c>
      <c r="G5" s="36" t="s">
        <v>3044</v>
      </c>
      <c r="H5" s="36" t="s">
        <v>3028</v>
      </c>
      <c r="I5" s="36" t="s">
        <v>421</v>
      </c>
      <c r="J5" s="57">
        <v>82000</v>
      </c>
      <c r="K5" s="57"/>
      <c r="L5" s="57">
        <f t="shared" si="0"/>
        <v>82000</v>
      </c>
      <c r="M5" s="57" t="s">
        <v>234</v>
      </c>
      <c r="N5" s="64"/>
      <c r="O5" s="18"/>
      <c r="P5" s="66"/>
      <c r="Q5" s="15" t="s">
        <v>3029</v>
      </c>
      <c r="R5" s="15" t="s">
        <v>20</v>
      </c>
      <c r="S5" s="15"/>
      <c r="T5" s="36" t="s">
        <v>3045</v>
      </c>
      <c r="U5" s="36" t="s">
        <v>3046</v>
      </c>
      <c r="V5" s="53" t="s">
        <v>3047</v>
      </c>
      <c r="W5" s="15"/>
      <c r="X5" s="15"/>
      <c r="Y5" s="14"/>
      <c r="Z5" s="14"/>
    </row>
    <row r="6" spans="1:26" x14ac:dyDescent="0.25">
      <c r="A6" s="14"/>
      <c r="B6" s="15"/>
      <c r="C6" s="15"/>
      <c r="D6" s="36" t="s">
        <v>3048</v>
      </c>
      <c r="E6" s="36">
        <v>24758046</v>
      </c>
      <c r="F6" s="36">
        <v>3122148617</v>
      </c>
      <c r="G6" s="36" t="s">
        <v>3049</v>
      </c>
      <c r="H6" s="36" t="s">
        <v>3028</v>
      </c>
      <c r="I6" s="36" t="s">
        <v>421</v>
      </c>
      <c r="J6" s="57">
        <v>82000</v>
      </c>
      <c r="K6" s="57"/>
      <c r="L6" s="57">
        <f t="shared" si="0"/>
        <v>82000</v>
      </c>
      <c r="M6" s="57" t="s">
        <v>234</v>
      </c>
      <c r="N6" s="64"/>
      <c r="O6" s="18"/>
      <c r="P6" s="66"/>
      <c r="Q6" s="15" t="s">
        <v>3029</v>
      </c>
      <c r="R6" s="15" t="s">
        <v>20</v>
      </c>
      <c r="S6" s="15"/>
      <c r="T6" s="36" t="s">
        <v>3050</v>
      </c>
      <c r="U6" s="36" t="s">
        <v>3051</v>
      </c>
      <c r="V6" s="47" t="s">
        <v>311</v>
      </c>
      <c r="W6" s="15"/>
      <c r="X6" s="15"/>
      <c r="Y6" s="14"/>
      <c r="Z6" s="14"/>
    </row>
    <row r="7" spans="1:26" x14ac:dyDescent="0.25">
      <c r="A7" s="14"/>
      <c r="B7" s="15"/>
      <c r="C7" s="15"/>
      <c r="D7" s="36" t="s">
        <v>3052</v>
      </c>
      <c r="E7" s="36">
        <v>1113303719</v>
      </c>
      <c r="F7" s="36">
        <v>3175268241</v>
      </c>
      <c r="G7" s="36" t="s">
        <v>3053</v>
      </c>
      <c r="H7" s="36" t="s">
        <v>3028</v>
      </c>
      <c r="I7" s="36" t="s">
        <v>421</v>
      </c>
      <c r="J7" s="57">
        <v>82000</v>
      </c>
      <c r="K7" s="57"/>
      <c r="L7" s="57">
        <f t="shared" si="0"/>
        <v>82000</v>
      </c>
      <c r="M7" s="57" t="s">
        <v>234</v>
      </c>
      <c r="N7" s="64"/>
      <c r="O7" s="18"/>
      <c r="P7" s="66"/>
      <c r="Q7" s="15" t="s">
        <v>3029</v>
      </c>
      <c r="R7" s="15" t="s">
        <v>20</v>
      </c>
      <c r="S7" s="15"/>
      <c r="T7" s="36" t="s">
        <v>3054</v>
      </c>
      <c r="U7" s="36" t="s">
        <v>3055</v>
      </c>
      <c r="V7" s="47" t="s">
        <v>311</v>
      </c>
      <c r="W7" s="15"/>
      <c r="X7" s="15"/>
      <c r="Y7" s="14"/>
      <c r="Z7" s="14"/>
    </row>
    <row r="8" spans="1:26" x14ac:dyDescent="0.25">
      <c r="A8" s="14"/>
      <c r="B8" s="15"/>
      <c r="C8" s="15"/>
      <c r="D8" s="36" t="s">
        <v>3056</v>
      </c>
      <c r="E8" s="36">
        <v>1054989024</v>
      </c>
      <c r="F8" s="36" t="s">
        <v>3057</v>
      </c>
      <c r="G8" s="36" t="s">
        <v>3058</v>
      </c>
      <c r="H8" s="36" t="s">
        <v>3028</v>
      </c>
      <c r="I8" s="36" t="s">
        <v>421</v>
      </c>
      <c r="J8" s="57">
        <v>82000</v>
      </c>
      <c r="K8" s="57"/>
      <c r="L8" s="57">
        <f t="shared" si="0"/>
        <v>82000</v>
      </c>
      <c r="M8" s="57" t="s">
        <v>234</v>
      </c>
      <c r="N8" s="64"/>
      <c r="O8" s="18"/>
      <c r="P8" s="66"/>
      <c r="Q8" s="15" t="s">
        <v>3029</v>
      </c>
      <c r="R8" s="15" t="s">
        <v>20</v>
      </c>
      <c r="S8" s="15"/>
      <c r="T8" s="36" t="s">
        <v>3059</v>
      </c>
      <c r="U8" s="36" t="s">
        <v>3060</v>
      </c>
      <c r="V8" s="47" t="s">
        <v>311</v>
      </c>
      <c r="W8" s="15"/>
      <c r="X8" s="15"/>
      <c r="Y8" s="14"/>
      <c r="Z8" s="14"/>
    </row>
    <row r="9" spans="1:26" x14ac:dyDescent="0.25">
      <c r="A9" s="14"/>
      <c r="B9" s="15"/>
      <c r="C9" s="15"/>
      <c r="D9" s="36" t="s">
        <v>3061</v>
      </c>
      <c r="E9" s="36">
        <v>94285519</v>
      </c>
      <c r="F9" s="36">
        <v>3165876404</v>
      </c>
      <c r="G9" s="36" t="s">
        <v>3062</v>
      </c>
      <c r="H9" s="36" t="s">
        <v>3028</v>
      </c>
      <c r="I9" s="36" t="s">
        <v>421</v>
      </c>
      <c r="J9" s="57">
        <v>82000</v>
      </c>
      <c r="K9" s="57"/>
      <c r="L9" s="57">
        <f t="shared" si="0"/>
        <v>82000</v>
      </c>
      <c r="M9" s="57" t="s">
        <v>234</v>
      </c>
      <c r="N9" s="64"/>
      <c r="O9" s="18"/>
      <c r="P9" s="66"/>
      <c r="Q9" s="15" t="s">
        <v>3029</v>
      </c>
      <c r="R9" s="15" t="s">
        <v>20</v>
      </c>
      <c r="S9" s="15"/>
      <c r="T9" s="36" t="s">
        <v>3063</v>
      </c>
      <c r="U9" s="36" t="s">
        <v>3064</v>
      </c>
      <c r="V9" s="53" t="s">
        <v>3065</v>
      </c>
      <c r="W9" s="15"/>
      <c r="X9" s="15"/>
      <c r="Y9" s="14"/>
      <c r="Z9" s="14"/>
    </row>
    <row r="10" spans="1:26" x14ac:dyDescent="0.25">
      <c r="A10" s="14"/>
      <c r="B10" s="15"/>
      <c r="C10" s="15"/>
      <c r="D10" s="36" t="s">
        <v>3066</v>
      </c>
      <c r="E10" s="36">
        <v>29819520</v>
      </c>
      <c r="F10" s="36">
        <v>3106336758</v>
      </c>
      <c r="G10" s="36" t="s">
        <v>3067</v>
      </c>
      <c r="H10" s="36" t="s">
        <v>3028</v>
      </c>
      <c r="I10" s="36" t="s">
        <v>421</v>
      </c>
      <c r="J10" s="57">
        <v>82000</v>
      </c>
      <c r="K10" s="57"/>
      <c r="L10" s="57">
        <f t="shared" si="0"/>
        <v>82000</v>
      </c>
      <c r="M10" s="57" t="s">
        <v>234</v>
      </c>
      <c r="N10" s="64"/>
      <c r="O10" s="18"/>
      <c r="P10" s="66"/>
      <c r="Q10" s="15" t="s">
        <v>3029</v>
      </c>
      <c r="R10" s="15" t="s">
        <v>20</v>
      </c>
      <c r="S10" s="15"/>
      <c r="T10" s="36" t="s">
        <v>3063</v>
      </c>
      <c r="U10" s="36" t="s">
        <v>3068</v>
      </c>
      <c r="V10" s="53" t="s">
        <v>3069</v>
      </c>
      <c r="W10" s="15"/>
      <c r="X10" s="15"/>
      <c r="Y10" s="14"/>
      <c r="Z10" s="14"/>
    </row>
    <row r="11" spans="1:26" x14ac:dyDescent="0.25">
      <c r="A11" s="14"/>
      <c r="B11" s="15"/>
      <c r="C11" s="15"/>
      <c r="D11" s="36" t="s">
        <v>3070</v>
      </c>
      <c r="E11" s="36">
        <v>94279449</v>
      </c>
      <c r="F11" s="36">
        <v>3138399631</v>
      </c>
      <c r="G11" s="36" t="s">
        <v>3071</v>
      </c>
      <c r="H11" s="36" t="s">
        <v>3028</v>
      </c>
      <c r="I11" s="36" t="s">
        <v>421</v>
      </c>
      <c r="J11" s="57">
        <v>82000</v>
      </c>
      <c r="K11" s="57"/>
      <c r="L11" s="57">
        <v>82000</v>
      </c>
      <c r="M11" s="57" t="s">
        <v>234</v>
      </c>
      <c r="N11" s="64"/>
      <c r="O11" s="18"/>
      <c r="P11" s="66"/>
      <c r="Q11" s="15" t="s">
        <v>3029</v>
      </c>
      <c r="R11" s="15" t="s">
        <v>20</v>
      </c>
      <c r="S11" s="15"/>
      <c r="T11" s="36" t="s">
        <v>3028</v>
      </c>
      <c r="U11" s="36" t="s">
        <v>3072</v>
      </c>
      <c r="V11" s="47" t="s">
        <v>311</v>
      </c>
      <c r="W11" s="15"/>
      <c r="X11" s="15"/>
      <c r="Y11" s="14"/>
      <c r="Z11" s="14"/>
    </row>
    <row r="12" spans="1:26" x14ac:dyDescent="0.25">
      <c r="A12" s="14"/>
      <c r="B12" s="15"/>
      <c r="C12" s="15"/>
      <c r="D12" s="36" t="s">
        <v>3073</v>
      </c>
      <c r="E12" s="36">
        <v>1143949716</v>
      </c>
      <c r="F12" s="36">
        <v>3154996831</v>
      </c>
      <c r="G12" s="36" t="s">
        <v>3074</v>
      </c>
      <c r="H12" s="36" t="s">
        <v>3028</v>
      </c>
      <c r="I12" s="36" t="s">
        <v>421</v>
      </c>
      <c r="J12" s="57">
        <v>82000</v>
      </c>
      <c r="K12" s="57"/>
      <c r="L12" s="57">
        <f t="shared" ref="L12:L28" si="1">J12</f>
        <v>82000</v>
      </c>
      <c r="M12" s="57" t="s">
        <v>234</v>
      </c>
      <c r="N12" s="64"/>
      <c r="O12" s="18"/>
      <c r="P12" s="66"/>
      <c r="Q12" s="15" t="s">
        <v>3029</v>
      </c>
      <c r="R12" s="15" t="s">
        <v>20</v>
      </c>
      <c r="S12" s="15"/>
      <c r="T12" s="36" t="s">
        <v>3075</v>
      </c>
      <c r="U12" s="36" t="s">
        <v>3076</v>
      </c>
      <c r="V12" s="53" t="s">
        <v>3077</v>
      </c>
      <c r="W12" s="15"/>
      <c r="X12" s="15"/>
      <c r="Y12" s="14"/>
      <c r="Z12" s="14"/>
    </row>
    <row r="13" spans="1:26" x14ac:dyDescent="0.25">
      <c r="A13" s="14"/>
      <c r="B13" s="15" t="s">
        <v>3078</v>
      </c>
      <c r="C13" s="15"/>
      <c r="D13" s="36" t="s">
        <v>3079</v>
      </c>
      <c r="E13" s="36">
        <v>1007711219</v>
      </c>
      <c r="F13" s="36">
        <v>3217474683</v>
      </c>
      <c r="G13" s="36" t="s">
        <v>3080</v>
      </c>
      <c r="H13" s="36" t="s">
        <v>3028</v>
      </c>
      <c r="I13" s="36" t="s">
        <v>421</v>
      </c>
      <c r="J13" s="57">
        <v>82000</v>
      </c>
      <c r="K13" s="57"/>
      <c r="L13" s="57">
        <f t="shared" si="1"/>
        <v>82000</v>
      </c>
      <c r="M13" s="57" t="s">
        <v>234</v>
      </c>
      <c r="N13" s="64"/>
      <c r="O13" s="18"/>
      <c r="P13" s="66"/>
      <c r="Q13" s="15" t="s">
        <v>3029</v>
      </c>
      <c r="R13" s="15" t="s">
        <v>20</v>
      </c>
      <c r="S13" s="15"/>
      <c r="T13" s="36" t="s">
        <v>3040</v>
      </c>
      <c r="U13" s="36" t="s">
        <v>3081</v>
      </c>
      <c r="V13" s="47" t="s">
        <v>311</v>
      </c>
      <c r="W13" s="15"/>
      <c r="X13" s="15"/>
      <c r="Y13" s="14"/>
      <c r="Z13" s="14"/>
    </row>
    <row r="14" spans="1:26" x14ac:dyDescent="0.25">
      <c r="A14" s="14"/>
      <c r="B14" s="15"/>
      <c r="C14" s="15"/>
      <c r="D14" s="36" t="s">
        <v>3082</v>
      </c>
      <c r="E14" s="36">
        <v>1113308460</v>
      </c>
      <c r="F14" s="36">
        <v>3113732618</v>
      </c>
      <c r="G14" s="36" t="s">
        <v>3083</v>
      </c>
      <c r="H14" s="36" t="s">
        <v>3028</v>
      </c>
      <c r="I14" s="36" t="s">
        <v>421</v>
      </c>
      <c r="J14" s="57">
        <v>82000</v>
      </c>
      <c r="K14" s="57"/>
      <c r="L14" s="57">
        <f t="shared" si="1"/>
        <v>82000</v>
      </c>
      <c r="M14" s="57" t="s">
        <v>234</v>
      </c>
      <c r="N14" s="64"/>
      <c r="O14" s="18"/>
      <c r="P14" s="66"/>
      <c r="Q14" s="15" t="s">
        <v>3029</v>
      </c>
      <c r="R14" s="15" t="s">
        <v>20</v>
      </c>
      <c r="S14" s="15"/>
      <c r="T14" s="36" t="s">
        <v>3084</v>
      </c>
      <c r="U14" s="36" t="s">
        <v>3085</v>
      </c>
      <c r="V14" s="47" t="s">
        <v>311</v>
      </c>
      <c r="W14" s="15"/>
      <c r="X14" s="15"/>
      <c r="Y14" s="14"/>
      <c r="Z14" s="14"/>
    </row>
    <row r="15" spans="1:26" x14ac:dyDescent="0.25">
      <c r="A15" s="14"/>
      <c r="B15" s="15"/>
      <c r="C15" s="15"/>
      <c r="D15" s="36" t="s">
        <v>3086</v>
      </c>
      <c r="E15" s="36">
        <v>40595941</v>
      </c>
      <c r="F15" s="36">
        <v>3133367618</v>
      </c>
      <c r="G15" s="36" t="s">
        <v>3087</v>
      </c>
      <c r="H15" s="36" t="s">
        <v>3028</v>
      </c>
      <c r="I15" s="36" t="s">
        <v>421</v>
      </c>
      <c r="J15" s="57">
        <v>82000</v>
      </c>
      <c r="K15" s="57"/>
      <c r="L15" s="57">
        <f t="shared" si="1"/>
        <v>82000</v>
      </c>
      <c r="M15" s="57" t="s">
        <v>234</v>
      </c>
      <c r="N15" s="64"/>
      <c r="O15" s="18"/>
      <c r="P15" s="66"/>
      <c r="Q15" s="15" t="s">
        <v>3029</v>
      </c>
      <c r="R15" s="15" t="s">
        <v>20</v>
      </c>
      <c r="S15" s="15"/>
      <c r="T15" s="36" t="s">
        <v>3088</v>
      </c>
      <c r="U15" s="36" t="s">
        <v>3089</v>
      </c>
      <c r="V15" s="47" t="s">
        <v>311</v>
      </c>
      <c r="W15" s="15"/>
      <c r="X15" s="15"/>
      <c r="Y15" s="14"/>
      <c r="Z15" s="14"/>
    </row>
    <row r="16" spans="1:26" x14ac:dyDescent="0.25">
      <c r="A16" s="14"/>
      <c r="B16" s="15"/>
      <c r="C16" s="15"/>
      <c r="D16" s="36" t="s">
        <v>3090</v>
      </c>
      <c r="E16" s="36">
        <v>18415355</v>
      </c>
      <c r="F16" s="36">
        <v>3104944576</v>
      </c>
      <c r="G16" s="36" t="s">
        <v>3091</v>
      </c>
      <c r="H16" s="36" t="s">
        <v>3028</v>
      </c>
      <c r="I16" s="36" t="s">
        <v>421</v>
      </c>
      <c r="J16" s="57">
        <v>82000</v>
      </c>
      <c r="K16" s="57"/>
      <c r="L16" s="57">
        <f t="shared" si="1"/>
        <v>82000</v>
      </c>
      <c r="M16" s="57" t="s">
        <v>234</v>
      </c>
      <c r="N16" s="64"/>
      <c r="O16" s="18"/>
      <c r="P16" s="66"/>
      <c r="Q16" s="15" t="s">
        <v>3029</v>
      </c>
      <c r="R16" s="15" t="s">
        <v>20</v>
      </c>
      <c r="S16" s="15"/>
      <c r="T16" s="36" t="s">
        <v>3092</v>
      </c>
      <c r="U16" s="36" t="s">
        <v>3068</v>
      </c>
      <c r="V16" s="53" t="s">
        <v>3093</v>
      </c>
      <c r="W16" s="15"/>
      <c r="X16" s="15"/>
      <c r="Y16" s="14"/>
      <c r="Z16" s="14"/>
    </row>
    <row r="17" spans="1:26" x14ac:dyDescent="0.25">
      <c r="A17" s="14"/>
      <c r="B17" s="15"/>
      <c r="C17" s="15"/>
      <c r="D17" s="36" t="s">
        <v>3094</v>
      </c>
      <c r="E17" s="36">
        <v>29820859</v>
      </c>
      <c r="F17" s="36">
        <v>3229597222</v>
      </c>
      <c r="G17" s="36" t="s">
        <v>3095</v>
      </c>
      <c r="H17" s="36" t="s">
        <v>3028</v>
      </c>
      <c r="I17" s="36" t="s">
        <v>421</v>
      </c>
      <c r="J17" s="57">
        <v>82000</v>
      </c>
      <c r="K17" s="57"/>
      <c r="L17" s="57">
        <f t="shared" si="1"/>
        <v>82000</v>
      </c>
      <c r="M17" s="57" t="s">
        <v>234</v>
      </c>
      <c r="N17" s="64"/>
      <c r="O17" s="18"/>
      <c r="P17" s="66"/>
      <c r="Q17" s="15" t="s">
        <v>3029</v>
      </c>
      <c r="R17" s="15" t="s">
        <v>20</v>
      </c>
      <c r="S17" s="15"/>
      <c r="T17" s="36" t="s">
        <v>3096</v>
      </c>
      <c r="U17" s="36" t="s">
        <v>3097</v>
      </c>
      <c r="V17" s="53" t="s">
        <v>3098</v>
      </c>
      <c r="W17" s="15"/>
      <c r="X17" s="15"/>
      <c r="Y17" s="14"/>
      <c r="Z17" s="14"/>
    </row>
    <row r="18" spans="1:26" x14ac:dyDescent="0.25">
      <c r="A18" s="14"/>
      <c r="B18" s="15"/>
      <c r="C18" s="15"/>
      <c r="D18" s="36" t="s">
        <v>3099</v>
      </c>
      <c r="E18" s="36">
        <v>29328048</v>
      </c>
      <c r="F18" s="36">
        <v>3137316329</v>
      </c>
      <c r="G18" s="36" t="s">
        <v>3100</v>
      </c>
      <c r="H18" s="36" t="s">
        <v>3028</v>
      </c>
      <c r="I18" s="36" t="s">
        <v>421</v>
      </c>
      <c r="J18" s="57">
        <v>82000</v>
      </c>
      <c r="K18" s="57"/>
      <c r="L18" s="57">
        <f t="shared" si="1"/>
        <v>82000</v>
      </c>
      <c r="M18" s="57" t="s">
        <v>234</v>
      </c>
      <c r="N18" s="64"/>
      <c r="O18" s="18"/>
      <c r="P18" s="66"/>
      <c r="Q18" s="15" t="s">
        <v>3029</v>
      </c>
      <c r="R18" s="15" t="s">
        <v>20</v>
      </c>
      <c r="S18" s="15"/>
      <c r="T18" s="36" t="s">
        <v>3101</v>
      </c>
      <c r="U18" s="36" t="s">
        <v>3102</v>
      </c>
      <c r="V18" s="47" t="s">
        <v>311</v>
      </c>
      <c r="W18" s="15"/>
      <c r="X18" s="15"/>
      <c r="Y18" s="14"/>
      <c r="Z18" s="14"/>
    </row>
    <row r="19" spans="1:26" ht="15.75" customHeight="1" x14ac:dyDescent="0.25">
      <c r="A19" s="14"/>
      <c r="B19" s="15"/>
      <c r="C19" s="15"/>
      <c r="D19" s="36" t="s">
        <v>3103</v>
      </c>
      <c r="E19" s="36">
        <v>93296822</v>
      </c>
      <c r="F19" s="36">
        <v>3235507477</v>
      </c>
      <c r="G19" s="36" t="s">
        <v>3104</v>
      </c>
      <c r="H19" s="36" t="s">
        <v>3028</v>
      </c>
      <c r="I19" s="36" t="s">
        <v>421</v>
      </c>
      <c r="J19" s="57">
        <v>82000</v>
      </c>
      <c r="K19" s="57"/>
      <c r="L19" s="57">
        <f t="shared" si="1"/>
        <v>82000</v>
      </c>
      <c r="M19" s="57" t="s">
        <v>234</v>
      </c>
      <c r="N19" s="64"/>
      <c r="O19" s="18"/>
      <c r="P19" s="66"/>
      <c r="Q19" s="15" t="s">
        <v>3029</v>
      </c>
      <c r="R19" s="15" t="s">
        <v>20</v>
      </c>
      <c r="S19" s="15"/>
      <c r="T19" s="36" t="s">
        <v>3028</v>
      </c>
      <c r="U19" s="36" t="s">
        <v>3105</v>
      </c>
      <c r="V19" s="47" t="s">
        <v>311</v>
      </c>
      <c r="W19" s="15"/>
      <c r="X19" s="15"/>
      <c r="Y19" s="14"/>
      <c r="Z19" s="14"/>
    </row>
    <row r="20" spans="1:26" ht="15.75" customHeight="1" x14ac:dyDescent="0.25">
      <c r="A20" s="14"/>
      <c r="B20" s="15"/>
      <c r="C20" s="15"/>
      <c r="D20" s="36" t="s">
        <v>3106</v>
      </c>
      <c r="E20" s="36">
        <v>6459269</v>
      </c>
      <c r="F20" s="36">
        <v>3105263988</v>
      </c>
      <c r="G20" s="36" t="s">
        <v>3107</v>
      </c>
      <c r="H20" s="36" t="s">
        <v>3028</v>
      </c>
      <c r="I20" s="36" t="s">
        <v>421</v>
      </c>
      <c r="J20" s="57">
        <v>82000</v>
      </c>
      <c r="K20" s="57"/>
      <c r="L20" s="57">
        <f t="shared" si="1"/>
        <v>82000</v>
      </c>
      <c r="M20" s="57" t="s">
        <v>234</v>
      </c>
      <c r="N20" s="64"/>
      <c r="O20" s="18"/>
      <c r="P20" s="66"/>
      <c r="Q20" s="15" t="s">
        <v>3029</v>
      </c>
      <c r="R20" s="15" t="s">
        <v>20</v>
      </c>
      <c r="S20" s="15"/>
      <c r="T20" s="36" t="s">
        <v>3108</v>
      </c>
      <c r="U20" s="36" t="s">
        <v>3109</v>
      </c>
      <c r="V20" s="53" t="s">
        <v>3110</v>
      </c>
      <c r="W20" s="15"/>
      <c r="X20" s="15"/>
      <c r="Y20" s="14"/>
      <c r="Z20" s="14"/>
    </row>
    <row r="21" spans="1:26" ht="15.75" customHeight="1" x14ac:dyDescent="0.25">
      <c r="A21" s="14"/>
      <c r="B21" s="15"/>
      <c r="C21" s="15"/>
      <c r="D21" s="15" t="s">
        <v>3111</v>
      </c>
      <c r="E21" s="17">
        <v>6465995</v>
      </c>
      <c r="F21" s="17">
        <v>3112768051</v>
      </c>
      <c r="G21" s="15" t="s">
        <v>3112</v>
      </c>
      <c r="H21" s="36" t="s">
        <v>3028</v>
      </c>
      <c r="I21" s="36" t="s">
        <v>421</v>
      </c>
      <c r="J21" s="57">
        <v>82000</v>
      </c>
      <c r="K21" s="57"/>
      <c r="L21" s="57">
        <f t="shared" si="1"/>
        <v>82000</v>
      </c>
      <c r="M21" s="57" t="s">
        <v>234</v>
      </c>
      <c r="N21" s="64"/>
      <c r="O21" s="18"/>
      <c r="P21" s="66"/>
      <c r="Q21" s="15" t="s">
        <v>3029</v>
      </c>
      <c r="R21" s="15" t="s">
        <v>20</v>
      </c>
      <c r="S21" s="15"/>
      <c r="T21" s="15" t="s">
        <v>3092</v>
      </c>
      <c r="U21" s="15" t="s">
        <v>3101</v>
      </c>
      <c r="V21" s="70" t="s">
        <v>3113</v>
      </c>
      <c r="W21" s="15"/>
      <c r="X21" s="15"/>
      <c r="Y21" s="14"/>
      <c r="Z21" s="14"/>
    </row>
    <row r="22" spans="1:26" ht="15.75" customHeight="1" x14ac:dyDescent="0.25">
      <c r="A22" s="14"/>
      <c r="B22" s="15"/>
      <c r="C22" s="15"/>
      <c r="D22" s="36" t="s">
        <v>3114</v>
      </c>
      <c r="E22" s="36">
        <v>94279708</v>
      </c>
      <c r="F22" s="36">
        <v>3106645961</v>
      </c>
      <c r="G22" s="36" t="s">
        <v>3115</v>
      </c>
      <c r="H22" s="36" t="s">
        <v>3028</v>
      </c>
      <c r="I22" s="36" t="s">
        <v>421</v>
      </c>
      <c r="J22" s="57">
        <v>82000</v>
      </c>
      <c r="K22" s="57"/>
      <c r="L22" s="57">
        <f t="shared" si="1"/>
        <v>82000</v>
      </c>
      <c r="M22" s="57" t="s">
        <v>234</v>
      </c>
      <c r="N22" s="64"/>
      <c r="O22" s="18"/>
      <c r="P22" s="66"/>
      <c r="Q22" s="15" t="s">
        <v>3029</v>
      </c>
      <c r="R22" s="15" t="s">
        <v>20</v>
      </c>
      <c r="S22" s="15"/>
      <c r="T22" s="36" t="s">
        <v>3116</v>
      </c>
      <c r="U22" s="36" t="s">
        <v>3085</v>
      </c>
      <c r="V22" s="47" t="s">
        <v>311</v>
      </c>
      <c r="W22" s="15"/>
      <c r="X22" s="15"/>
      <c r="Y22" s="14"/>
      <c r="Z22" s="14"/>
    </row>
    <row r="23" spans="1:26" ht="15.75" customHeight="1" x14ac:dyDescent="0.25">
      <c r="A23" s="14"/>
      <c r="B23" s="15"/>
      <c r="C23" s="15"/>
      <c r="D23" s="36" t="s">
        <v>3117</v>
      </c>
      <c r="E23" s="36">
        <v>1113308324</v>
      </c>
      <c r="F23" s="36">
        <v>3227190308</v>
      </c>
      <c r="G23" s="36" t="s">
        <v>3118</v>
      </c>
      <c r="H23" s="36" t="s">
        <v>3028</v>
      </c>
      <c r="I23" s="36" t="s">
        <v>421</v>
      </c>
      <c r="J23" s="57">
        <v>82000</v>
      </c>
      <c r="K23" s="57"/>
      <c r="L23" s="57">
        <f t="shared" si="1"/>
        <v>82000</v>
      </c>
      <c r="M23" s="57" t="s">
        <v>234</v>
      </c>
      <c r="N23" s="64"/>
      <c r="O23" s="18"/>
      <c r="P23" s="66"/>
      <c r="Q23" s="15" t="s">
        <v>3029</v>
      </c>
      <c r="R23" s="15" t="s">
        <v>20</v>
      </c>
      <c r="S23" s="15"/>
      <c r="T23" s="36" t="s">
        <v>3045</v>
      </c>
      <c r="U23" s="36" t="s">
        <v>3119</v>
      </c>
      <c r="V23" s="47" t="s">
        <v>311</v>
      </c>
      <c r="W23" s="15"/>
      <c r="X23" s="15"/>
      <c r="Y23" s="14"/>
      <c r="Z23" s="14"/>
    </row>
    <row r="24" spans="1:26" ht="15.75" customHeight="1" x14ac:dyDescent="0.25">
      <c r="A24" s="14"/>
      <c r="B24" s="15"/>
      <c r="C24" s="15"/>
      <c r="D24" s="36" t="s">
        <v>3120</v>
      </c>
      <c r="E24" s="36">
        <v>1094926323</v>
      </c>
      <c r="F24" s="36">
        <v>3216445649</v>
      </c>
      <c r="G24" s="36" t="s">
        <v>3121</v>
      </c>
      <c r="H24" s="36" t="s">
        <v>3028</v>
      </c>
      <c r="I24" s="36" t="s">
        <v>421</v>
      </c>
      <c r="J24" s="57">
        <v>82000</v>
      </c>
      <c r="K24" s="57"/>
      <c r="L24" s="57">
        <f t="shared" si="1"/>
        <v>82000</v>
      </c>
      <c r="M24" s="57" t="s">
        <v>234</v>
      </c>
      <c r="N24" s="64"/>
      <c r="O24" s="18"/>
      <c r="P24" s="66"/>
      <c r="Q24" s="15" t="s">
        <v>3029</v>
      </c>
      <c r="R24" s="15" t="s">
        <v>20</v>
      </c>
      <c r="S24" s="15"/>
      <c r="T24" s="36" t="s">
        <v>3092</v>
      </c>
      <c r="U24" s="36" t="s">
        <v>3122</v>
      </c>
      <c r="V24" s="53" t="s">
        <v>3123</v>
      </c>
      <c r="W24" s="15"/>
      <c r="X24" s="15"/>
      <c r="Y24" s="14"/>
      <c r="Z24" s="14"/>
    </row>
    <row r="25" spans="1:26" ht="15.75" customHeight="1" x14ac:dyDescent="0.25">
      <c r="A25" s="14"/>
      <c r="B25" s="15"/>
      <c r="C25" s="15"/>
      <c r="D25" s="36" t="s">
        <v>3124</v>
      </c>
      <c r="E25" s="36">
        <v>1113309183</v>
      </c>
      <c r="F25" s="36">
        <v>3138399597</v>
      </c>
      <c r="G25" s="36" t="s">
        <v>3125</v>
      </c>
      <c r="H25" s="36" t="s">
        <v>3028</v>
      </c>
      <c r="I25" s="36" t="s">
        <v>421</v>
      </c>
      <c r="J25" s="57">
        <v>82000</v>
      </c>
      <c r="K25" s="57"/>
      <c r="L25" s="57">
        <f t="shared" si="1"/>
        <v>82000</v>
      </c>
      <c r="M25" s="57" t="s">
        <v>234</v>
      </c>
      <c r="N25" s="64"/>
      <c r="O25" s="18"/>
      <c r="P25" s="66"/>
      <c r="Q25" s="15" t="s">
        <v>3029</v>
      </c>
      <c r="R25" s="15" t="s">
        <v>20</v>
      </c>
      <c r="S25" s="15"/>
      <c r="T25" s="36" t="s">
        <v>3092</v>
      </c>
      <c r="U25" s="36" t="s">
        <v>3126</v>
      </c>
      <c r="V25" s="53" t="s">
        <v>3127</v>
      </c>
      <c r="W25" s="15"/>
      <c r="X25" s="15"/>
      <c r="Y25" s="14"/>
      <c r="Z25" s="14"/>
    </row>
    <row r="26" spans="1:26" ht="15.75" customHeight="1" x14ac:dyDescent="0.25">
      <c r="A26" s="14"/>
      <c r="B26" s="15"/>
      <c r="C26" s="15"/>
      <c r="D26" s="36" t="s">
        <v>3128</v>
      </c>
      <c r="E26" s="36">
        <v>66760542</v>
      </c>
      <c r="F26" s="36">
        <v>3103917724</v>
      </c>
      <c r="G26" s="36" t="s">
        <v>3129</v>
      </c>
      <c r="H26" s="36" t="s">
        <v>3028</v>
      </c>
      <c r="I26" s="36" t="s">
        <v>421</v>
      </c>
      <c r="J26" s="57">
        <v>82000</v>
      </c>
      <c r="K26" s="57"/>
      <c r="L26" s="57">
        <f t="shared" si="1"/>
        <v>82000</v>
      </c>
      <c r="M26" s="57" t="s">
        <v>234</v>
      </c>
      <c r="N26" s="64"/>
      <c r="O26" s="18"/>
      <c r="P26" s="66"/>
      <c r="Q26" s="15" t="s">
        <v>3029</v>
      </c>
      <c r="R26" s="15" t="s">
        <v>20</v>
      </c>
      <c r="S26" s="15"/>
      <c r="T26" s="36" t="s">
        <v>3092</v>
      </c>
      <c r="U26" s="36" t="s">
        <v>3037</v>
      </c>
      <c r="V26" s="47" t="s">
        <v>3130</v>
      </c>
      <c r="W26" s="15"/>
      <c r="X26" s="15"/>
      <c r="Y26" s="14"/>
      <c r="Z26" s="14"/>
    </row>
    <row r="27" spans="1:26" ht="15.75" customHeight="1" x14ac:dyDescent="0.25">
      <c r="A27" s="14"/>
      <c r="B27" s="15"/>
      <c r="C27" s="15"/>
      <c r="D27" s="36" t="s">
        <v>3131</v>
      </c>
      <c r="E27" s="36">
        <v>94285346</v>
      </c>
      <c r="F27" s="36">
        <v>3127909526</v>
      </c>
      <c r="G27" s="36" t="s">
        <v>3132</v>
      </c>
      <c r="H27" s="36" t="s">
        <v>3028</v>
      </c>
      <c r="I27" s="36" t="s">
        <v>421</v>
      </c>
      <c r="J27" s="57">
        <v>82000</v>
      </c>
      <c r="K27" s="57"/>
      <c r="L27" s="57">
        <f t="shared" si="1"/>
        <v>82000</v>
      </c>
      <c r="M27" s="57" t="s">
        <v>234</v>
      </c>
      <c r="N27" s="64"/>
      <c r="O27" s="18"/>
      <c r="P27" s="66"/>
      <c r="Q27" s="15" t="s">
        <v>3029</v>
      </c>
      <c r="R27" s="15" t="s">
        <v>20</v>
      </c>
      <c r="S27" s="15"/>
      <c r="T27" s="36" t="s">
        <v>3028</v>
      </c>
      <c r="U27" s="36" t="s">
        <v>236</v>
      </c>
      <c r="V27" s="47" t="s">
        <v>311</v>
      </c>
      <c r="W27" s="15"/>
      <c r="X27" s="15"/>
      <c r="Y27" s="14"/>
      <c r="Z27" s="14"/>
    </row>
    <row r="28" spans="1:26" ht="15.75" customHeight="1" x14ac:dyDescent="0.25">
      <c r="A28" s="14"/>
      <c r="B28" s="15"/>
      <c r="C28" s="15"/>
      <c r="D28" s="36" t="s">
        <v>3133</v>
      </c>
      <c r="E28" s="36">
        <v>1116270753</v>
      </c>
      <c r="F28" s="36">
        <v>3148951884</v>
      </c>
      <c r="G28" s="36" t="s">
        <v>3134</v>
      </c>
      <c r="H28" s="36" t="s">
        <v>3028</v>
      </c>
      <c r="I28" s="36" t="s">
        <v>3135</v>
      </c>
      <c r="J28" s="57">
        <v>122000</v>
      </c>
      <c r="K28" s="57"/>
      <c r="L28" s="57">
        <f t="shared" si="1"/>
        <v>122000</v>
      </c>
      <c r="M28" s="57" t="s">
        <v>234</v>
      </c>
      <c r="N28" s="64"/>
      <c r="O28" s="18"/>
      <c r="P28" s="66"/>
      <c r="Q28" s="15" t="s">
        <v>3029</v>
      </c>
      <c r="R28" s="15" t="s">
        <v>20</v>
      </c>
      <c r="S28" s="15"/>
      <c r="T28" s="36" t="s">
        <v>3136</v>
      </c>
      <c r="U28" s="36"/>
      <c r="V28" s="47" t="s">
        <v>3137</v>
      </c>
      <c r="W28" s="15"/>
      <c r="X28" s="15"/>
      <c r="Y28" s="14"/>
      <c r="Z28" s="14"/>
    </row>
    <row r="29" spans="1:26" ht="15.75" customHeight="1" x14ac:dyDescent="0.25">
      <c r="A29" s="14"/>
      <c r="B29" s="15"/>
      <c r="C29" s="15"/>
      <c r="D29" s="36" t="s">
        <v>3138</v>
      </c>
      <c r="E29" s="36">
        <v>29818447</v>
      </c>
      <c r="F29" s="36" t="s">
        <v>3139</v>
      </c>
      <c r="G29" s="36" t="s">
        <v>3140</v>
      </c>
      <c r="H29" s="36" t="s">
        <v>3141</v>
      </c>
      <c r="I29" s="36" t="s">
        <v>421</v>
      </c>
      <c r="J29" s="57">
        <v>82000</v>
      </c>
      <c r="K29" s="57"/>
      <c r="L29" s="57">
        <v>82000</v>
      </c>
      <c r="M29" s="57" t="s">
        <v>234</v>
      </c>
      <c r="N29" s="64"/>
      <c r="O29" s="18"/>
      <c r="P29" s="66"/>
      <c r="Q29" s="15" t="s">
        <v>3029</v>
      </c>
      <c r="R29" s="15" t="s">
        <v>20</v>
      </c>
      <c r="S29" s="15"/>
      <c r="T29" s="36" t="s">
        <v>3142</v>
      </c>
      <c r="U29" s="36" t="s">
        <v>3143</v>
      </c>
      <c r="V29" s="47" t="s">
        <v>3144</v>
      </c>
      <c r="W29" s="15"/>
      <c r="X29" s="15"/>
      <c r="Y29" s="14"/>
      <c r="Z29" s="14"/>
    </row>
    <row r="30" spans="1:26" ht="15.75" customHeight="1" x14ac:dyDescent="0.25">
      <c r="A30" s="14"/>
      <c r="B30" s="15"/>
      <c r="C30" s="15"/>
      <c r="D30" s="36" t="s">
        <v>3145</v>
      </c>
      <c r="E30" s="36">
        <v>1007478247</v>
      </c>
      <c r="F30" s="36">
        <v>3108123577</v>
      </c>
      <c r="G30" s="36" t="s">
        <v>3146</v>
      </c>
      <c r="H30" s="36" t="s">
        <v>3028</v>
      </c>
      <c r="I30" s="36" t="s">
        <v>421</v>
      </c>
      <c r="J30" s="57">
        <v>82000</v>
      </c>
      <c r="K30" s="57"/>
      <c r="L30" s="57">
        <v>82000</v>
      </c>
      <c r="M30" s="57" t="s">
        <v>234</v>
      </c>
      <c r="N30" s="64"/>
      <c r="O30" s="18"/>
      <c r="P30" s="66"/>
      <c r="Q30" s="15" t="s">
        <v>3029</v>
      </c>
      <c r="R30" s="15" t="s">
        <v>20</v>
      </c>
      <c r="S30" s="15"/>
      <c r="T30" s="36" t="s">
        <v>3050</v>
      </c>
      <c r="U30" s="36" t="s">
        <v>3147</v>
      </c>
      <c r="V30" s="47" t="s">
        <v>311</v>
      </c>
      <c r="W30" s="15"/>
      <c r="X30" s="15"/>
      <c r="Y30" s="14"/>
      <c r="Z30" s="14"/>
    </row>
    <row r="31" spans="1:26" ht="15.75" customHeight="1" x14ac:dyDescent="0.25">
      <c r="A31" s="14"/>
      <c r="B31" s="15"/>
      <c r="C31" s="15"/>
      <c r="D31" s="36" t="s">
        <v>3148</v>
      </c>
      <c r="E31" s="36">
        <v>94289442</v>
      </c>
      <c r="F31" s="36" t="s">
        <v>3149</v>
      </c>
      <c r="G31" s="36" t="s">
        <v>3150</v>
      </c>
      <c r="H31" s="36" t="s">
        <v>3028</v>
      </c>
      <c r="I31" s="36" t="s">
        <v>421</v>
      </c>
      <c r="J31" s="57">
        <v>82000</v>
      </c>
      <c r="K31" s="57"/>
      <c r="L31" s="57">
        <v>82000</v>
      </c>
      <c r="M31" s="57" t="s">
        <v>234</v>
      </c>
      <c r="N31" s="64"/>
      <c r="O31" s="18"/>
      <c r="P31" s="66"/>
      <c r="Q31" s="15" t="s">
        <v>3029</v>
      </c>
      <c r="R31" s="15" t="s">
        <v>20</v>
      </c>
      <c r="S31" s="15"/>
      <c r="T31" s="36" t="s">
        <v>3092</v>
      </c>
      <c r="U31" s="36" t="s">
        <v>3151</v>
      </c>
      <c r="V31" s="47" t="s">
        <v>3152</v>
      </c>
      <c r="W31" s="15"/>
      <c r="X31" s="15"/>
      <c r="Y31" s="14"/>
      <c r="Z31" s="14"/>
    </row>
    <row r="32" spans="1:26" ht="15.75" customHeight="1" x14ac:dyDescent="0.25">
      <c r="A32" s="14"/>
      <c r="B32" s="15"/>
      <c r="C32" s="15"/>
      <c r="D32" s="36" t="s">
        <v>3153</v>
      </c>
      <c r="E32" s="36">
        <v>1193332350</v>
      </c>
      <c r="F32" s="36">
        <v>3233392662</v>
      </c>
      <c r="G32" s="36" t="s">
        <v>3154</v>
      </c>
      <c r="H32" s="36" t="s">
        <v>3028</v>
      </c>
      <c r="I32" s="36" t="s">
        <v>421</v>
      </c>
      <c r="J32" s="57">
        <v>82000</v>
      </c>
      <c r="K32" s="57"/>
      <c r="L32" s="57">
        <v>82000</v>
      </c>
      <c r="M32" s="57" t="s">
        <v>234</v>
      </c>
      <c r="N32" s="64"/>
      <c r="O32" s="18"/>
      <c r="P32" s="66"/>
      <c r="Q32" s="15" t="s">
        <v>3029</v>
      </c>
      <c r="R32" s="15" t="s">
        <v>20</v>
      </c>
      <c r="S32" s="15"/>
      <c r="T32" s="36" t="s">
        <v>3108</v>
      </c>
      <c r="U32" s="36" t="s">
        <v>3155</v>
      </c>
      <c r="V32" s="47" t="s">
        <v>311</v>
      </c>
      <c r="W32" s="15"/>
      <c r="X32" s="15"/>
      <c r="Y32" s="14"/>
      <c r="Z32" s="14"/>
    </row>
    <row r="33" spans="1:26" ht="15.75" customHeight="1" x14ac:dyDescent="0.25">
      <c r="A33" s="14"/>
      <c r="B33" s="15"/>
      <c r="C33" s="15"/>
      <c r="D33" s="63" t="s">
        <v>3156</v>
      </c>
      <c r="E33" s="63">
        <v>1085282203</v>
      </c>
      <c r="F33" s="63">
        <v>3123047084</v>
      </c>
      <c r="G33" s="63" t="s">
        <v>3157</v>
      </c>
      <c r="H33" s="36" t="s">
        <v>3028</v>
      </c>
      <c r="I33" s="36" t="s">
        <v>421</v>
      </c>
      <c r="J33" s="93">
        <v>82000</v>
      </c>
      <c r="K33" s="57"/>
      <c r="L33" s="57">
        <f>J33</f>
        <v>82000</v>
      </c>
      <c r="M33" s="57" t="s">
        <v>234</v>
      </c>
      <c r="N33" s="64"/>
      <c r="O33" s="18"/>
      <c r="P33" s="66"/>
      <c r="Q33" s="15" t="s">
        <v>3029</v>
      </c>
      <c r="R33" s="15" t="s">
        <v>20</v>
      </c>
      <c r="S33" s="15"/>
      <c r="T33" s="36" t="s">
        <v>3045</v>
      </c>
      <c r="U33" s="36" t="s">
        <v>3158</v>
      </c>
      <c r="V33" s="47" t="s">
        <v>311</v>
      </c>
      <c r="W33" s="15"/>
      <c r="X33" s="15"/>
      <c r="Y33" s="14"/>
      <c r="Z33" s="14"/>
    </row>
    <row r="34" spans="1:26" ht="15.75" customHeight="1" x14ac:dyDescent="0.25">
      <c r="A34" s="14"/>
      <c r="B34" s="15"/>
      <c r="C34" s="15"/>
      <c r="D34" s="36" t="s">
        <v>3159</v>
      </c>
      <c r="E34" s="36">
        <v>18500174</v>
      </c>
      <c r="F34" s="36" t="s">
        <v>3160</v>
      </c>
      <c r="G34" s="36" t="s">
        <v>3161</v>
      </c>
      <c r="H34" s="36" t="s">
        <v>3028</v>
      </c>
      <c r="I34" s="36" t="s">
        <v>421</v>
      </c>
      <c r="J34" s="57">
        <v>82000</v>
      </c>
      <c r="K34" s="57"/>
      <c r="L34" s="57">
        <v>82000</v>
      </c>
      <c r="M34" s="57" t="s">
        <v>234</v>
      </c>
      <c r="N34" s="64"/>
      <c r="O34" s="18"/>
      <c r="P34" s="66"/>
      <c r="Q34" s="15" t="s">
        <v>3029</v>
      </c>
      <c r="R34" s="15" t="s">
        <v>20</v>
      </c>
      <c r="S34" s="15"/>
      <c r="T34" s="36" t="s">
        <v>3092</v>
      </c>
      <c r="U34" s="36" t="s">
        <v>3162</v>
      </c>
      <c r="V34" s="47" t="s">
        <v>3163</v>
      </c>
      <c r="W34" s="15"/>
      <c r="X34" s="15"/>
      <c r="Y34" s="14"/>
      <c r="Z34" s="14"/>
    </row>
    <row r="35" spans="1:26" ht="15.75" customHeight="1" x14ac:dyDescent="0.25">
      <c r="A35" s="14"/>
      <c r="B35" s="15"/>
      <c r="C35" s="15"/>
      <c r="D35" s="36" t="s">
        <v>3164</v>
      </c>
      <c r="E35" s="36">
        <v>1006382168</v>
      </c>
      <c r="F35" s="36" t="s">
        <v>3165</v>
      </c>
      <c r="G35" s="36" t="s">
        <v>3166</v>
      </c>
      <c r="H35" s="36" t="s">
        <v>3028</v>
      </c>
      <c r="I35" s="36" t="s">
        <v>421</v>
      </c>
      <c r="J35" s="57">
        <v>82000</v>
      </c>
      <c r="K35" s="57"/>
      <c r="L35" s="57">
        <v>82000</v>
      </c>
      <c r="M35" s="57" t="s">
        <v>234</v>
      </c>
      <c r="N35" s="64"/>
      <c r="O35" s="18"/>
      <c r="P35" s="66"/>
      <c r="Q35" s="15" t="s">
        <v>3029</v>
      </c>
      <c r="R35" s="15" t="s">
        <v>20</v>
      </c>
      <c r="S35" s="15"/>
      <c r="T35" s="36" t="s">
        <v>3045</v>
      </c>
      <c r="U35" s="36" t="s">
        <v>3167</v>
      </c>
      <c r="V35" s="47" t="s">
        <v>3168</v>
      </c>
      <c r="W35" s="15"/>
      <c r="X35" s="15"/>
      <c r="Y35" s="14"/>
      <c r="Z35" s="14"/>
    </row>
    <row r="36" spans="1:26" ht="15.75" customHeight="1" x14ac:dyDescent="0.25">
      <c r="A36" s="14"/>
      <c r="B36" s="15"/>
      <c r="C36" s="15"/>
      <c r="D36" s="15" t="s">
        <v>3174</v>
      </c>
      <c r="E36" s="36">
        <v>29312826</v>
      </c>
      <c r="F36" s="36" t="s">
        <v>3175</v>
      </c>
      <c r="G36" s="36" t="s">
        <v>3176</v>
      </c>
      <c r="H36" s="36" t="s">
        <v>3028</v>
      </c>
      <c r="I36" s="36" t="s">
        <v>421</v>
      </c>
      <c r="J36" s="57">
        <v>82000</v>
      </c>
      <c r="K36" s="57"/>
      <c r="L36" s="57">
        <v>82000</v>
      </c>
      <c r="M36" s="57" t="s">
        <v>234</v>
      </c>
      <c r="N36" s="64"/>
      <c r="O36" s="18"/>
      <c r="P36" s="66"/>
      <c r="Q36" s="15" t="s">
        <v>3029</v>
      </c>
      <c r="R36" s="15" t="s">
        <v>20</v>
      </c>
      <c r="S36" s="15"/>
      <c r="T36" s="36" t="s">
        <v>3177</v>
      </c>
      <c r="U36" s="36" t="s">
        <v>3178</v>
      </c>
      <c r="V36" s="47" t="s">
        <v>3179</v>
      </c>
      <c r="W36" s="15"/>
      <c r="X36" s="15"/>
      <c r="Y36" s="14"/>
      <c r="Z36" s="14"/>
    </row>
    <row r="37" spans="1:26" ht="15.75" customHeight="1" x14ac:dyDescent="0.25">
      <c r="A37" s="14"/>
      <c r="B37" s="15"/>
      <c r="C37" s="15"/>
      <c r="D37" s="36" t="s">
        <v>3180</v>
      </c>
      <c r="E37" s="36">
        <v>29809813</v>
      </c>
      <c r="F37" s="36" t="s">
        <v>3181</v>
      </c>
      <c r="G37" s="36" t="s">
        <v>3182</v>
      </c>
      <c r="H37" s="36" t="s">
        <v>3028</v>
      </c>
      <c r="I37" s="36" t="s">
        <v>421</v>
      </c>
      <c r="J37" s="57">
        <v>82000</v>
      </c>
      <c r="K37" s="57"/>
      <c r="L37" s="57">
        <v>82000</v>
      </c>
      <c r="M37" s="57" t="s">
        <v>234</v>
      </c>
      <c r="N37" s="64"/>
      <c r="O37" s="18"/>
      <c r="P37" s="66"/>
      <c r="Q37" s="15" t="s">
        <v>3029</v>
      </c>
      <c r="R37" s="15" t="s">
        <v>20</v>
      </c>
      <c r="S37" s="15"/>
      <c r="T37" s="36" t="s">
        <v>3177</v>
      </c>
      <c r="U37" s="36" t="s">
        <v>3183</v>
      </c>
      <c r="V37" s="47" t="s">
        <v>3184</v>
      </c>
      <c r="W37" s="15"/>
      <c r="X37" s="15"/>
      <c r="Y37" s="14"/>
      <c r="Z37" s="14"/>
    </row>
    <row r="38" spans="1:26" ht="15.75" customHeight="1" x14ac:dyDescent="0.25">
      <c r="A38" s="14"/>
      <c r="B38" s="15"/>
      <c r="C38" s="15"/>
      <c r="D38" s="36" t="s">
        <v>3185</v>
      </c>
      <c r="E38" s="36">
        <v>31921516</v>
      </c>
      <c r="F38" s="36" t="s">
        <v>3186</v>
      </c>
      <c r="G38" s="36" t="s">
        <v>3187</v>
      </c>
      <c r="H38" s="36" t="s">
        <v>3028</v>
      </c>
      <c r="I38" s="36" t="s">
        <v>421</v>
      </c>
      <c r="J38" s="57">
        <v>82000</v>
      </c>
      <c r="K38" s="57"/>
      <c r="L38" s="57">
        <v>82000</v>
      </c>
      <c r="M38" s="57" t="s">
        <v>234</v>
      </c>
      <c r="N38" s="64"/>
      <c r="O38" s="18"/>
      <c r="P38" s="66"/>
      <c r="Q38" s="15" t="s">
        <v>3029</v>
      </c>
      <c r="R38" s="15" t="s">
        <v>20</v>
      </c>
      <c r="S38" s="15"/>
      <c r="T38" s="36" t="s">
        <v>3177</v>
      </c>
      <c r="U38" s="36" t="s">
        <v>3188</v>
      </c>
      <c r="V38" s="47" t="s">
        <v>3189</v>
      </c>
      <c r="W38" s="15"/>
      <c r="X38" s="15"/>
      <c r="Y38" s="14"/>
      <c r="Z38" s="14"/>
    </row>
    <row r="39" spans="1:26" ht="15.75" customHeight="1" x14ac:dyDescent="0.25">
      <c r="A39" s="14"/>
      <c r="B39" s="15"/>
      <c r="C39" s="15"/>
      <c r="D39" s="36" t="s">
        <v>3190</v>
      </c>
      <c r="E39" s="36">
        <v>1113312436</v>
      </c>
      <c r="F39" s="36" t="s">
        <v>3191</v>
      </c>
      <c r="G39" s="36" t="s">
        <v>3192</v>
      </c>
      <c r="H39" s="36" t="s">
        <v>3028</v>
      </c>
      <c r="I39" s="36" t="s">
        <v>421</v>
      </c>
      <c r="J39" s="57">
        <v>82000</v>
      </c>
      <c r="K39" s="57"/>
      <c r="L39" s="57">
        <v>82000</v>
      </c>
      <c r="M39" s="57" t="s">
        <v>234</v>
      </c>
      <c r="N39" s="64"/>
      <c r="O39" s="18"/>
      <c r="P39" s="66"/>
      <c r="Q39" s="15" t="s">
        <v>3029</v>
      </c>
      <c r="R39" s="15" t="s">
        <v>20</v>
      </c>
      <c r="S39" s="15"/>
      <c r="T39" s="36" t="s">
        <v>3177</v>
      </c>
      <c r="U39" s="36" t="s">
        <v>3193</v>
      </c>
      <c r="V39" s="47" t="s">
        <v>3194</v>
      </c>
      <c r="W39" s="15"/>
      <c r="X39" s="15"/>
      <c r="Y39" s="14"/>
      <c r="Z39" s="14"/>
    </row>
    <row r="40" spans="1:26" ht="15.75" customHeight="1" x14ac:dyDescent="0.25">
      <c r="A40" s="14"/>
      <c r="B40" s="15"/>
      <c r="C40" s="15"/>
      <c r="D40" s="36" t="s">
        <v>3195</v>
      </c>
      <c r="E40" s="36">
        <v>1113304278</v>
      </c>
      <c r="F40" s="36">
        <v>3157492912</v>
      </c>
      <c r="G40" s="36" t="s">
        <v>3196</v>
      </c>
      <c r="H40" s="36" t="s">
        <v>3028</v>
      </c>
      <c r="I40" s="36" t="s">
        <v>421</v>
      </c>
      <c r="J40" s="57">
        <v>82000</v>
      </c>
      <c r="K40" s="57"/>
      <c r="L40" s="57">
        <v>82000</v>
      </c>
      <c r="M40" s="57" t="s">
        <v>234</v>
      </c>
      <c r="N40" s="64"/>
      <c r="O40" s="18"/>
      <c r="P40" s="66"/>
      <c r="Q40" s="15" t="s">
        <v>3029</v>
      </c>
      <c r="R40" s="15" t="s">
        <v>20</v>
      </c>
      <c r="S40" s="15"/>
      <c r="T40" s="36" t="s">
        <v>3197</v>
      </c>
      <c r="U40" s="36" t="s">
        <v>3198</v>
      </c>
      <c r="V40" s="47" t="s">
        <v>3199</v>
      </c>
      <c r="W40" s="15"/>
      <c r="X40" s="15"/>
      <c r="Y40" s="14"/>
      <c r="Z40" s="14"/>
    </row>
    <row r="41" spans="1:26" ht="15.75" customHeight="1" x14ac:dyDescent="0.25">
      <c r="A41" s="14"/>
      <c r="B41" s="15"/>
      <c r="C41" s="15"/>
      <c r="D41" s="36" t="s">
        <v>3200</v>
      </c>
      <c r="E41" s="36">
        <v>29818522</v>
      </c>
      <c r="F41" s="36">
        <v>3225407646</v>
      </c>
      <c r="G41" s="36" t="s">
        <v>3049</v>
      </c>
      <c r="H41" s="36" t="s">
        <v>3028</v>
      </c>
      <c r="I41" s="36" t="s">
        <v>421</v>
      </c>
      <c r="J41" s="57">
        <v>82000</v>
      </c>
      <c r="K41" s="57"/>
      <c r="L41" s="57">
        <v>82000</v>
      </c>
      <c r="M41" s="57" t="s">
        <v>234</v>
      </c>
      <c r="N41" s="64"/>
      <c r="O41" s="18"/>
      <c r="P41" s="66"/>
      <c r="Q41" s="15" t="s">
        <v>3029</v>
      </c>
      <c r="R41" s="15" t="s">
        <v>20</v>
      </c>
      <c r="S41" s="15"/>
      <c r="T41" s="36" t="s">
        <v>3201</v>
      </c>
      <c r="U41" s="36" t="s">
        <v>3202</v>
      </c>
      <c r="V41" s="47" t="s">
        <v>311</v>
      </c>
      <c r="W41" s="15"/>
      <c r="X41" s="15"/>
      <c r="Y41" s="14"/>
      <c r="Z41" s="14"/>
    </row>
    <row r="42" spans="1:26" ht="15.75" customHeight="1" x14ac:dyDescent="0.25">
      <c r="A42" s="14"/>
      <c r="B42" s="15"/>
      <c r="C42" s="15"/>
      <c r="D42" s="36" t="s">
        <v>3203</v>
      </c>
      <c r="E42" s="36">
        <v>27258923</v>
      </c>
      <c r="F42" s="36" t="s">
        <v>3204</v>
      </c>
      <c r="G42" s="36" t="s">
        <v>3205</v>
      </c>
      <c r="H42" s="36" t="s">
        <v>3028</v>
      </c>
      <c r="I42" s="36" t="s">
        <v>421</v>
      </c>
      <c r="J42" s="57">
        <v>82000</v>
      </c>
      <c r="K42" s="57"/>
      <c r="L42" s="57">
        <v>82000</v>
      </c>
      <c r="M42" s="57" t="s">
        <v>234</v>
      </c>
      <c r="N42" s="64"/>
      <c r="O42" s="18"/>
      <c r="P42" s="66"/>
      <c r="Q42" s="15" t="s">
        <v>3029</v>
      </c>
      <c r="R42" s="15" t="s">
        <v>20</v>
      </c>
      <c r="S42" s="15"/>
      <c r="T42" s="36" t="s">
        <v>3206</v>
      </c>
      <c r="U42" s="36" t="s">
        <v>3207</v>
      </c>
      <c r="V42" s="47" t="s">
        <v>3208</v>
      </c>
      <c r="W42" s="15"/>
      <c r="X42" s="15"/>
      <c r="Y42" s="14"/>
      <c r="Z42" s="14"/>
    </row>
    <row r="43" spans="1:26" ht="15.75" customHeight="1" x14ac:dyDescent="0.25">
      <c r="A43" s="14"/>
      <c r="B43" s="15"/>
      <c r="C43" s="15" t="s">
        <v>3209</v>
      </c>
      <c r="D43" s="36" t="s">
        <v>3210</v>
      </c>
      <c r="E43" s="36">
        <v>1113314438</v>
      </c>
      <c r="F43" s="36" t="s">
        <v>3211</v>
      </c>
      <c r="G43" s="36" t="s">
        <v>3212</v>
      </c>
      <c r="H43" s="36" t="s">
        <v>3028</v>
      </c>
      <c r="I43" s="36" t="s">
        <v>421</v>
      </c>
      <c r="J43" s="57">
        <v>82000</v>
      </c>
      <c r="K43" s="57"/>
      <c r="L43" s="57">
        <v>82000</v>
      </c>
      <c r="M43" s="57" t="s">
        <v>234</v>
      </c>
      <c r="N43" s="64"/>
      <c r="O43" s="18"/>
      <c r="P43" s="66"/>
      <c r="Q43" s="15" t="s">
        <v>3029</v>
      </c>
      <c r="R43" s="15" t="s">
        <v>20</v>
      </c>
      <c r="S43" s="15"/>
      <c r="T43" s="36" t="s">
        <v>3213</v>
      </c>
      <c r="U43" s="36" t="s">
        <v>3214</v>
      </c>
      <c r="V43" s="47" t="s">
        <v>3215</v>
      </c>
      <c r="W43" s="14"/>
      <c r="X43" s="15"/>
      <c r="Y43" s="14"/>
      <c r="Z43" s="14"/>
    </row>
    <row r="44" spans="1:26" ht="15.75" customHeight="1" x14ac:dyDescent="0.25">
      <c r="A44" s="14"/>
      <c r="B44" s="15"/>
      <c r="C44" s="15"/>
      <c r="D44" s="36" t="s">
        <v>3216</v>
      </c>
      <c r="E44" s="36">
        <v>1113307980</v>
      </c>
      <c r="F44" s="36" t="s">
        <v>3217</v>
      </c>
      <c r="G44" s="36" t="s">
        <v>3218</v>
      </c>
      <c r="H44" s="36" t="s">
        <v>2730</v>
      </c>
      <c r="I44" s="36" t="s">
        <v>421</v>
      </c>
      <c r="J44" s="57">
        <v>82000</v>
      </c>
      <c r="K44" s="57"/>
      <c r="L44" s="57">
        <v>82000</v>
      </c>
      <c r="M44" s="57" t="s">
        <v>234</v>
      </c>
      <c r="N44" s="64"/>
      <c r="O44" s="18"/>
      <c r="P44" s="66"/>
      <c r="Q44" s="15" t="s">
        <v>3029</v>
      </c>
      <c r="R44" s="15" t="s">
        <v>20</v>
      </c>
      <c r="S44" s="15"/>
      <c r="T44" s="36" t="s">
        <v>3219</v>
      </c>
      <c r="U44" s="36" t="s">
        <v>3220</v>
      </c>
      <c r="V44" s="47" t="s">
        <v>3221</v>
      </c>
      <c r="W44" s="14"/>
      <c r="X44" s="15"/>
      <c r="Y44" s="14"/>
      <c r="Z44" s="14"/>
    </row>
    <row r="45" spans="1:26" ht="15.75" customHeight="1" x14ac:dyDescent="0.25">
      <c r="A45" s="14"/>
      <c r="B45" s="15"/>
      <c r="C45" s="15"/>
      <c r="D45" s="36" t="s">
        <v>3222</v>
      </c>
      <c r="E45" s="36">
        <v>6441510</v>
      </c>
      <c r="F45" s="36" t="s">
        <v>3223</v>
      </c>
      <c r="G45" s="36" t="s">
        <v>3224</v>
      </c>
      <c r="H45" s="36" t="s">
        <v>3028</v>
      </c>
      <c r="I45" s="36" t="s">
        <v>421</v>
      </c>
      <c r="J45" s="57">
        <v>82000</v>
      </c>
      <c r="K45" s="57"/>
      <c r="L45" s="57">
        <v>82000</v>
      </c>
      <c r="M45" s="57" t="s">
        <v>234</v>
      </c>
      <c r="N45" s="64"/>
      <c r="O45" s="18"/>
      <c r="P45" s="66"/>
      <c r="Q45" s="15" t="s">
        <v>3029</v>
      </c>
      <c r="R45" s="15" t="s">
        <v>20</v>
      </c>
      <c r="S45" s="15"/>
      <c r="T45" s="36" t="s">
        <v>3028</v>
      </c>
      <c r="U45" s="36" t="s">
        <v>3225</v>
      </c>
      <c r="V45" s="119" t="s">
        <v>3226</v>
      </c>
      <c r="W45" s="14"/>
      <c r="X45" s="15"/>
      <c r="Y45" s="14"/>
      <c r="Z45" s="14"/>
    </row>
    <row r="46" spans="1:26" ht="15.75" customHeight="1" x14ac:dyDescent="0.25">
      <c r="A46" s="14"/>
      <c r="B46" s="15"/>
      <c r="C46" s="15"/>
      <c r="D46" s="36" t="s">
        <v>3227</v>
      </c>
      <c r="E46" s="36">
        <v>1116438186</v>
      </c>
      <c r="F46" s="36" t="s">
        <v>3228</v>
      </c>
      <c r="G46" s="36" t="s">
        <v>3229</v>
      </c>
      <c r="H46" s="36" t="s">
        <v>3028</v>
      </c>
      <c r="I46" s="36" t="s">
        <v>421</v>
      </c>
      <c r="J46" s="57">
        <v>82000</v>
      </c>
      <c r="K46" s="57"/>
      <c r="L46" s="57">
        <v>82000</v>
      </c>
      <c r="M46" s="57" t="s">
        <v>234</v>
      </c>
      <c r="N46" s="64"/>
      <c r="O46" s="18"/>
      <c r="P46" s="66"/>
      <c r="Q46" s="15" t="s">
        <v>3029</v>
      </c>
      <c r="R46" s="15" t="s">
        <v>20</v>
      </c>
      <c r="S46" s="15"/>
      <c r="T46" s="36" t="s">
        <v>3230</v>
      </c>
      <c r="U46" s="36" t="s">
        <v>3231</v>
      </c>
      <c r="V46" s="47" t="s">
        <v>3232</v>
      </c>
      <c r="W46" s="14"/>
      <c r="X46" s="15"/>
      <c r="Y46" s="14"/>
      <c r="Z46" s="14"/>
    </row>
    <row r="47" spans="1:26" ht="15.75" customHeight="1" x14ac:dyDescent="0.25">
      <c r="A47" s="14"/>
      <c r="B47" s="15"/>
      <c r="C47" s="15"/>
      <c r="D47" s="15" t="s">
        <v>3233</v>
      </c>
      <c r="E47" s="17">
        <v>1113306190</v>
      </c>
      <c r="F47" s="36">
        <v>3188097751</v>
      </c>
      <c r="G47" s="36" t="s">
        <v>3234</v>
      </c>
      <c r="H47" s="36" t="s">
        <v>3028</v>
      </c>
      <c r="I47" s="36" t="s">
        <v>421</v>
      </c>
      <c r="J47" s="57">
        <v>152000</v>
      </c>
      <c r="K47" s="57"/>
      <c r="L47" s="57">
        <v>152000</v>
      </c>
      <c r="M47" s="57" t="s">
        <v>234</v>
      </c>
      <c r="N47" s="64"/>
      <c r="O47" s="18"/>
      <c r="P47" s="66"/>
      <c r="Q47" s="15" t="s">
        <v>3029</v>
      </c>
      <c r="R47" s="15" t="s">
        <v>20</v>
      </c>
      <c r="S47" s="15"/>
      <c r="T47" s="15" t="s">
        <v>3235</v>
      </c>
      <c r="U47" s="36" t="s">
        <v>3236</v>
      </c>
      <c r="V47" s="47" t="s">
        <v>3237</v>
      </c>
      <c r="W47" s="14"/>
      <c r="X47" s="15"/>
      <c r="Y47" s="14"/>
      <c r="Z47" s="14"/>
    </row>
    <row r="48" spans="1:26" ht="15.75" customHeight="1" x14ac:dyDescent="0.25">
      <c r="A48" s="14"/>
      <c r="B48" s="14"/>
      <c r="C48" s="14"/>
      <c r="D48" s="15" t="s">
        <v>3238</v>
      </c>
      <c r="E48" s="25">
        <v>1006843622</v>
      </c>
      <c r="F48" s="25" t="s">
        <v>3239</v>
      </c>
      <c r="G48" s="36" t="s">
        <v>3240</v>
      </c>
      <c r="H48" s="36" t="s">
        <v>2730</v>
      </c>
      <c r="I48" s="36" t="s">
        <v>421</v>
      </c>
      <c r="J48" s="57">
        <v>82000</v>
      </c>
      <c r="K48" s="57"/>
      <c r="L48" s="57">
        <v>82000</v>
      </c>
      <c r="M48" s="57" t="s">
        <v>234</v>
      </c>
      <c r="N48" s="64"/>
      <c r="O48" s="18"/>
      <c r="P48" s="66"/>
      <c r="Q48" s="15" t="s">
        <v>3029</v>
      </c>
      <c r="R48" s="15" t="s">
        <v>20</v>
      </c>
      <c r="S48" s="15"/>
      <c r="T48" s="36" t="s">
        <v>3241</v>
      </c>
      <c r="U48" s="36" t="s">
        <v>3242</v>
      </c>
      <c r="V48" s="47" t="s">
        <v>3243</v>
      </c>
      <c r="W48" s="14"/>
      <c r="X48" s="15"/>
      <c r="Y48" s="14"/>
      <c r="Z48" s="14"/>
    </row>
    <row r="49" spans="1:26" ht="15.75" customHeight="1" x14ac:dyDescent="0.25">
      <c r="A49" s="14"/>
      <c r="B49" s="15"/>
      <c r="C49" s="15" t="s">
        <v>3209</v>
      </c>
      <c r="D49" s="36" t="s">
        <v>3244</v>
      </c>
      <c r="E49" s="36">
        <v>1113314438</v>
      </c>
      <c r="F49" s="36" t="s">
        <v>3211</v>
      </c>
      <c r="G49" s="36" t="s">
        <v>3245</v>
      </c>
      <c r="H49" s="36" t="s">
        <v>3028</v>
      </c>
      <c r="I49" s="36" t="s">
        <v>421</v>
      </c>
      <c r="J49" s="57">
        <v>82000</v>
      </c>
      <c r="K49" s="57"/>
      <c r="L49" s="57">
        <v>82000</v>
      </c>
      <c r="M49" s="57" t="s">
        <v>234</v>
      </c>
      <c r="N49" s="64"/>
      <c r="O49" s="18"/>
      <c r="P49" s="66"/>
      <c r="Q49" s="15" t="s">
        <v>3029</v>
      </c>
      <c r="R49" s="15" t="s">
        <v>20</v>
      </c>
      <c r="S49" s="15"/>
      <c r="T49" s="36" t="s">
        <v>3214</v>
      </c>
      <c r="U49" s="36" t="s">
        <v>3246</v>
      </c>
      <c r="V49" s="47" t="s">
        <v>3215</v>
      </c>
      <c r="W49" s="14"/>
      <c r="X49" s="15"/>
      <c r="Y49" s="14"/>
      <c r="Z49" s="14"/>
    </row>
    <row r="50" spans="1:26" ht="15.75" customHeight="1" x14ac:dyDescent="0.25">
      <c r="A50" s="14"/>
      <c r="B50" s="15"/>
      <c r="C50" s="15"/>
      <c r="D50" s="36" t="s">
        <v>3247</v>
      </c>
      <c r="E50" s="36">
        <v>1113311644</v>
      </c>
      <c r="F50" s="36" t="s">
        <v>3248</v>
      </c>
      <c r="G50" s="36" t="s">
        <v>3249</v>
      </c>
      <c r="H50" s="36" t="s">
        <v>3028</v>
      </c>
      <c r="I50" s="36" t="s">
        <v>421</v>
      </c>
      <c r="J50" s="57">
        <v>82000</v>
      </c>
      <c r="K50" s="57"/>
      <c r="L50" s="57">
        <v>82000</v>
      </c>
      <c r="M50" s="57" t="s">
        <v>234</v>
      </c>
      <c r="N50" s="64"/>
      <c r="O50" s="18"/>
      <c r="P50" s="66"/>
      <c r="Q50" s="15" t="s">
        <v>3029</v>
      </c>
      <c r="R50" s="15" t="s">
        <v>20</v>
      </c>
      <c r="S50" s="15"/>
      <c r="T50" s="36" t="s">
        <v>3230</v>
      </c>
      <c r="U50" s="36" t="s">
        <v>3250</v>
      </c>
      <c r="V50" s="47" t="s">
        <v>3251</v>
      </c>
      <c r="W50" s="14"/>
      <c r="X50" s="15"/>
      <c r="Y50" s="14"/>
      <c r="Z50" s="14"/>
    </row>
    <row r="51" spans="1:26" ht="15.75" customHeight="1" x14ac:dyDescent="0.25">
      <c r="A51" s="14"/>
      <c r="B51" s="15"/>
      <c r="C51" s="15"/>
      <c r="D51" s="36" t="s">
        <v>3252</v>
      </c>
      <c r="E51" s="36"/>
      <c r="F51" s="36" t="s">
        <v>3211</v>
      </c>
      <c r="G51" s="36" t="s">
        <v>3087</v>
      </c>
      <c r="H51" s="36" t="s">
        <v>3028</v>
      </c>
      <c r="I51" s="36" t="s">
        <v>421</v>
      </c>
      <c r="J51" s="57" t="s">
        <v>567</v>
      </c>
      <c r="K51" s="57"/>
      <c r="L51" s="57" t="s">
        <v>567</v>
      </c>
      <c r="M51" s="57" t="s">
        <v>234</v>
      </c>
      <c r="N51" s="64"/>
      <c r="O51" s="57"/>
      <c r="P51" s="66"/>
      <c r="Q51" s="15" t="s">
        <v>3029</v>
      </c>
      <c r="R51" s="15" t="s">
        <v>20</v>
      </c>
      <c r="S51" s="15"/>
      <c r="T51" s="36" t="s">
        <v>3253</v>
      </c>
      <c r="U51" s="36" t="s">
        <v>3254</v>
      </c>
      <c r="V51" s="47" t="s">
        <v>311</v>
      </c>
      <c r="W51" s="14"/>
      <c r="X51" s="15"/>
      <c r="Y51" s="14"/>
      <c r="Z51" s="14"/>
    </row>
    <row r="52" spans="1:26" ht="15.75" customHeight="1" x14ac:dyDescent="0.25">
      <c r="A52" s="14"/>
      <c r="B52" s="15"/>
      <c r="C52" s="15"/>
      <c r="D52" s="36" t="s">
        <v>3255</v>
      </c>
      <c r="E52" s="36">
        <v>29138445</v>
      </c>
      <c r="F52" s="36" t="s">
        <v>3256</v>
      </c>
      <c r="G52" s="36" t="s">
        <v>3257</v>
      </c>
      <c r="H52" s="36" t="s">
        <v>3028</v>
      </c>
      <c r="I52" s="36" t="s">
        <v>421</v>
      </c>
      <c r="J52" s="57">
        <v>82000</v>
      </c>
      <c r="K52" s="57"/>
      <c r="L52" s="57">
        <v>82000</v>
      </c>
      <c r="M52" s="57" t="s">
        <v>234</v>
      </c>
      <c r="N52" s="64"/>
      <c r="O52" s="18"/>
      <c r="P52" s="66"/>
      <c r="Q52" s="15" t="s">
        <v>3029</v>
      </c>
      <c r="R52" s="15" t="s">
        <v>20</v>
      </c>
      <c r="S52" s="15"/>
      <c r="T52" s="36" t="s">
        <v>3258</v>
      </c>
      <c r="U52" s="36" t="s">
        <v>3259</v>
      </c>
      <c r="V52" s="47" t="s">
        <v>3260</v>
      </c>
      <c r="W52" s="14"/>
      <c r="X52" s="15"/>
      <c r="Y52" s="14"/>
      <c r="Z52" s="14"/>
    </row>
    <row r="53" spans="1:26" ht="15.75" customHeight="1" x14ac:dyDescent="0.25">
      <c r="A53" s="14"/>
      <c r="B53" s="15"/>
      <c r="C53" s="15"/>
      <c r="D53" s="36" t="s">
        <v>3261</v>
      </c>
      <c r="E53" s="36">
        <v>29832424</v>
      </c>
      <c r="F53" s="36" t="s">
        <v>3262</v>
      </c>
      <c r="G53" s="36" t="s">
        <v>3263</v>
      </c>
      <c r="H53" s="36" t="s">
        <v>3028</v>
      </c>
      <c r="I53" s="36" t="s">
        <v>421</v>
      </c>
      <c r="J53" s="57">
        <v>82000</v>
      </c>
      <c r="K53" s="57"/>
      <c r="L53" s="57">
        <v>82000</v>
      </c>
      <c r="M53" s="57" t="s">
        <v>234</v>
      </c>
      <c r="N53" s="64"/>
      <c r="O53" s="18"/>
      <c r="P53" s="66"/>
      <c r="Q53" s="15" t="s">
        <v>3029</v>
      </c>
      <c r="R53" s="15" t="s">
        <v>20</v>
      </c>
      <c r="S53" s="15"/>
      <c r="T53" s="36" t="s">
        <v>3172</v>
      </c>
      <c r="U53" s="36" t="s">
        <v>3264</v>
      </c>
      <c r="V53" s="47" t="s">
        <v>311</v>
      </c>
      <c r="W53" s="14"/>
      <c r="X53" s="15"/>
      <c r="Y53" s="14"/>
      <c r="Z53" s="14"/>
    </row>
    <row r="54" spans="1:26" ht="15.75" customHeight="1" x14ac:dyDescent="0.25">
      <c r="A54" s="14"/>
      <c r="B54" s="15"/>
      <c r="C54" s="15"/>
      <c r="D54" s="36" t="s">
        <v>3265</v>
      </c>
      <c r="E54" s="36">
        <v>75158094</v>
      </c>
      <c r="F54" s="36" t="s">
        <v>3266</v>
      </c>
      <c r="G54" s="36" t="s">
        <v>3267</v>
      </c>
      <c r="H54" s="36" t="s">
        <v>3268</v>
      </c>
      <c r="I54" s="36" t="s">
        <v>421</v>
      </c>
      <c r="J54" s="57">
        <v>82000</v>
      </c>
      <c r="K54" s="57"/>
      <c r="L54" s="57">
        <v>82000</v>
      </c>
      <c r="M54" s="57" t="s">
        <v>234</v>
      </c>
      <c r="N54" s="64"/>
      <c r="O54" s="18"/>
      <c r="P54" s="66"/>
      <c r="Q54" s="15" t="s">
        <v>3029</v>
      </c>
      <c r="R54" s="15" t="s">
        <v>20</v>
      </c>
      <c r="S54" s="15"/>
      <c r="T54" s="36" t="s">
        <v>3235</v>
      </c>
      <c r="U54" s="36" t="s">
        <v>3269</v>
      </c>
      <c r="V54" s="47" t="s">
        <v>311</v>
      </c>
      <c r="W54" s="14"/>
      <c r="X54" s="15"/>
      <c r="Y54" s="14"/>
      <c r="Z54" s="14"/>
    </row>
    <row r="55" spans="1:26" ht="15.75" customHeight="1" x14ac:dyDescent="0.25">
      <c r="A55" s="14"/>
      <c r="B55" s="14" t="s">
        <v>1903</v>
      </c>
      <c r="C55" s="14"/>
      <c r="D55" s="15" t="s">
        <v>3270</v>
      </c>
      <c r="E55" s="25">
        <v>94287995</v>
      </c>
      <c r="F55" s="25">
        <v>3233894254</v>
      </c>
      <c r="G55" s="14" t="s">
        <v>3271</v>
      </c>
      <c r="H55" s="14" t="s">
        <v>3028</v>
      </c>
      <c r="I55" s="36" t="s">
        <v>421</v>
      </c>
      <c r="J55" s="120">
        <v>82000</v>
      </c>
      <c r="K55" s="101"/>
      <c r="L55" s="101">
        <v>82000</v>
      </c>
      <c r="M55" s="57" t="s">
        <v>234</v>
      </c>
      <c r="N55" s="64"/>
      <c r="O55" s="18"/>
      <c r="P55" s="66"/>
      <c r="Q55" s="14" t="s">
        <v>3029</v>
      </c>
      <c r="R55" s="15"/>
      <c r="S55" s="15"/>
      <c r="T55" s="14" t="s">
        <v>3272</v>
      </c>
      <c r="U55" s="14" t="s">
        <v>3197</v>
      </c>
      <c r="V55" s="47" t="s">
        <v>311</v>
      </c>
      <c r="W55" s="14"/>
      <c r="X55" s="15"/>
      <c r="Y55" s="14"/>
      <c r="Z55" s="14"/>
    </row>
    <row r="56" spans="1:26" x14ac:dyDescent="0.25">
      <c r="A56" s="14"/>
      <c r="B56" s="15"/>
      <c r="C56" s="15"/>
      <c r="D56" s="36" t="s">
        <v>3273</v>
      </c>
      <c r="E56" s="36">
        <v>29817169</v>
      </c>
      <c r="F56" s="36">
        <v>3127533089</v>
      </c>
      <c r="G56" s="36" t="s">
        <v>3274</v>
      </c>
      <c r="H56" s="36" t="s">
        <v>3028</v>
      </c>
      <c r="I56" s="36" t="s">
        <v>421</v>
      </c>
      <c r="J56" s="57">
        <v>82000</v>
      </c>
      <c r="K56" s="57"/>
      <c r="L56" s="57">
        <f>J56</f>
        <v>82000</v>
      </c>
      <c r="M56" s="57" t="s">
        <v>234</v>
      </c>
      <c r="N56" s="64"/>
      <c r="O56" s="18"/>
      <c r="P56" s="66"/>
      <c r="Q56" s="15" t="s">
        <v>3029</v>
      </c>
      <c r="R56" s="15" t="s">
        <v>20</v>
      </c>
      <c r="S56" s="15"/>
      <c r="T56" s="36" t="s">
        <v>3108</v>
      </c>
      <c r="U56" s="36" t="s">
        <v>3275</v>
      </c>
      <c r="V56" s="47" t="s">
        <v>311</v>
      </c>
      <c r="W56" s="15"/>
      <c r="X56" s="15"/>
      <c r="Y56" s="14"/>
      <c r="Z56" s="14"/>
    </row>
    <row r="57" spans="1:26" ht="15.75" customHeight="1" x14ac:dyDescent="0.25">
      <c r="A57" s="14"/>
      <c r="B57" s="14"/>
      <c r="C57" s="14"/>
      <c r="D57" s="15" t="s">
        <v>3276</v>
      </c>
      <c r="E57" s="25">
        <v>1113314438</v>
      </c>
      <c r="F57" s="25">
        <v>3218287123</v>
      </c>
      <c r="G57" s="14" t="s">
        <v>3277</v>
      </c>
      <c r="H57" s="14" t="s">
        <v>3028</v>
      </c>
      <c r="I57" s="36" t="s">
        <v>421</v>
      </c>
      <c r="J57" s="120" t="s">
        <v>567</v>
      </c>
      <c r="K57" s="101"/>
      <c r="L57" s="101" t="s">
        <v>567</v>
      </c>
      <c r="M57" s="57" t="s">
        <v>234</v>
      </c>
      <c r="N57" s="64"/>
      <c r="O57" s="57"/>
      <c r="P57" s="66"/>
      <c r="Q57" s="14" t="s">
        <v>3029</v>
      </c>
      <c r="R57" s="15"/>
      <c r="S57" s="15"/>
      <c r="T57" s="14" t="s">
        <v>3278</v>
      </c>
      <c r="U57" s="14" t="s">
        <v>3279</v>
      </c>
      <c r="V57" s="47" t="s">
        <v>311</v>
      </c>
      <c r="W57" s="14"/>
      <c r="X57" s="15"/>
      <c r="Y57" s="14"/>
      <c r="Z57" s="14"/>
    </row>
    <row r="58" spans="1:26" ht="15.75" customHeight="1" x14ac:dyDescent="0.25">
      <c r="A58" s="14"/>
      <c r="B58" s="15"/>
      <c r="C58" s="15"/>
      <c r="D58" s="15" t="s">
        <v>3285</v>
      </c>
      <c r="E58" s="17">
        <v>43643585</v>
      </c>
      <c r="F58" s="17">
        <v>3193401742</v>
      </c>
      <c r="G58" s="17" t="s">
        <v>3286</v>
      </c>
      <c r="H58" s="17" t="s">
        <v>3141</v>
      </c>
      <c r="I58" s="36" t="s">
        <v>421</v>
      </c>
      <c r="J58" s="57">
        <v>82000</v>
      </c>
      <c r="K58" s="57"/>
      <c r="L58" s="57">
        <v>82000</v>
      </c>
      <c r="M58" s="57" t="s">
        <v>234</v>
      </c>
      <c r="N58" s="64"/>
      <c r="O58" s="18"/>
      <c r="P58" s="66"/>
      <c r="Q58" s="15" t="s">
        <v>3029</v>
      </c>
      <c r="R58" s="15"/>
      <c r="S58" s="15"/>
      <c r="T58" s="15" t="s">
        <v>3287</v>
      </c>
      <c r="U58" s="36" t="s">
        <v>3288</v>
      </c>
      <c r="V58" s="47" t="s">
        <v>3289</v>
      </c>
      <c r="W58" s="14"/>
      <c r="X58" s="15"/>
      <c r="Y58" s="14"/>
      <c r="Z58" s="14"/>
    </row>
    <row r="59" spans="1:26" ht="15.75" customHeight="1" x14ac:dyDescent="0.25">
      <c r="A59" s="14"/>
      <c r="B59" s="15"/>
      <c r="C59" s="15"/>
      <c r="D59" s="36" t="s">
        <v>3290</v>
      </c>
      <c r="E59" s="36">
        <v>14136955</v>
      </c>
      <c r="F59" s="36" t="s">
        <v>3291</v>
      </c>
      <c r="G59" s="36" t="s">
        <v>3292</v>
      </c>
      <c r="H59" s="36"/>
      <c r="I59" s="36" t="s">
        <v>421</v>
      </c>
      <c r="J59" s="57">
        <v>82000</v>
      </c>
      <c r="K59" s="57"/>
      <c r="L59" s="57">
        <v>82000</v>
      </c>
      <c r="M59" s="57" t="s">
        <v>234</v>
      </c>
      <c r="N59" s="64"/>
      <c r="O59" s="18"/>
      <c r="P59" s="66"/>
      <c r="Q59" s="15" t="s">
        <v>3029</v>
      </c>
      <c r="R59" s="15"/>
      <c r="S59" s="15"/>
      <c r="T59" s="36" t="s">
        <v>3197</v>
      </c>
      <c r="U59" s="36" t="s">
        <v>3293</v>
      </c>
      <c r="V59" s="47" t="s">
        <v>311</v>
      </c>
      <c r="W59" s="14"/>
      <c r="X59" s="15"/>
      <c r="Y59" s="14"/>
      <c r="Z59" s="14"/>
    </row>
    <row r="60" spans="1:26" ht="15.75" customHeight="1" x14ac:dyDescent="0.25">
      <c r="A60" s="14"/>
      <c r="B60" s="15"/>
      <c r="C60" s="15"/>
      <c r="D60" s="15" t="s">
        <v>3294</v>
      </c>
      <c r="E60" s="24">
        <v>1113312056</v>
      </c>
      <c r="F60" s="25" t="s">
        <v>3295</v>
      </c>
      <c r="G60" s="36" t="s">
        <v>3296</v>
      </c>
      <c r="H60" s="36" t="s">
        <v>3028</v>
      </c>
      <c r="I60" s="36" t="s">
        <v>421</v>
      </c>
      <c r="J60" s="57">
        <v>82000</v>
      </c>
      <c r="K60" s="57"/>
      <c r="L60" s="57">
        <v>82000</v>
      </c>
      <c r="M60" s="57" t="s">
        <v>234</v>
      </c>
      <c r="N60" s="64"/>
      <c r="O60" s="18"/>
      <c r="P60" s="66"/>
      <c r="Q60" s="15" t="s">
        <v>3029</v>
      </c>
      <c r="R60" s="15"/>
      <c r="S60" s="15"/>
      <c r="T60" s="36" t="s">
        <v>3297</v>
      </c>
      <c r="U60" s="36" t="s">
        <v>3298</v>
      </c>
      <c r="V60" s="47" t="s">
        <v>311</v>
      </c>
      <c r="W60" s="14"/>
      <c r="X60" s="15"/>
      <c r="Y60" s="14"/>
      <c r="Z60" s="14"/>
    </row>
    <row r="61" spans="1:26" ht="15.75" customHeight="1" x14ac:dyDescent="0.25">
      <c r="A61" s="13">
        <v>45824</v>
      </c>
      <c r="B61" s="14" t="s">
        <v>419</v>
      </c>
      <c r="C61" s="14"/>
      <c r="D61" s="15" t="s">
        <v>3299</v>
      </c>
      <c r="E61" s="25">
        <v>29818976</v>
      </c>
      <c r="F61" s="25" t="s">
        <v>3300</v>
      </c>
      <c r="G61" s="14" t="s">
        <v>3301</v>
      </c>
      <c r="H61" s="14"/>
      <c r="I61" s="36" t="s">
        <v>421</v>
      </c>
      <c r="J61" s="57">
        <v>82000</v>
      </c>
      <c r="K61" s="120"/>
      <c r="L61" s="57">
        <v>82000</v>
      </c>
      <c r="M61" s="57" t="s">
        <v>234</v>
      </c>
      <c r="N61" s="19"/>
      <c r="O61" s="121"/>
      <c r="P61" s="13"/>
      <c r="Q61" s="15" t="s">
        <v>3029</v>
      </c>
      <c r="R61" s="14" t="s">
        <v>20</v>
      </c>
      <c r="S61" s="14"/>
      <c r="T61" s="14" t="s">
        <v>3302</v>
      </c>
      <c r="U61" s="36" t="s">
        <v>3303</v>
      </c>
      <c r="V61" s="47" t="s">
        <v>311</v>
      </c>
      <c r="W61" s="14"/>
      <c r="X61" s="14"/>
      <c r="Y61" s="14"/>
      <c r="Z61" s="14"/>
    </row>
    <row r="62" spans="1:26" ht="15.75" customHeight="1" x14ac:dyDescent="0.25">
      <c r="A62" s="13">
        <v>45859</v>
      </c>
      <c r="B62" s="14" t="s">
        <v>419</v>
      </c>
      <c r="C62" s="14"/>
      <c r="D62" s="28" t="s">
        <v>3304</v>
      </c>
      <c r="E62" s="122">
        <v>1130641493</v>
      </c>
      <c r="F62" s="122">
        <v>3156475063</v>
      </c>
      <c r="G62" s="14" t="s">
        <v>3305</v>
      </c>
      <c r="H62" s="14" t="s">
        <v>3028</v>
      </c>
      <c r="I62" s="36" t="s">
        <v>421</v>
      </c>
      <c r="J62" s="57">
        <v>82000</v>
      </c>
      <c r="K62" s="120"/>
      <c r="L62" s="57">
        <v>82000</v>
      </c>
      <c r="M62" s="57" t="s">
        <v>234</v>
      </c>
      <c r="N62" s="19"/>
      <c r="O62" s="121"/>
      <c r="P62" s="14"/>
      <c r="Q62" s="15" t="s">
        <v>3029</v>
      </c>
      <c r="R62" s="14" t="s">
        <v>20</v>
      </c>
      <c r="S62" s="14"/>
      <c r="T62" s="14" t="s">
        <v>3307</v>
      </c>
      <c r="U62" s="14" t="s">
        <v>3308</v>
      </c>
      <c r="V62" s="14"/>
      <c r="W62" s="14"/>
      <c r="X62" s="14"/>
      <c r="Y62" s="14"/>
      <c r="Z62" s="14"/>
    </row>
    <row r="63" spans="1:26" ht="15.75" customHeight="1" x14ac:dyDescent="0.25">
      <c r="A63" s="13">
        <v>45859</v>
      </c>
      <c r="B63" s="14" t="s">
        <v>3309</v>
      </c>
      <c r="C63" s="14" t="s">
        <v>5492</v>
      </c>
      <c r="D63" s="15" t="s">
        <v>3310</v>
      </c>
      <c r="E63" s="25">
        <v>29831362</v>
      </c>
      <c r="F63" s="25" t="s">
        <v>3311</v>
      </c>
      <c r="G63" s="14" t="s">
        <v>3312</v>
      </c>
      <c r="H63" s="14" t="s">
        <v>3028</v>
      </c>
      <c r="I63" s="36" t="s">
        <v>421</v>
      </c>
      <c r="J63" s="57">
        <v>82000</v>
      </c>
      <c r="K63" s="120"/>
      <c r="L63" s="57">
        <v>82000</v>
      </c>
      <c r="M63" s="57" t="s">
        <v>234</v>
      </c>
      <c r="N63" s="19"/>
      <c r="O63" s="121"/>
      <c r="P63" s="13"/>
      <c r="Q63" s="15" t="s">
        <v>3029</v>
      </c>
      <c r="R63" s="14" t="s">
        <v>20</v>
      </c>
      <c r="S63" s="14"/>
      <c r="T63" s="14" t="s">
        <v>3045</v>
      </c>
      <c r="U63" s="36" t="s">
        <v>3313</v>
      </c>
      <c r="V63" s="112" t="s">
        <v>3314</v>
      </c>
      <c r="W63" s="14"/>
      <c r="X63" s="14"/>
      <c r="Y63" s="14"/>
      <c r="Z63" s="14"/>
    </row>
    <row r="64" spans="1:26" ht="15.75" customHeight="1" x14ac:dyDescent="0.25">
      <c r="A64" s="13">
        <v>45862</v>
      </c>
      <c r="B64" s="14" t="s">
        <v>419</v>
      </c>
      <c r="C64" s="14"/>
      <c r="D64" s="15" t="s">
        <v>3315</v>
      </c>
      <c r="E64" s="25">
        <v>1113303382</v>
      </c>
      <c r="F64" s="25" t="s">
        <v>3316</v>
      </c>
      <c r="G64" s="14" t="s">
        <v>3317</v>
      </c>
      <c r="H64" s="14" t="s">
        <v>3028</v>
      </c>
      <c r="I64" s="36" t="s">
        <v>421</v>
      </c>
      <c r="J64" s="57">
        <v>82000</v>
      </c>
      <c r="K64" s="120"/>
      <c r="L64" s="57">
        <v>82000</v>
      </c>
      <c r="M64" s="57" t="s">
        <v>234</v>
      </c>
      <c r="N64" s="19"/>
      <c r="O64" s="121"/>
      <c r="P64" s="13"/>
      <c r="Q64" s="15" t="s">
        <v>3029</v>
      </c>
      <c r="R64" s="14" t="s">
        <v>20</v>
      </c>
      <c r="S64" s="14"/>
      <c r="T64" s="14" t="s">
        <v>3235</v>
      </c>
      <c r="U64" s="36" t="s">
        <v>3318</v>
      </c>
      <c r="V64" s="14"/>
      <c r="W64" s="14"/>
      <c r="X64" s="14"/>
      <c r="Y64" s="14"/>
      <c r="Z64" s="14"/>
    </row>
    <row r="65" spans="1:26" ht="15.75" customHeight="1" x14ac:dyDescent="0.25">
      <c r="A65" s="13">
        <v>45866</v>
      </c>
      <c r="B65" s="14" t="s">
        <v>419</v>
      </c>
      <c r="C65" s="14"/>
      <c r="D65" s="15" t="s">
        <v>3319</v>
      </c>
      <c r="E65" s="25">
        <v>1115182878</v>
      </c>
      <c r="F65" s="25" t="s">
        <v>3320</v>
      </c>
      <c r="G65" s="14" t="s">
        <v>3321</v>
      </c>
      <c r="H65" s="14" t="s">
        <v>3141</v>
      </c>
      <c r="I65" s="36" t="s">
        <v>421</v>
      </c>
      <c r="J65" s="57">
        <v>82000</v>
      </c>
      <c r="K65" s="120"/>
      <c r="L65" s="57">
        <v>82000</v>
      </c>
      <c r="M65" s="57" t="s">
        <v>234</v>
      </c>
      <c r="N65" s="19"/>
      <c r="O65" s="121"/>
      <c r="P65" s="13"/>
      <c r="Q65" s="15" t="s">
        <v>3029</v>
      </c>
      <c r="R65" s="14" t="s">
        <v>20</v>
      </c>
      <c r="S65" s="14"/>
      <c r="T65" s="14" t="s">
        <v>3322</v>
      </c>
      <c r="U65" s="14"/>
      <c r="V65" s="22" t="s">
        <v>3323</v>
      </c>
      <c r="W65" s="14"/>
      <c r="X65" s="14"/>
      <c r="Y65" s="14"/>
      <c r="Z65" s="14"/>
    </row>
    <row r="66" spans="1:26" ht="15.75" customHeight="1" x14ac:dyDescent="0.25">
      <c r="A66" s="13">
        <v>45868</v>
      </c>
      <c r="B66" s="14" t="s">
        <v>419</v>
      </c>
      <c r="C66" s="14"/>
      <c r="D66" s="15" t="s">
        <v>3324</v>
      </c>
      <c r="E66" s="25">
        <v>1113309188</v>
      </c>
      <c r="F66" s="14" t="s">
        <v>3325</v>
      </c>
      <c r="G66" s="14" t="s">
        <v>3326</v>
      </c>
      <c r="H66" s="14" t="s">
        <v>3028</v>
      </c>
      <c r="I66" s="14" t="s">
        <v>3327</v>
      </c>
      <c r="J66" s="120">
        <v>82000</v>
      </c>
      <c r="K66" s="120"/>
      <c r="L66" s="120">
        <v>82000</v>
      </c>
      <c r="M66" s="57" t="s">
        <v>234</v>
      </c>
      <c r="N66" s="19"/>
      <c r="O66" s="121"/>
      <c r="P66" s="13"/>
      <c r="Q66" s="14" t="s">
        <v>3029</v>
      </c>
      <c r="R66" s="14" t="s">
        <v>20</v>
      </c>
      <c r="S66" s="14"/>
      <c r="T66" s="14" t="s">
        <v>3298</v>
      </c>
      <c r="U66" s="14" t="s">
        <v>3328</v>
      </c>
      <c r="V66" s="14"/>
      <c r="W66" s="14"/>
      <c r="X66" s="14"/>
      <c r="Y66" s="14"/>
      <c r="Z66" s="14"/>
    </row>
    <row r="67" spans="1:26" ht="15.75" customHeight="1" x14ac:dyDescent="0.25">
      <c r="A67" s="13">
        <v>45883</v>
      </c>
      <c r="B67" s="14" t="s">
        <v>419</v>
      </c>
      <c r="C67" s="14"/>
      <c r="D67" s="15" t="s">
        <v>3329</v>
      </c>
      <c r="E67" s="25">
        <v>1096039323</v>
      </c>
      <c r="F67" s="14" t="s">
        <v>3330</v>
      </c>
      <c r="G67" s="14" t="s">
        <v>3331</v>
      </c>
      <c r="H67" s="14" t="s">
        <v>3028</v>
      </c>
      <c r="I67" s="14" t="s">
        <v>421</v>
      </c>
      <c r="J67" s="120">
        <v>82000</v>
      </c>
      <c r="K67" s="120"/>
      <c r="L67" s="120">
        <v>82000</v>
      </c>
      <c r="M67" s="57" t="s">
        <v>234</v>
      </c>
      <c r="N67" s="19"/>
      <c r="O67" s="121"/>
      <c r="P67" s="13"/>
      <c r="Q67" s="14" t="s">
        <v>3029</v>
      </c>
      <c r="R67" s="14" t="s">
        <v>20</v>
      </c>
      <c r="S67" s="14"/>
      <c r="T67" s="14" t="s">
        <v>3235</v>
      </c>
      <c r="U67" s="14" t="s">
        <v>3332</v>
      </c>
      <c r="V67" s="22" t="s">
        <v>3333</v>
      </c>
      <c r="W67" s="14"/>
      <c r="X67" s="14"/>
      <c r="Y67" s="14"/>
      <c r="Z67" s="14"/>
    </row>
    <row r="68" spans="1:26" ht="15.75" customHeight="1" x14ac:dyDescent="0.25">
      <c r="A68" s="13">
        <v>45915</v>
      </c>
      <c r="B68" s="14" t="s">
        <v>2700</v>
      </c>
      <c r="C68" s="14"/>
      <c r="D68" s="36" t="s">
        <v>3334</v>
      </c>
      <c r="E68" s="36">
        <v>36381154</v>
      </c>
      <c r="F68" s="36">
        <v>3113944108</v>
      </c>
      <c r="G68" s="36" t="s">
        <v>3335</v>
      </c>
      <c r="H68" s="36" t="s">
        <v>3028</v>
      </c>
      <c r="I68" s="14" t="s">
        <v>421</v>
      </c>
      <c r="J68" s="57">
        <v>82000</v>
      </c>
      <c r="K68" s="57"/>
      <c r="L68" s="57">
        <v>82000</v>
      </c>
      <c r="M68" s="57" t="s">
        <v>234</v>
      </c>
      <c r="N68" s="64"/>
      <c r="O68" s="18"/>
      <c r="P68" s="66"/>
      <c r="Q68" s="15" t="s">
        <v>3029</v>
      </c>
      <c r="R68" s="15" t="s">
        <v>20</v>
      </c>
      <c r="S68" s="15"/>
      <c r="T68" s="36" t="s">
        <v>3101</v>
      </c>
      <c r="U68" s="36" t="s">
        <v>3336</v>
      </c>
      <c r="V68" s="14"/>
      <c r="W68" s="14"/>
      <c r="X68" s="14"/>
      <c r="Y68" s="14"/>
      <c r="Z68" s="14"/>
    </row>
    <row r="69" spans="1:26" ht="15.75" customHeight="1" x14ac:dyDescent="0.25">
      <c r="A69" s="13">
        <v>45915</v>
      </c>
      <c r="B69" s="14" t="s">
        <v>2700</v>
      </c>
      <c r="C69" s="14"/>
      <c r="D69" s="15" t="s">
        <v>3337</v>
      </c>
      <c r="E69" s="25">
        <v>1006398733</v>
      </c>
      <c r="F69" s="14" t="s">
        <v>3338</v>
      </c>
      <c r="G69" s="14" t="s">
        <v>3339</v>
      </c>
      <c r="H69" s="14" t="s">
        <v>3028</v>
      </c>
      <c r="I69" s="14" t="s">
        <v>421</v>
      </c>
      <c r="J69" s="120">
        <v>82000</v>
      </c>
      <c r="K69" s="120"/>
      <c r="L69" s="120">
        <v>82000</v>
      </c>
      <c r="M69" s="57" t="s">
        <v>234</v>
      </c>
      <c r="N69" s="19"/>
      <c r="O69" s="121"/>
      <c r="P69" s="14"/>
      <c r="Q69" s="14" t="s">
        <v>3029</v>
      </c>
      <c r="R69" s="14"/>
      <c r="S69" s="14"/>
      <c r="T69" s="14" t="s">
        <v>3340</v>
      </c>
      <c r="U69" s="14"/>
      <c r="V69" s="22" t="s">
        <v>3341</v>
      </c>
      <c r="W69" s="14"/>
      <c r="X69" s="14"/>
      <c r="Y69" s="14"/>
      <c r="Z69" s="14"/>
    </row>
    <row r="70" spans="1:26" ht="15.75" customHeight="1" x14ac:dyDescent="0.25">
      <c r="A70" s="13">
        <v>45924</v>
      </c>
      <c r="B70" s="14" t="s">
        <v>2700</v>
      </c>
      <c r="C70" s="14"/>
      <c r="D70" s="15" t="s">
        <v>3342</v>
      </c>
      <c r="E70" s="25">
        <v>1113305450</v>
      </c>
      <c r="F70" s="14" t="s">
        <v>234</v>
      </c>
      <c r="G70" s="14" t="s">
        <v>3343</v>
      </c>
      <c r="H70" s="14" t="s">
        <v>3028</v>
      </c>
      <c r="I70" s="14" t="s">
        <v>421</v>
      </c>
      <c r="J70" s="120">
        <v>82000</v>
      </c>
      <c r="K70" s="120"/>
      <c r="L70" s="120">
        <v>82000</v>
      </c>
      <c r="M70" s="57" t="s">
        <v>234</v>
      </c>
      <c r="N70" s="19"/>
      <c r="O70" s="121"/>
      <c r="P70" s="13"/>
      <c r="Q70" s="14" t="s">
        <v>3029</v>
      </c>
      <c r="R70" s="14"/>
      <c r="S70" s="14"/>
      <c r="T70" s="14" t="s">
        <v>3344</v>
      </c>
      <c r="U70" s="14" t="s">
        <v>3345</v>
      </c>
      <c r="V70" s="14"/>
      <c r="W70" s="14"/>
      <c r="X70" s="14"/>
      <c r="Y70" s="14"/>
      <c r="Z70" s="14"/>
    </row>
    <row r="71" spans="1:26" ht="15.75" customHeight="1" x14ac:dyDescent="0.25">
      <c r="A71" s="13">
        <v>45922</v>
      </c>
      <c r="B71" s="14" t="s">
        <v>2700</v>
      </c>
      <c r="C71" s="361" t="s">
        <v>5488</v>
      </c>
      <c r="D71" s="362" t="s">
        <v>3346</v>
      </c>
      <c r="E71" s="363">
        <v>1105610216</v>
      </c>
      <c r="F71" s="14" t="s">
        <v>3347</v>
      </c>
      <c r="G71" s="14" t="s">
        <v>3348</v>
      </c>
      <c r="H71" s="14" t="s">
        <v>3028</v>
      </c>
      <c r="I71" s="14" t="s">
        <v>421</v>
      </c>
      <c r="J71" s="120">
        <v>82000</v>
      </c>
      <c r="K71" s="120"/>
      <c r="L71" s="120">
        <v>82000</v>
      </c>
      <c r="M71" s="57" t="s">
        <v>234</v>
      </c>
      <c r="N71" s="19"/>
      <c r="O71" s="121"/>
      <c r="P71" s="13"/>
      <c r="Q71" s="14" t="s">
        <v>3029</v>
      </c>
      <c r="R71" s="14"/>
      <c r="S71" s="14"/>
      <c r="T71" s="14" t="s">
        <v>3349</v>
      </c>
      <c r="U71" s="14" t="s">
        <v>3350</v>
      </c>
      <c r="V71" s="14"/>
      <c r="W71" s="14"/>
      <c r="X71" s="14"/>
      <c r="Y71" s="14"/>
      <c r="Z71" s="14"/>
    </row>
    <row r="72" spans="1:26" ht="15.75" customHeight="1" x14ac:dyDescent="0.25">
      <c r="A72" s="13">
        <v>45983</v>
      </c>
      <c r="B72" s="14" t="s">
        <v>2700</v>
      </c>
      <c r="C72" s="14"/>
      <c r="D72" s="15" t="s">
        <v>5459</v>
      </c>
      <c r="E72" s="14">
        <v>40725877</v>
      </c>
      <c r="F72" s="14" t="s">
        <v>5460</v>
      </c>
      <c r="G72" s="14" t="s">
        <v>3585</v>
      </c>
      <c r="H72" s="14" t="s">
        <v>3028</v>
      </c>
      <c r="I72" s="14" t="s">
        <v>421</v>
      </c>
      <c r="J72" s="120">
        <v>83000</v>
      </c>
      <c r="K72" s="120"/>
      <c r="L72" s="120">
        <v>83000</v>
      </c>
      <c r="M72" s="57" t="s">
        <v>234</v>
      </c>
      <c r="N72" s="14"/>
      <c r="O72" s="120"/>
      <c r="P72" s="14"/>
      <c r="Q72" s="14" t="s">
        <v>3029</v>
      </c>
      <c r="R72" s="14"/>
      <c r="S72" s="14"/>
      <c r="T72" s="14" t="s">
        <v>5461</v>
      </c>
      <c r="U72" s="14" t="s">
        <v>5462</v>
      </c>
      <c r="V72" s="14"/>
      <c r="W72" s="14"/>
      <c r="X72" s="14"/>
      <c r="Y72" s="14"/>
      <c r="Z72" s="14"/>
    </row>
    <row r="73" spans="1:26" ht="15.75" customHeight="1" x14ac:dyDescent="0.25">
      <c r="A73" s="13">
        <v>45986</v>
      </c>
      <c r="B73" s="14" t="s">
        <v>2700</v>
      </c>
      <c r="C73" s="14"/>
      <c r="D73" s="15" t="s">
        <v>5467</v>
      </c>
      <c r="E73" s="14">
        <v>1112782664</v>
      </c>
      <c r="F73" s="14" t="s">
        <v>5468</v>
      </c>
      <c r="G73" s="14" t="s">
        <v>4796</v>
      </c>
      <c r="H73" s="14" t="s">
        <v>3028</v>
      </c>
      <c r="I73" s="14" t="s">
        <v>3327</v>
      </c>
      <c r="J73" s="120">
        <v>82000</v>
      </c>
      <c r="K73" s="120"/>
      <c r="L73" s="120">
        <v>82000</v>
      </c>
      <c r="M73" s="57" t="s">
        <v>234</v>
      </c>
      <c r="N73" s="14"/>
      <c r="O73" s="120"/>
      <c r="P73" s="13"/>
      <c r="Q73" s="14" t="s">
        <v>3029</v>
      </c>
      <c r="R73" s="14"/>
      <c r="S73" s="14"/>
      <c r="T73" s="14" t="s">
        <v>5469</v>
      </c>
      <c r="U73" s="14" t="s">
        <v>5470</v>
      </c>
      <c r="V73" s="14"/>
      <c r="W73" s="14"/>
      <c r="X73" s="14"/>
      <c r="Y73" s="14"/>
      <c r="Z73" s="14"/>
    </row>
    <row r="74" spans="1:26" ht="15.75" customHeight="1" x14ac:dyDescent="0.25">
      <c r="A74" s="14"/>
      <c r="B74" s="14"/>
      <c r="C74" s="14"/>
      <c r="D74" s="15"/>
      <c r="E74" s="14"/>
      <c r="F74" s="14"/>
      <c r="G74" s="14"/>
      <c r="H74" s="14"/>
      <c r="I74" s="14"/>
      <c r="J74" s="120"/>
      <c r="K74" s="120"/>
      <c r="L74" s="120"/>
      <c r="M74" s="14"/>
      <c r="N74" s="14"/>
      <c r="O74" s="120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5">
      <c r="A75" s="14"/>
      <c r="B75" s="14"/>
      <c r="C75" s="14"/>
      <c r="D75" s="15"/>
      <c r="E75" s="14"/>
      <c r="F75" s="14"/>
      <c r="G75" s="14"/>
      <c r="H75" s="14"/>
      <c r="I75" s="14"/>
      <c r="J75" s="120"/>
      <c r="K75" s="120"/>
      <c r="L75" s="120"/>
      <c r="M75" s="14"/>
      <c r="N75" s="14"/>
      <c r="O75" s="120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5">
      <c r="A76" s="14"/>
      <c r="B76" s="14"/>
      <c r="C76" s="14"/>
      <c r="D76" s="15"/>
      <c r="E76" s="14"/>
      <c r="F76" s="14"/>
      <c r="G76" s="14"/>
      <c r="H76" s="14"/>
      <c r="I76" s="14"/>
      <c r="J76" s="120"/>
      <c r="K76" s="120"/>
      <c r="L76" s="120"/>
      <c r="M76" s="14"/>
      <c r="N76" s="14"/>
      <c r="O76" s="120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5">
      <c r="A77" s="14"/>
      <c r="B77" s="14"/>
      <c r="C77" s="14"/>
      <c r="D77" s="15"/>
      <c r="E77" s="14"/>
      <c r="F77" s="14"/>
      <c r="G77" s="14"/>
      <c r="H77" s="14"/>
      <c r="I77" s="14"/>
      <c r="J77" s="120"/>
      <c r="K77" s="120"/>
      <c r="L77" s="120"/>
      <c r="M77" s="14"/>
      <c r="N77" s="14"/>
      <c r="O77" s="120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5">
      <c r="A78" s="14"/>
      <c r="B78" s="14"/>
      <c r="C78" s="14"/>
      <c r="D78" s="15"/>
      <c r="E78" s="36"/>
      <c r="F78" s="36"/>
      <c r="G78" s="14"/>
      <c r="H78" s="14"/>
      <c r="I78" s="14"/>
      <c r="J78" s="120"/>
      <c r="K78" s="120"/>
      <c r="L78" s="120"/>
      <c r="M78" s="14"/>
      <c r="N78" s="14"/>
      <c r="O78" s="120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5">
      <c r="A79" s="14"/>
      <c r="B79" s="14"/>
      <c r="C79" s="14"/>
      <c r="D79" s="15"/>
      <c r="E79" s="14"/>
      <c r="F79" s="14"/>
      <c r="G79" s="14"/>
      <c r="H79" s="14"/>
      <c r="I79" s="14"/>
      <c r="J79" s="120"/>
      <c r="K79" s="120"/>
      <c r="L79" s="120"/>
      <c r="M79" s="14"/>
      <c r="N79" s="14"/>
      <c r="O79" s="120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5">
      <c r="A80" s="14"/>
      <c r="B80" s="14"/>
      <c r="C80" s="14"/>
      <c r="D80" s="15"/>
      <c r="E80" s="25"/>
      <c r="F80" s="14"/>
      <c r="G80" s="14"/>
      <c r="H80" s="14"/>
      <c r="I80" s="14"/>
      <c r="J80" s="120"/>
      <c r="K80" s="120"/>
      <c r="L80" s="120"/>
      <c r="M80" s="14"/>
      <c r="N80" s="14"/>
      <c r="O80" s="120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5">
      <c r="A81" s="14"/>
      <c r="B81" s="14"/>
      <c r="C81" s="14"/>
      <c r="D81" s="15"/>
      <c r="E81" s="25"/>
      <c r="F81" s="14"/>
      <c r="G81" s="14"/>
      <c r="H81" s="14"/>
      <c r="I81" s="14"/>
      <c r="J81" s="120"/>
      <c r="K81" s="120"/>
      <c r="L81" s="120"/>
      <c r="M81" s="14"/>
      <c r="N81" s="14"/>
      <c r="O81" s="120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5">
      <c r="A82" s="14"/>
      <c r="B82" s="14"/>
      <c r="C82" s="14"/>
      <c r="D82" s="15"/>
      <c r="E82" s="25"/>
      <c r="F82" s="14"/>
      <c r="G82" s="14"/>
      <c r="H82" s="14"/>
      <c r="I82" s="14"/>
      <c r="J82" s="120"/>
      <c r="K82" s="120"/>
      <c r="L82" s="120"/>
      <c r="M82" s="14"/>
      <c r="N82" s="14"/>
      <c r="O82" s="120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5">
      <c r="A83" s="14"/>
      <c r="B83" s="14"/>
      <c r="C83" s="14"/>
      <c r="D83" s="15"/>
      <c r="E83" s="25"/>
      <c r="F83" s="14"/>
      <c r="G83" s="14"/>
      <c r="H83" s="14"/>
      <c r="I83" s="14"/>
      <c r="J83" s="120"/>
      <c r="K83" s="120"/>
      <c r="L83" s="120"/>
      <c r="M83" s="14"/>
      <c r="N83" s="14"/>
      <c r="O83" s="120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5">
      <c r="A84" s="14"/>
      <c r="B84" s="14"/>
      <c r="C84" s="14"/>
      <c r="D84" s="15"/>
      <c r="E84" s="25"/>
      <c r="F84" s="14"/>
      <c r="G84" s="14"/>
      <c r="H84" s="14"/>
      <c r="I84" s="14"/>
      <c r="J84" s="120"/>
      <c r="K84" s="120"/>
      <c r="L84" s="120"/>
      <c r="M84" s="14"/>
      <c r="N84" s="14"/>
      <c r="O84" s="120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5">
      <c r="A85" s="14"/>
      <c r="B85" s="14"/>
      <c r="C85" s="14"/>
      <c r="D85" s="15"/>
      <c r="E85" s="25"/>
      <c r="F85" s="14"/>
      <c r="G85" s="14"/>
      <c r="H85" s="14"/>
      <c r="I85" s="14"/>
      <c r="J85" s="120"/>
      <c r="K85" s="120"/>
      <c r="L85" s="120"/>
      <c r="M85" s="14"/>
      <c r="N85" s="14"/>
      <c r="O85" s="120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5">
      <c r="A86" s="14"/>
      <c r="B86" s="14"/>
      <c r="C86" s="14"/>
      <c r="D86" s="15"/>
      <c r="E86" s="25"/>
      <c r="F86" s="14"/>
      <c r="G86" s="14"/>
      <c r="H86" s="14"/>
      <c r="I86" s="14"/>
      <c r="J86" s="120"/>
      <c r="K86" s="120"/>
      <c r="L86" s="120"/>
      <c r="M86" s="14"/>
      <c r="N86" s="14"/>
      <c r="O86" s="120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5">
      <c r="A87" s="14"/>
      <c r="B87" s="14"/>
      <c r="C87" s="14"/>
      <c r="D87" s="15"/>
      <c r="E87" s="25"/>
      <c r="F87" s="14"/>
      <c r="G87" s="14"/>
      <c r="H87" s="14"/>
      <c r="I87" s="14"/>
      <c r="J87" s="120"/>
      <c r="K87" s="120"/>
      <c r="L87" s="120"/>
      <c r="M87" s="14"/>
      <c r="N87" s="14"/>
      <c r="O87" s="120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5">
      <c r="A88" s="14"/>
      <c r="B88" s="14"/>
      <c r="C88" s="14"/>
      <c r="D88" s="15"/>
      <c r="E88" s="25"/>
      <c r="F88" s="14"/>
      <c r="G88" s="14"/>
      <c r="H88" s="14"/>
      <c r="I88" s="14"/>
      <c r="J88" s="120"/>
      <c r="K88" s="120"/>
      <c r="L88" s="120"/>
      <c r="M88" s="14"/>
      <c r="N88" s="14"/>
      <c r="O88" s="120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5">
      <c r="A89" s="14"/>
      <c r="B89" s="14"/>
      <c r="C89" s="14"/>
      <c r="D89" s="15"/>
      <c r="E89" s="25"/>
      <c r="F89" s="14"/>
      <c r="G89" s="14"/>
      <c r="H89" s="14"/>
      <c r="I89" s="14"/>
      <c r="J89" s="120"/>
      <c r="K89" s="120"/>
      <c r="L89" s="120"/>
      <c r="M89" s="14"/>
      <c r="N89" s="14"/>
      <c r="O89" s="120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5">
      <c r="A90" s="14"/>
      <c r="B90" s="14"/>
      <c r="C90" s="14"/>
      <c r="D90" s="15"/>
      <c r="E90" s="25"/>
      <c r="F90" s="14"/>
      <c r="G90" s="14"/>
      <c r="H90" s="14"/>
      <c r="I90" s="14"/>
      <c r="J90" s="120"/>
      <c r="K90" s="120"/>
      <c r="L90" s="120"/>
      <c r="M90" s="14"/>
      <c r="N90" s="14"/>
      <c r="O90" s="120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5">
      <c r="A91" s="14"/>
      <c r="B91" s="14"/>
      <c r="C91" s="14"/>
      <c r="D91" s="15"/>
      <c r="E91" s="25"/>
      <c r="F91" s="14"/>
      <c r="G91" s="14"/>
      <c r="H91" s="14"/>
      <c r="I91" s="14"/>
      <c r="J91" s="120"/>
      <c r="K91" s="120"/>
      <c r="L91" s="120"/>
      <c r="M91" s="14"/>
      <c r="N91" s="14"/>
      <c r="O91" s="120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5">
      <c r="A92" s="14"/>
      <c r="B92" s="14"/>
      <c r="C92" s="14"/>
      <c r="D92" s="15"/>
      <c r="E92" s="25"/>
      <c r="F92" s="14"/>
      <c r="G92" s="14"/>
      <c r="H92" s="14"/>
      <c r="I92" s="14"/>
      <c r="J92" s="120"/>
      <c r="K92" s="120"/>
      <c r="L92" s="120"/>
      <c r="M92" s="14"/>
      <c r="N92" s="14"/>
      <c r="O92" s="120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5">
      <c r="A93" s="14"/>
      <c r="B93" s="14"/>
      <c r="C93" s="14"/>
      <c r="D93" s="15"/>
      <c r="E93" s="25"/>
      <c r="F93" s="14"/>
      <c r="G93" s="14"/>
      <c r="H93" s="14"/>
      <c r="I93" s="14"/>
      <c r="J93" s="120"/>
      <c r="K93" s="120"/>
      <c r="L93" s="120"/>
      <c r="M93" s="14"/>
      <c r="N93" s="14"/>
      <c r="O93" s="120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5">
      <c r="A94" s="14"/>
      <c r="B94" s="14"/>
      <c r="C94" s="14"/>
      <c r="D94" s="15"/>
      <c r="E94" s="25"/>
      <c r="F94" s="14"/>
      <c r="G94" s="14"/>
      <c r="H94" s="14"/>
      <c r="I94" s="14"/>
      <c r="J94" s="120"/>
      <c r="K94" s="120"/>
      <c r="L94" s="120"/>
      <c r="M94" s="14"/>
      <c r="N94" s="14"/>
      <c r="O94" s="120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5">
      <c r="A95" s="14"/>
      <c r="B95" s="14"/>
      <c r="C95" s="14"/>
      <c r="D95" s="15"/>
      <c r="E95" s="25"/>
      <c r="F95" s="14"/>
      <c r="G95" s="14"/>
      <c r="H95" s="14"/>
      <c r="I95" s="14"/>
      <c r="J95" s="120"/>
      <c r="K95" s="120"/>
      <c r="L95" s="120"/>
      <c r="M95" s="14"/>
      <c r="N95" s="14"/>
      <c r="O95" s="120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5">
      <c r="A96" s="14"/>
      <c r="B96" s="14"/>
      <c r="C96" s="14"/>
      <c r="D96" s="15"/>
      <c r="E96" s="25"/>
      <c r="F96" s="14"/>
      <c r="G96" s="14"/>
      <c r="H96" s="14"/>
      <c r="I96" s="14"/>
      <c r="J96" s="120"/>
      <c r="K96" s="120"/>
      <c r="L96" s="120"/>
      <c r="M96" s="14"/>
      <c r="N96" s="14"/>
      <c r="O96" s="120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5">
      <c r="A97" s="14"/>
      <c r="B97" s="14"/>
      <c r="C97" s="14"/>
      <c r="D97" s="15"/>
      <c r="E97" s="25"/>
      <c r="F97" s="14"/>
      <c r="G97" s="14"/>
      <c r="H97" s="14"/>
      <c r="I97" s="14"/>
      <c r="J97" s="120"/>
      <c r="K97" s="120"/>
      <c r="L97" s="120"/>
      <c r="M97" s="14"/>
      <c r="N97" s="14"/>
      <c r="O97" s="120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5">
      <c r="A98" s="14"/>
      <c r="B98" s="14"/>
      <c r="C98" s="14"/>
      <c r="D98" s="15"/>
      <c r="E98" s="25"/>
      <c r="F98" s="14"/>
      <c r="G98" s="14"/>
      <c r="H98" s="14"/>
      <c r="I98" s="14"/>
      <c r="J98" s="120"/>
      <c r="K98" s="120"/>
      <c r="L98" s="120"/>
      <c r="M98" s="14"/>
      <c r="N98" s="14"/>
      <c r="O98" s="120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5">
      <c r="A99" s="14"/>
      <c r="B99" s="14"/>
      <c r="C99" s="14"/>
      <c r="D99" s="15"/>
      <c r="E99" s="25"/>
      <c r="F99" s="14"/>
      <c r="G99" s="14"/>
      <c r="H99" s="14"/>
      <c r="I99" s="14"/>
      <c r="J99" s="120"/>
      <c r="K99" s="120"/>
      <c r="L99" s="120"/>
      <c r="M99" s="14"/>
      <c r="N99" s="14"/>
      <c r="O99" s="120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5">
      <c r="A100" s="14"/>
      <c r="B100" s="14"/>
      <c r="C100" s="14"/>
      <c r="D100" s="15"/>
      <c r="E100" s="25"/>
      <c r="F100" s="14"/>
      <c r="G100" s="14"/>
      <c r="H100" s="14"/>
      <c r="I100" s="14"/>
      <c r="J100" s="120"/>
      <c r="K100" s="120"/>
      <c r="L100" s="120"/>
      <c r="M100" s="14"/>
      <c r="N100" s="14"/>
      <c r="O100" s="120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5">
      <c r="A101" s="14"/>
      <c r="B101" s="14"/>
      <c r="C101" s="14"/>
      <c r="D101" s="15"/>
      <c r="E101" s="25"/>
      <c r="F101" s="14"/>
      <c r="G101" s="14"/>
      <c r="H101" s="14"/>
      <c r="I101" s="14"/>
      <c r="J101" s="120"/>
      <c r="K101" s="120"/>
      <c r="L101" s="120"/>
      <c r="M101" s="14"/>
      <c r="N101" s="14"/>
      <c r="O101" s="120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5">
      <c r="A102" s="14"/>
      <c r="B102" s="14"/>
      <c r="C102" s="14"/>
      <c r="D102" s="15"/>
      <c r="E102" s="25"/>
      <c r="F102" s="14"/>
      <c r="G102" s="14"/>
      <c r="H102" s="14"/>
      <c r="I102" s="14"/>
      <c r="J102" s="120"/>
      <c r="K102" s="120"/>
      <c r="L102" s="120"/>
      <c r="M102" s="14"/>
      <c r="N102" s="14"/>
      <c r="O102" s="120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5">
      <c r="A103" s="14"/>
      <c r="B103" s="14"/>
      <c r="C103" s="14"/>
      <c r="D103" s="15"/>
      <c r="E103" s="25"/>
      <c r="F103" s="14"/>
      <c r="G103" s="14"/>
      <c r="H103" s="14"/>
      <c r="I103" s="14"/>
      <c r="J103" s="120"/>
      <c r="K103" s="120"/>
      <c r="L103" s="120"/>
      <c r="M103" s="14"/>
      <c r="N103" s="14"/>
      <c r="O103" s="120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5">
      <c r="A104" s="14"/>
      <c r="B104" s="14"/>
      <c r="C104" s="14"/>
      <c r="D104" s="15"/>
      <c r="E104" s="25"/>
      <c r="F104" s="14"/>
      <c r="G104" s="14"/>
      <c r="H104" s="14"/>
      <c r="I104" s="14"/>
      <c r="J104" s="120"/>
      <c r="K104" s="120"/>
      <c r="L104" s="120"/>
      <c r="M104" s="14"/>
      <c r="N104" s="14"/>
      <c r="O104" s="120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5">
      <c r="A105" s="14"/>
      <c r="B105" s="14"/>
      <c r="C105" s="14"/>
      <c r="D105" s="15"/>
      <c r="E105" s="25"/>
      <c r="F105" s="14"/>
      <c r="G105" s="14"/>
      <c r="H105" s="14"/>
      <c r="I105" s="14"/>
      <c r="J105" s="120"/>
      <c r="K105" s="120"/>
      <c r="L105" s="120"/>
      <c r="M105" s="14"/>
      <c r="N105" s="14"/>
      <c r="O105" s="120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5">
      <c r="A106" s="14"/>
      <c r="B106" s="14"/>
      <c r="C106" s="14"/>
      <c r="D106" s="15"/>
      <c r="E106" s="25"/>
      <c r="F106" s="14"/>
      <c r="G106" s="14"/>
      <c r="H106" s="14"/>
      <c r="I106" s="14"/>
      <c r="J106" s="120"/>
      <c r="K106" s="120"/>
      <c r="L106" s="120"/>
      <c r="M106" s="14"/>
      <c r="N106" s="14"/>
      <c r="O106" s="120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5">
      <c r="A107" s="14"/>
      <c r="B107" s="14"/>
      <c r="C107" s="14"/>
      <c r="D107" s="15"/>
      <c r="E107" s="25"/>
      <c r="F107" s="14"/>
      <c r="G107" s="14"/>
      <c r="H107" s="14"/>
      <c r="I107" s="14"/>
      <c r="J107" s="120"/>
      <c r="K107" s="120"/>
      <c r="L107" s="120"/>
      <c r="M107" s="14"/>
      <c r="N107" s="14"/>
      <c r="O107" s="120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5">
      <c r="A108" s="14"/>
      <c r="B108" s="14"/>
      <c r="C108" s="14"/>
      <c r="D108" s="15"/>
      <c r="E108" s="25"/>
      <c r="F108" s="14"/>
      <c r="G108" s="14"/>
      <c r="H108" s="14"/>
      <c r="I108" s="14"/>
      <c r="J108" s="120"/>
      <c r="K108" s="120"/>
      <c r="L108" s="120"/>
      <c r="M108" s="14"/>
      <c r="N108" s="14"/>
      <c r="O108" s="120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5">
      <c r="A109" s="14"/>
      <c r="B109" s="14"/>
      <c r="C109" s="14"/>
      <c r="D109" s="15"/>
      <c r="E109" s="25"/>
      <c r="F109" s="14"/>
      <c r="G109" s="14"/>
      <c r="H109" s="14"/>
      <c r="I109" s="14"/>
      <c r="J109" s="120"/>
      <c r="K109" s="120"/>
      <c r="L109" s="120"/>
      <c r="M109" s="14"/>
      <c r="N109" s="14"/>
      <c r="O109" s="120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5">
      <c r="A110" s="14"/>
      <c r="B110" s="14"/>
      <c r="C110" s="14"/>
      <c r="D110" s="15"/>
      <c r="E110" s="25"/>
      <c r="F110" s="14"/>
      <c r="G110" s="14"/>
      <c r="H110" s="14"/>
      <c r="I110" s="14"/>
      <c r="J110" s="120"/>
      <c r="K110" s="120"/>
      <c r="L110" s="120"/>
      <c r="M110" s="14"/>
      <c r="N110" s="14"/>
      <c r="O110" s="120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5">
      <c r="A111" s="14"/>
      <c r="B111" s="14"/>
      <c r="C111" s="14"/>
      <c r="D111" s="15"/>
      <c r="E111" s="25"/>
      <c r="F111" s="14"/>
      <c r="G111" s="14"/>
      <c r="H111" s="14"/>
      <c r="I111" s="14"/>
      <c r="J111" s="120"/>
      <c r="K111" s="120"/>
      <c r="L111" s="120"/>
      <c r="M111" s="14"/>
      <c r="N111" s="14"/>
      <c r="O111" s="120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5">
      <c r="A112" s="14"/>
      <c r="B112" s="14"/>
      <c r="C112" s="14"/>
      <c r="D112" s="15"/>
      <c r="E112" s="25"/>
      <c r="F112" s="14"/>
      <c r="G112" s="14"/>
      <c r="H112" s="14"/>
      <c r="I112" s="14"/>
      <c r="J112" s="120"/>
      <c r="K112" s="120"/>
      <c r="L112" s="120"/>
      <c r="M112" s="14"/>
      <c r="N112" s="14"/>
      <c r="O112" s="120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5">
      <c r="A113" s="14"/>
      <c r="B113" s="14"/>
      <c r="C113" s="14"/>
      <c r="D113" s="15"/>
      <c r="E113" s="25"/>
      <c r="F113" s="14"/>
      <c r="G113" s="14"/>
      <c r="H113" s="14"/>
      <c r="I113" s="14"/>
      <c r="J113" s="120"/>
      <c r="K113" s="120"/>
      <c r="L113" s="120"/>
      <c r="M113" s="14"/>
      <c r="N113" s="14"/>
      <c r="O113" s="120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5">
      <c r="A114" s="14"/>
      <c r="B114" s="14"/>
      <c r="C114" s="14"/>
      <c r="D114" s="15"/>
      <c r="E114" s="25"/>
      <c r="F114" s="14"/>
      <c r="G114" s="14"/>
      <c r="H114" s="14"/>
      <c r="I114" s="14"/>
      <c r="J114" s="120"/>
      <c r="K114" s="120"/>
      <c r="L114" s="120"/>
      <c r="M114" s="14"/>
      <c r="N114" s="14"/>
      <c r="O114" s="120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5">
      <c r="A115" s="14"/>
      <c r="B115" s="14"/>
      <c r="C115" s="14"/>
      <c r="D115" s="15"/>
      <c r="E115" s="25"/>
      <c r="F115" s="14"/>
      <c r="G115" s="14"/>
      <c r="H115" s="14"/>
      <c r="I115" s="14"/>
      <c r="J115" s="120"/>
      <c r="K115" s="120"/>
      <c r="L115" s="120"/>
      <c r="M115" s="14"/>
      <c r="N115" s="14"/>
      <c r="O115" s="120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5">
      <c r="A116" s="14"/>
      <c r="B116" s="14"/>
      <c r="C116" s="14"/>
      <c r="D116" s="15"/>
      <c r="E116" s="25"/>
      <c r="F116" s="14"/>
      <c r="G116" s="14"/>
      <c r="H116" s="14"/>
      <c r="I116" s="14"/>
      <c r="J116" s="120"/>
      <c r="K116" s="120"/>
      <c r="L116" s="120"/>
      <c r="M116" s="14"/>
      <c r="N116" s="14"/>
      <c r="O116" s="120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5">
      <c r="A117" s="14"/>
      <c r="B117" s="14"/>
      <c r="C117" s="14"/>
      <c r="D117" s="15"/>
      <c r="E117" s="25"/>
      <c r="F117" s="14"/>
      <c r="G117" s="14"/>
      <c r="H117" s="14"/>
      <c r="I117" s="14"/>
      <c r="J117" s="120"/>
      <c r="K117" s="120"/>
      <c r="L117" s="120"/>
      <c r="M117" s="14"/>
      <c r="N117" s="14"/>
      <c r="O117" s="120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5">
      <c r="A118" s="14"/>
      <c r="B118" s="14"/>
      <c r="C118" s="14"/>
      <c r="D118" s="15"/>
      <c r="E118" s="25"/>
      <c r="F118" s="14"/>
      <c r="G118" s="14"/>
      <c r="H118" s="14"/>
      <c r="I118" s="14"/>
      <c r="J118" s="120"/>
      <c r="K118" s="120"/>
      <c r="L118" s="120"/>
      <c r="M118" s="14"/>
      <c r="N118" s="14"/>
      <c r="O118" s="120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5">
      <c r="A119" s="14"/>
      <c r="B119" s="14"/>
      <c r="C119" s="14"/>
      <c r="D119" s="15"/>
      <c r="E119" s="25"/>
      <c r="F119" s="14"/>
      <c r="G119" s="14"/>
      <c r="H119" s="14"/>
      <c r="I119" s="14"/>
      <c r="J119" s="120"/>
      <c r="K119" s="120"/>
      <c r="L119" s="120"/>
      <c r="M119" s="14"/>
      <c r="N119" s="14"/>
      <c r="O119" s="120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5">
      <c r="A120" s="14"/>
      <c r="B120" s="14"/>
      <c r="C120" s="14"/>
      <c r="D120" s="15"/>
      <c r="E120" s="25"/>
      <c r="F120" s="14"/>
      <c r="G120" s="14"/>
      <c r="H120" s="14"/>
      <c r="I120" s="14"/>
      <c r="J120" s="120"/>
      <c r="K120" s="120"/>
      <c r="L120" s="120"/>
      <c r="M120" s="14"/>
      <c r="N120" s="14"/>
      <c r="O120" s="120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5">
      <c r="A121" s="14"/>
      <c r="B121" s="14"/>
      <c r="C121" s="14"/>
      <c r="D121" s="15"/>
      <c r="E121" s="25"/>
      <c r="F121" s="14"/>
      <c r="G121" s="14"/>
      <c r="H121" s="14"/>
      <c r="I121" s="14"/>
      <c r="J121" s="120"/>
      <c r="K121" s="120"/>
      <c r="L121" s="120"/>
      <c r="M121" s="14"/>
      <c r="N121" s="14"/>
      <c r="O121" s="120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5">
      <c r="A122" s="14"/>
      <c r="B122" s="14"/>
      <c r="C122" s="14"/>
      <c r="D122" s="15"/>
      <c r="E122" s="25"/>
      <c r="F122" s="14"/>
      <c r="G122" s="14"/>
      <c r="H122" s="14"/>
      <c r="I122" s="14"/>
      <c r="J122" s="120"/>
      <c r="K122" s="120"/>
      <c r="L122" s="120"/>
      <c r="M122" s="14"/>
      <c r="N122" s="14"/>
      <c r="O122" s="120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5">
      <c r="A123" s="14"/>
      <c r="B123" s="14"/>
      <c r="C123" s="14"/>
      <c r="D123" s="15"/>
      <c r="E123" s="25"/>
      <c r="F123" s="14"/>
      <c r="G123" s="14"/>
      <c r="H123" s="14"/>
      <c r="I123" s="14"/>
      <c r="J123" s="120"/>
      <c r="K123" s="120"/>
      <c r="L123" s="120"/>
      <c r="M123" s="14"/>
      <c r="N123" s="14"/>
      <c r="O123" s="120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5">
      <c r="A124" s="14"/>
      <c r="B124" s="14"/>
      <c r="C124" s="14"/>
      <c r="D124" s="15"/>
      <c r="E124" s="25"/>
      <c r="F124" s="14"/>
      <c r="G124" s="14"/>
      <c r="H124" s="14"/>
      <c r="I124" s="14"/>
      <c r="J124" s="120"/>
      <c r="K124" s="120"/>
      <c r="L124" s="120"/>
      <c r="M124" s="14"/>
      <c r="N124" s="14"/>
      <c r="O124" s="120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5">
      <c r="A125" s="14"/>
      <c r="B125" s="14"/>
      <c r="C125" s="14"/>
      <c r="D125" s="15"/>
      <c r="E125" s="25"/>
      <c r="F125" s="14"/>
      <c r="G125" s="14"/>
      <c r="H125" s="14"/>
      <c r="I125" s="14"/>
      <c r="J125" s="120"/>
      <c r="K125" s="120"/>
      <c r="L125" s="120"/>
      <c r="M125" s="14"/>
      <c r="N125" s="14"/>
      <c r="O125" s="120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5">
      <c r="A126" s="14"/>
      <c r="B126" s="14"/>
      <c r="C126" s="14"/>
      <c r="D126" s="15"/>
      <c r="E126" s="25"/>
      <c r="F126" s="14"/>
      <c r="G126" s="14"/>
      <c r="H126" s="14"/>
      <c r="I126" s="14"/>
      <c r="J126" s="120"/>
      <c r="K126" s="120"/>
      <c r="L126" s="120"/>
      <c r="M126" s="14"/>
      <c r="N126" s="14"/>
      <c r="O126" s="120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5">
      <c r="A127" s="14"/>
      <c r="B127" s="14"/>
      <c r="C127" s="14"/>
      <c r="D127" s="15"/>
      <c r="E127" s="25"/>
      <c r="F127" s="14"/>
      <c r="G127" s="14"/>
      <c r="H127" s="14"/>
      <c r="I127" s="14"/>
      <c r="J127" s="120"/>
      <c r="K127" s="120"/>
      <c r="L127" s="120"/>
      <c r="M127" s="14"/>
      <c r="N127" s="14"/>
      <c r="O127" s="120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5">
      <c r="A128" s="14"/>
      <c r="B128" s="14"/>
      <c r="C128" s="14"/>
      <c r="D128" s="15"/>
      <c r="E128" s="25"/>
      <c r="F128" s="14"/>
      <c r="G128" s="14"/>
      <c r="H128" s="14"/>
      <c r="I128" s="14"/>
      <c r="J128" s="120"/>
      <c r="K128" s="120"/>
      <c r="L128" s="120"/>
      <c r="M128" s="14"/>
      <c r="N128" s="14"/>
      <c r="O128" s="120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5">
      <c r="A129" s="14"/>
      <c r="B129" s="14"/>
      <c r="C129" s="14"/>
      <c r="D129" s="15"/>
      <c r="E129" s="25"/>
      <c r="F129" s="14"/>
      <c r="G129" s="14"/>
      <c r="H129" s="14"/>
      <c r="I129" s="14"/>
      <c r="J129" s="120"/>
      <c r="K129" s="120"/>
      <c r="L129" s="120"/>
      <c r="M129" s="14"/>
      <c r="N129" s="14"/>
      <c r="O129" s="120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5">
      <c r="A130" s="14"/>
      <c r="B130" s="14"/>
      <c r="C130" s="14"/>
      <c r="D130" s="15"/>
      <c r="E130" s="25"/>
      <c r="F130" s="14"/>
      <c r="G130" s="14"/>
      <c r="H130" s="14"/>
      <c r="I130" s="14"/>
      <c r="J130" s="120"/>
      <c r="K130" s="120"/>
      <c r="L130" s="120"/>
      <c r="M130" s="14"/>
      <c r="N130" s="14"/>
      <c r="O130" s="120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5">
      <c r="A131" s="14"/>
      <c r="B131" s="14"/>
      <c r="C131" s="14"/>
      <c r="D131" s="15"/>
      <c r="E131" s="25"/>
      <c r="F131" s="14"/>
      <c r="G131" s="14"/>
      <c r="H131" s="14"/>
      <c r="I131" s="14"/>
      <c r="J131" s="120"/>
      <c r="K131" s="120"/>
      <c r="L131" s="120"/>
      <c r="M131" s="14"/>
      <c r="N131" s="14"/>
      <c r="O131" s="120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5">
      <c r="A132" s="14"/>
      <c r="B132" s="14"/>
      <c r="C132" s="14"/>
      <c r="D132" s="15"/>
      <c r="E132" s="25"/>
      <c r="F132" s="14"/>
      <c r="G132" s="14"/>
      <c r="H132" s="14"/>
      <c r="I132" s="14"/>
      <c r="J132" s="120"/>
      <c r="K132" s="120"/>
      <c r="L132" s="120"/>
      <c r="M132" s="14"/>
      <c r="N132" s="14"/>
      <c r="O132" s="120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5">
      <c r="A133" s="14"/>
      <c r="B133" s="14"/>
      <c r="C133" s="14"/>
      <c r="D133" s="15"/>
      <c r="E133" s="25"/>
      <c r="F133" s="14"/>
      <c r="G133" s="14"/>
      <c r="H133" s="14"/>
      <c r="I133" s="14"/>
      <c r="J133" s="120"/>
      <c r="K133" s="120"/>
      <c r="L133" s="120"/>
      <c r="M133" s="14"/>
      <c r="N133" s="14"/>
      <c r="O133" s="120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5">
      <c r="A134" s="14"/>
      <c r="B134" s="14"/>
      <c r="C134" s="14"/>
      <c r="D134" s="15"/>
      <c r="E134" s="25"/>
      <c r="F134" s="14"/>
      <c r="G134" s="14"/>
      <c r="H134" s="14"/>
      <c r="I134" s="14"/>
      <c r="J134" s="120"/>
      <c r="K134" s="120"/>
      <c r="L134" s="120"/>
      <c r="M134" s="14"/>
      <c r="N134" s="14"/>
      <c r="O134" s="120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5">
      <c r="A135" s="14"/>
      <c r="B135" s="14"/>
      <c r="C135" s="14"/>
      <c r="D135" s="15"/>
      <c r="E135" s="25"/>
      <c r="F135" s="14"/>
      <c r="G135" s="14"/>
      <c r="H135" s="14"/>
      <c r="I135" s="14"/>
      <c r="J135" s="120"/>
      <c r="K135" s="120"/>
      <c r="L135" s="120"/>
      <c r="M135" s="14"/>
      <c r="N135" s="14"/>
      <c r="O135" s="120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5">
      <c r="A136" s="14"/>
      <c r="B136" s="14"/>
      <c r="C136" s="14"/>
      <c r="D136" s="15"/>
      <c r="E136" s="25"/>
      <c r="F136" s="14"/>
      <c r="G136" s="14"/>
      <c r="H136" s="14"/>
      <c r="I136" s="14"/>
      <c r="J136" s="120"/>
      <c r="K136" s="120"/>
      <c r="L136" s="120"/>
      <c r="M136" s="14"/>
      <c r="N136" s="14"/>
      <c r="O136" s="120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5">
      <c r="A137" s="14"/>
      <c r="B137" s="14"/>
      <c r="C137" s="14"/>
      <c r="D137" s="15"/>
      <c r="E137" s="25"/>
      <c r="F137" s="14"/>
      <c r="G137" s="14"/>
      <c r="H137" s="14"/>
      <c r="I137" s="14"/>
      <c r="J137" s="120"/>
      <c r="K137" s="120"/>
      <c r="L137" s="120"/>
      <c r="M137" s="14"/>
      <c r="N137" s="14"/>
      <c r="O137" s="120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5">
      <c r="A138" s="14"/>
      <c r="B138" s="14"/>
      <c r="C138" s="14"/>
      <c r="D138" s="15"/>
      <c r="E138" s="25"/>
      <c r="F138" s="14"/>
      <c r="G138" s="14"/>
      <c r="H138" s="14"/>
      <c r="I138" s="14"/>
      <c r="J138" s="120"/>
      <c r="K138" s="120"/>
      <c r="L138" s="120"/>
      <c r="M138" s="14"/>
      <c r="N138" s="14"/>
      <c r="O138" s="120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5">
      <c r="A139" s="14"/>
      <c r="B139" s="14"/>
      <c r="C139" s="14"/>
      <c r="D139" s="15"/>
      <c r="E139" s="25"/>
      <c r="F139" s="14"/>
      <c r="G139" s="14"/>
      <c r="H139" s="14"/>
      <c r="I139" s="14"/>
      <c r="J139" s="120"/>
      <c r="K139" s="120"/>
      <c r="L139" s="120"/>
      <c r="M139" s="14"/>
      <c r="N139" s="14"/>
      <c r="O139" s="120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5">
      <c r="A140" s="14"/>
      <c r="B140" s="14"/>
      <c r="C140" s="14"/>
      <c r="D140" s="15"/>
      <c r="E140" s="25"/>
      <c r="F140" s="14"/>
      <c r="G140" s="14"/>
      <c r="H140" s="14"/>
      <c r="I140" s="14"/>
      <c r="J140" s="120"/>
      <c r="K140" s="120"/>
      <c r="L140" s="120"/>
      <c r="M140" s="14"/>
      <c r="N140" s="14"/>
      <c r="O140" s="120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5">
      <c r="A141" s="14"/>
      <c r="B141" s="14"/>
      <c r="C141" s="14"/>
      <c r="D141" s="15"/>
      <c r="E141" s="25"/>
      <c r="F141" s="14"/>
      <c r="G141" s="14"/>
      <c r="H141" s="14"/>
      <c r="I141" s="14"/>
      <c r="J141" s="120"/>
      <c r="K141" s="120"/>
      <c r="L141" s="120"/>
      <c r="M141" s="14"/>
      <c r="N141" s="14"/>
      <c r="O141" s="120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5">
      <c r="A142" s="14"/>
      <c r="B142" s="14"/>
      <c r="C142" s="14"/>
      <c r="D142" s="15"/>
      <c r="E142" s="25"/>
      <c r="F142" s="14"/>
      <c r="G142" s="14"/>
      <c r="H142" s="14"/>
      <c r="I142" s="14"/>
      <c r="J142" s="120"/>
      <c r="K142" s="120"/>
      <c r="L142" s="120"/>
      <c r="M142" s="14"/>
      <c r="N142" s="14"/>
      <c r="O142" s="120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5">
      <c r="A143" s="14"/>
      <c r="B143" s="14"/>
      <c r="C143" s="14"/>
      <c r="D143" s="15"/>
      <c r="E143" s="25"/>
      <c r="F143" s="14"/>
      <c r="G143" s="14"/>
      <c r="H143" s="14"/>
      <c r="I143" s="14"/>
      <c r="J143" s="120"/>
      <c r="K143" s="120"/>
      <c r="L143" s="120"/>
      <c r="M143" s="14"/>
      <c r="N143" s="14"/>
      <c r="O143" s="120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5">
      <c r="A144" s="14"/>
      <c r="B144" s="14"/>
      <c r="C144" s="14"/>
      <c r="D144" s="15"/>
      <c r="E144" s="25"/>
      <c r="F144" s="14"/>
      <c r="G144" s="14"/>
      <c r="H144" s="14"/>
      <c r="I144" s="14"/>
      <c r="J144" s="120"/>
      <c r="K144" s="120"/>
      <c r="L144" s="120"/>
      <c r="M144" s="14"/>
      <c r="N144" s="14"/>
      <c r="O144" s="120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5">
      <c r="A145" s="14"/>
      <c r="B145" s="14"/>
      <c r="C145" s="14"/>
      <c r="D145" s="15"/>
      <c r="E145" s="25"/>
      <c r="F145" s="14"/>
      <c r="G145" s="14"/>
      <c r="H145" s="14"/>
      <c r="I145" s="14"/>
      <c r="J145" s="120"/>
      <c r="K145" s="120"/>
      <c r="L145" s="120"/>
      <c r="M145" s="14"/>
      <c r="N145" s="14"/>
      <c r="O145" s="120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5">
      <c r="A146" s="14"/>
      <c r="B146" s="14"/>
      <c r="C146" s="14"/>
      <c r="D146" s="15"/>
      <c r="E146" s="25"/>
      <c r="F146" s="14"/>
      <c r="G146" s="14"/>
      <c r="H146" s="14"/>
      <c r="I146" s="14"/>
      <c r="J146" s="120"/>
      <c r="K146" s="120"/>
      <c r="L146" s="120"/>
      <c r="M146" s="14"/>
      <c r="N146" s="14"/>
      <c r="O146" s="120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5">
      <c r="A147" s="14"/>
      <c r="B147" s="14"/>
      <c r="C147" s="14"/>
      <c r="D147" s="15"/>
      <c r="E147" s="25"/>
      <c r="F147" s="14"/>
      <c r="G147" s="14"/>
      <c r="H147" s="14"/>
      <c r="I147" s="14"/>
      <c r="J147" s="120"/>
      <c r="K147" s="120"/>
      <c r="L147" s="120"/>
      <c r="M147" s="14"/>
      <c r="N147" s="14"/>
      <c r="O147" s="120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5">
      <c r="A148" s="14"/>
      <c r="B148" s="14"/>
      <c r="C148" s="14"/>
      <c r="D148" s="15"/>
      <c r="E148" s="25"/>
      <c r="F148" s="14"/>
      <c r="G148" s="14"/>
      <c r="H148" s="14"/>
      <c r="I148" s="14"/>
      <c r="J148" s="120"/>
      <c r="K148" s="120"/>
      <c r="L148" s="120"/>
      <c r="M148" s="14"/>
      <c r="N148" s="14"/>
      <c r="O148" s="120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5">
      <c r="A149" s="14"/>
      <c r="B149" s="14"/>
      <c r="C149" s="14"/>
      <c r="D149" s="15"/>
      <c r="E149" s="25"/>
      <c r="F149" s="14"/>
      <c r="G149" s="14"/>
      <c r="H149" s="14"/>
      <c r="I149" s="14"/>
      <c r="J149" s="120"/>
      <c r="K149" s="120"/>
      <c r="L149" s="120"/>
      <c r="M149" s="14"/>
      <c r="N149" s="14"/>
      <c r="O149" s="120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5">
      <c r="A150" s="14"/>
      <c r="B150" s="14"/>
      <c r="C150" s="14"/>
      <c r="D150" s="15"/>
      <c r="E150" s="25"/>
      <c r="F150" s="14"/>
      <c r="G150" s="14"/>
      <c r="H150" s="14"/>
      <c r="I150" s="14"/>
      <c r="J150" s="120"/>
      <c r="K150" s="120"/>
      <c r="L150" s="120"/>
      <c r="M150" s="14"/>
      <c r="N150" s="14"/>
      <c r="O150" s="120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5">
      <c r="A151" s="14"/>
      <c r="B151" s="14"/>
      <c r="C151" s="14"/>
      <c r="D151" s="15"/>
      <c r="E151" s="25"/>
      <c r="F151" s="14"/>
      <c r="G151" s="14"/>
      <c r="H151" s="14"/>
      <c r="I151" s="14"/>
      <c r="J151" s="120"/>
      <c r="K151" s="120"/>
      <c r="L151" s="120"/>
      <c r="M151" s="14"/>
      <c r="N151" s="14"/>
      <c r="O151" s="120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5">
      <c r="A152" s="14"/>
      <c r="B152" s="14"/>
      <c r="C152" s="14"/>
      <c r="D152" s="15"/>
      <c r="E152" s="25"/>
      <c r="F152" s="14"/>
      <c r="G152" s="14"/>
      <c r="H152" s="14"/>
      <c r="I152" s="14"/>
      <c r="J152" s="120"/>
      <c r="K152" s="120"/>
      <c r="L152" s="120"/>
      <c r="M152" s="14"/>
      <c r="N152" s="14"/>
      <c r="O152" s="120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5">
      <c r="A153" s="14"/>
      <c r="B153" s="14"/>
      <c r="C153" s="14"/>
      <c r="D153" s="15"/>
      <c r="E153" s="25"/>
      <c r="F153" s="14"/>
      <c r="G153" s="14"/>
      <c r="H153" s="14"/>
      <c r="I153" s="14"/>
      <c r="J153" s="120"/>
      <c r="K153" s="120"/>
      <c r="L153" s="120"/>
      <c r="M153" s="14"/>
      <c r="N153" s="14"/>
      <c r="O153" s="120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5">
      <c r="A154" s="14"/>
      <c r="B154" s="14"/>
      <c r="C154" s="14"/>
      <c r="D154" s="15"/>
      <c r="E154" s="25"/>
      <c r="F154" s="14"/>
      <c r="G154" s="14"/>
      <c r="H154" s="14"/>
      <c r="I154" s="14"/>
      <c r="J154" s="120"/>
      <c r="K154" s="120"/>
      <c r="L154" s="120"/>
      <c r="M154" s="14"/>
      <c r="N154" s="14"/>
      <c r="O154" s="120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5">
      <c r="A155" s="14"/>
      <c r="B155" s="14"/>
      <c r="C155" s="14"/>
      <c r="D155" s="15"/>
      <c r="E155" s="25"/>
      <c r="F155" s="14"/>
      <c r="G155" s="14"/>
      <c r="H155" s="14"/>
      <c r="I155" s="14"/>
      <c r="J155" s="120"/>
      <c r="K155" s="120"/>
      <c r="L155" s="120"/>
      <c r="M155" s="14"/>
      <c r="N155" s="14"/>
      <c r="O155" s="120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5">
      <c r="A156" s="14"/>
      <c r="B156" s="14"/>
      <c r="C156" s="14"/>
      <c r="D156" s="15"/>
      <c r="E156" s="25"/>
      <c r="F156" s="14"/>
      <c r="G156" s="14"/>
      <c r="H156" s="14"/>
      <c r="I156" s="14"/>
      <c r="J156" s="120"/>
      <c r="K156" s="120"/>
      <c r="L156" s="120"/>
      <c r="M156" s="14"/>
      <c r="N156" s="14"/>
      <c r="O156" s="120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5">
      <c r="A157" s="14"/>
      <c r="B157" s="14"/>
      <c r="C157" s="14"/>
      <c r="D157" s="15"/>
      <c r="E157" s="25"/>
      <c r="F157" s="14"/>
      <c r="G157" s="14"/>
      <c r="H157" s="14"/>
      <c r="I157" s="14"/>
      <c r="J157" s="120"/>
      <c r="K157" s="120"/>
      <c r="L157" s="120"/>
      <c r="M157" s="14"/>
      <c r="N157" s="14"/>
      <c r="O157" s="120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5">
      <c r="A158" s="14"/>
      <c r="B158" s="14"/>
      <c r="C158" s="14"/>
      <c r="D158" s="15"/>
      <c r="E158" s="25"/>
      <c r="F158" s="14"/>
      <c r="G158" s="14"/>
      <c r="H158" s="14"/>
      <c r="I158" s="14"/>
      <c r="J158" s="120"/>
      <c r="K158" s="120"/>
      <c r="L158" s="120"/>
      <c r="M158" s="14"/>
      <c r="N158" s="14"/>
      <c r="O158" s="120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5">
      <c r="A159" s="14"/>
      <c r="B159" s="14"/>
      <c r="C159" s="14"/>
      <c r="D159" s="15"/>
      <c r="E159" s="25"/>
      <c r="F159" s="14"/>
      <c r="G159" s="14"/>
      <c r="H159" s="14"/>
      <c r="I159" s="14"/>
      <c r="J159" s="120"/>
      <c r="K159" s="120"/>
      <c r="L159" s="120"/>
      <c r="M159" s="14"/>
      <c r="N159" s="14"/>
      <c r="O159" s="120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5">
      <c r="A160" s="14"/>
      <c r="B160" s="14"/>
      <c r="C160" s="14"/>
      <c r="D160" s="15"/>
      <c r="E160" s="25"/>
      <c r="F160" s="14"/>
      <c r="G160" s="14"/>
      <c r="H160" s="14"/>
      <c r="I160" s="14"/>
      <c r="J160" s="120"/>
      <c r="K160" s="120"/>
      <c r="L160" s="120"/>
      <c r="M160" s="14"/>
      <c r="N160" s="14"/>
      <c r="O160" s="120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5">
      <c r="A161" s="14"/>
      <c r="B161" s="14"/>
      <c r="C161" s="14"/>
      <c r="D161" s="15"/>
      <c r="E161" s="25"/>
      <c r="F161" s="14"/>
      <c r="G161" s="14"/>
      <c r="H161" s="14"/>
      <c r="I161" s="14"/>
      <c r="J161" s="120"/>
      <c r="K161" s="120"/>
      <c r="L161" s="120"/>
      <c r="M161" s="14"/>
      <c r="N161" s="14"/>
      <c r="O161" s="120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5">
      <c r="A162" s="14"/>
      <c r="B162" s="14"/>
      <c r="C162" s="14"/>
      <c r="D162" s="15"/>
      <c r="E162" s="25"/>
      <c r="F162" s="14"/>
      <c r="G162" s="14"/>
      <c r="H162" s="14"/>
      <c r="I162" s="14"/>
      <c r="J162" s="120"/>
      <c r="K162" s="120"/>
      <c r="L162" s="120"/>
      <c r="M162" s="14"/>
      <c r="N162" s="14"/>
      <c r="O162" s="120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5">
      <c r="A163" s="14"/>
      <c r="B163" s="14"/>
      <c r="C163" s="14"/>
      <c r="D163" s="15"/>
      <c r="E163" s="25"/>
      <c r="F163" s="14"/>
      <c r="G163" s="14"/>
      <c r="H163" s="14"/>
      <c r="I163" s="14"/>
      <c r="J163" s="120"/>
      <c r="K163" s="120"/>
      <c r="L163" s="120"/>
      <c r="M163" s="14"/>
      <c r="N163" s="14"/>
      <c r="O163" s="120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5">
      <c r="A164" s="14"/>
      <c r="B164" s="14"/>
      <c r="C164" s="14"/>
      <c r="D164" s="15"/>
      <c r="E164" s="25"/>
      <c r="F164" s="14"/>
      <c r="G164" s="14"/>
      <c r="H164" s="14"/>
      <c r="I164" s="14"/>
      <c r="J164" s="120"/>
      <c r="K164" s="120"/>
      <c r="L164" s="120"/>
      <c r="M164" s="14"/>
      <c r="N164" s="14"/>
      <c r="O164" s="120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5">
      <c r="A165" s="14"/>
      <c r="B165" s="14"/>
      <c r="C165" s="14"/>
      <c r="D165" s="15"/>
      <c r="E165" s="25"/>
      <c r="F165" s="14"/>
      <c r="G165" s="14"/>
      <c r="H165" s="14"/>
      <c r="I165" s="14"/>
      <c r="J165" s="120"/>
      <c r="K165" s="120"/>
      <c r="L165" s="120"/>
      <c r="M165" s="14"/>
      <c r="N165" s="14"/>
      <c r="O165" s="120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5">
      <c r="A166" s="14"/>
      <c r="B166" s="14"/>
      <c r="C166" s="14"/>
      <c r="D166" s="15"/>
      <c r="E166" s="25"/>
      <c r="F166" s="14"/>
      <c r="G166" s="14"/>
      <c r="H166" s="14"/>
      <c r="I166" s="14"/>
      <c r="J166" s="120"/>
      <c r="K166" s="120"/>
      <c r="L166" s="120"/>
      <c r="M166" s="14"/>
      <c r="N166" s="14"/>
      <c r="O166" s="120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5">
      <c r="A167" s="14"/>
      <c r="B167" s="14"/>
      <c r="C167" s="14"/>
      <c r="D167" s="15"/>
      <c r="E167" s="25"/>
      <c r="F167" s="14"/>
      <c r="G167" s="14"/>
      <c r="H167" s="14"/>
      <c r="I167" s="14"/>
      <c r="J167" s="120"/>
      <c r="K167" s="120"/>
      <c r="L167" s="120"/>
      <c r="M167" s="14"/>
      <c r="N167" s="14"/>
      <c r="O167" s="120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5">
      <c r="A168" s="14"/>
      <c r="B168" s="14"/>
      <c r="C168" s="14"/>
      <c r="D168" s="15"/>
      <c r="E168" s="25"/>
      <c r="F168" s="14"/>
      <c r="G168" s="14"/>
      <c r="H168" s="14"/>
      <c r="I168" s="14"/>
      <c r="J168" s="120"/>
      <c r="K168" s="120"/>
      <c r="L168" s="120"/>
      <c r="M168" s="14"/>
      <c r="N168" s="14"/>
      <c r="O168" s="120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5">
      <c r="A169" s="14"/>
      <c r="B169" s="14"/>
      <c r="C169" s="14"/>
      <c r="D169" s="15"/>
      <c r="E169" s="25"/>
      <c r="F169" s="14"/>
      <c r="G169" s="14"/>
      <c r="H169" s="14"/>
      <c r="I169" s="14"/>
      <c r="J169" s="120"/>
      <c r="K169" s="120"/>
      <c r="L169" s="120"/>
      <c r="M169" s="14"/>
      <c r="N169" s="14"/>
      <c r="O169" s="120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5">
      <c r="A170" s="14"/>
      <c r="B170" s="14"/>
      <c r="C170" s="14"/>
      <c r="D170" s="15"/>
      <c r="E170" s="25"/>
      <c r="F170" s="14"/>
      <c r="G170" s="14"/>
      <c r="H170" s="14"/>
      <c r="I170" s="14"/>
      <c r="J170" s="120"/>
      <c r="K170" s="120"/>
      <c r="L170" s="120"/>
      <c r="M170" s="14"/>
      <c r="N170" s="14"/>
      <c r="O170" s="120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5">
      <c r="A171" s="14"/>
      <c r="B171" s="14"/>
      <c r="C171" s="14"/>
      <c r="D171" s="15"/>
      <c r="E171" s="25"/>
      <c r="F171" s="14"/>
      <c r="G171" s="14"/>
      <c r="H171" s="14"/>
      <c r="I171" s="14"/>
      <c r="J171" s="120"/>
      <c r="K171" s="120"/>
      <c r="L171" s="120"/>
      <c r="M171" s="14"/>
      <c r="N171" s="14"/>
      <c r="O171" s="120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5">
      <c r="A172" s="14"/>
      <c r="B172" s="14"/>
      <c r="C172" s="14"/>
      <c r="D172" s="15"/>
      <c r="E172" s="25"/>
      <c r="F172" s="14"/>
      <c r="G172" s="14"/>
      <c r="H172" s="14"/>
      <c r="I172" s="14"/>
      <c r="J172" s="120"/>
      <c r="K172" s="120"/>
      <c r="L172" s="120"/>
      <c r="M172" s="14"/>
      <c r="N172" s="14"/>
      <c r="O172" s="120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5">
      <c r="A173" s="14"/>
      <c r="B173" s="14"/>
      <c r="C173" s="14"/>
      <c r="D173" s="15"/>
      <c r="E173" s="25"/>
      <c r="F173" s="14"/>
      <c r="G173" s="14"/>
      <c r="H173" s="14"/>
      <c r="I173" s="14"/>
      <c r="J173" s="120"/>
      <c r="K173" s="120"/>
      <c r="L173" s="120"/>
      <c r="M173" s="14"/>
      <c r="N173" s="14"/>
      <c r="O173" s="120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5">
      <c r="A174" s="14"/>
      <c r="B174" s="14"/>
      <c r="C174" s="14"/>
      <c r="D174" s="15"/>
      <c r="E174" s="25"/>
      <c r="F174" s="14"/>
      <c r="G174" s="14"/>
      <c r="H174" s="14"/>
      <c r="I174" s="14"/>
      <c r="J174" s="120"/>
      <c r="K174" s="120"/>
      <c r="L174" s="120"/>
      <c r="M174" s="14"/>
      <c r="N174" s="14"/>
      <c r="O174" s="120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5">
      <c r="A175" s="14"/>
      <c r="B175" s="14"/>
      <c r="C175" s="14"/>
      <c r="D175" s="15"/>
      <c r="E175" s="25"/>
      <c r="F175" s="14"/>
      <c r="G175" s="14"/>
      <c r="H175" s="14"/>
      <c r="I175" s="14"/>
      <c r="J175" s="120"/>
      <c r="K175" s="120"/>
      <c r="L175" s="120"/>
      <c r="M175" s="14"/>
      <c r="N175" s="14"/>
      <c r="O175" s="120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5">
      <c r="A176" s="14"/>
      <c r="B176" s="14"/>
      <c r="C176" s="14"/>
      <c r="D176" s="15"/>
      <c r="E176" s="25"/>
      <c r="F176" s="14"/>
      <c r="G176" s="14"/>
      <c r="H176" s="14"/>
      <c r="I176" s="14"/>
      <c r="J176" s="120"/>
      <c r="K176" s="120"/>
      <c r="L176" s="120"/>
      <c r="M176" s="14"/>
      <c r="N176" s="14"/>
      <c r="O176" s="120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5">
      <c r="A177" s="14"/>
      <c r="B177" s="14"/>
      <c r="C177" s="14"/>
      <c r="D177" s="15"/>
      <c r="E177" s="25"/>
      <c r="F177" s="14"/>
      <c r="G177" s="14"/>
      <c r="H177" s="14"/>
      <c r="I177" s="14"/>
      <c r="J177" s="120"/>
      <c r="K177" s="120"/>
      <c r="L177" s="120"/>
      <c r="M177" s="14"/>
      <c r="N177" s="14"/>
      <c r="O177" s="120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5">
      <c r="A178" s="14"/>
      <c r="B178" s="14"/>
      <c r="C178" s="14"/>
      <c r="D178" s="15"/>
      <c r="E178" s="25"/>
      <c r="F178" s="14"/>
      <c r="G178" s="14"/>
      <c r="H178" s="14"/>
      <c r="I178" s="14"/>
      <c r="J178" s="120"/>
      <c r="K178" s="120"/>
      <c r="L178" s="120"/>
      <c r="M178" s="14"/>
      <c r="N178" s="14"/>
      <c r="O178" s="120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5">
      <c r="A179" s="14"/>
      <c r="B179" s="14"/>
      <c r="C179" s="14"/>
      <c r="D179" s="15"/>
      <c r="E179" s="25"/>
      <c r="F179" s="14"/>
      <c r="G179" s="14"/>
      <c r="H179" s="14"/>
      <c r="I179" s="14"/>
      <c r="J179" s="120"/>
      <c r="K179" s="120"/>
      <c r="L179" s="120"/>
      <c r="M179" s="14"/>
      <c r="N179" s="14"/>
      <c r="O179" s="120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5">
      <c r="A180" s="14"/>
      <c r="B180" s="14"/>
      <c r="C180" s="14"/>
      <c r="D180" s="15"/>
      <c r="E180" s="25"/>
      <c r="F180" s="14"/>
      <c r="G180" s="14"/>
      <c r="H180" s="14"/>
      <c r="I180" s="14"/>
      <c r="J180" s="120"/>
      <c r="K180" s="120"/>
      <c r="L180" s="120"/>
      <c r="M180" s="14"/>
      <c r="N180" s="14"/>
      <c r="O180" s="120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5">
      <c r="A181" s="14"/>
      <c r="B181" s="14"/>
      <c r="C181" s="14"/>
      <c r="D181" s="15"/>
      <c r="E181" s="25"/>
      <c r="F181" s="14"/>
      <c r="G181" s="14"/>
      <c r="H181" s="14"/>
      <c r="I181" s="14"/>
      <c r="J181" s="120"/>
      <c r="K181" s="120"/>
      <c r="L181" s="120"/>
      <c r="M181" s="14"/>
      <c r="N181" s="14"/>
      <c r="O181" s="120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5">
      <c r="A182" s="14"/>
      <c r="B182" s="14"/>
      <c r="C182" s="14"/>
      <c r="D182" s="15"/>
      <c r="E182" s="25"/>
      <c r="F182" s="14"/>
      <c r="G182" s="14"/>
      <c r="H182" s="14"/>
      <c r="I182" s="14"/>
      <c r="J182" s="120"/>
      <c r="K182" s="120"/>
      <c r="L182" s="120"/>
      <c r="M182" s="14"/>
      <c r="N182" s="14"/>
      <c r="O182" s="120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5">
      <c r="A183" s="14"/>
      <c r="B183" s="14"/>
      <c r="C183" s="14"/>
      <c r="D183" s="15"/>
      <c r="E183" s="25"/>
      <c r="F183" s="14"/>
      <c r="G183" s="14"/>
      <c r="H183" s="14"/>
      <c r="I183" s="14"/>
      <c r="J183" s="120"/>
      <c r="K183" s="120"/>
      <c r="L183" s="120"/>
      <c r="M183" s="14"/>
      <c r="N183" s="14"/>
      <c r="O183" s="120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5">
      <c r="A184" s="14"/>
      <c r="B184" s="14"/>
      <c r="C184" s="14"/>
      <c r="D184" s="15"/>
      <c r="E184" s="25"/>
      <c r="F184" s="14"/>
      <c r="G184" s="14"/>
      <c r="H184" s="14"/>
      <c r="I184" s="14"/>
      <c r="J184" s="120"/>
      <c r="K184" s="120"/>
      <c r="L184" s="120"/>
      <c r="M184" s="14"/>
      <c r="N184" s="14"/>
      <c r="O184" s="120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5">
      <c r="A185" s="14"/>
      <c r="B185" s="14"/>
      <c r="C185" s="14"/>
      <c r="D185" s="15"/>
      <c r="E185" s="25"/>
      <c r="F185" s="14"/>
      <c r="G185" s="14"/>
      <c r="H185" s="14"/>
      <c r="I185" s="14"/>
      <c r="J185" s="120"/>
      <c r="K185" s="120"/>
      <c r="L185" s="120"/>
      <c r="M185" s="14"/>
      <c r="N185" s="14"/>
      <c r="O185" s="120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5">
      <c r="A186" s="14"/>
      <c r="B186" s="14"/>
      <c r="C186" s="14"/>
      <c r="D186" s="15"/>
      <c r="E186" s="25"/>
      <c r="F186" s="14"/>
      <c r="G186" s="14"/>
      <c r="H186" s="14"/>
      <c r="I186" s="14"/>
      <c r="J186" s="120"/>
      <c r="K186" s="120"/>
      <c r="L186" s="120"/>
      <c r="M186" s="14"/>
      <c r="N186" s="14"/>
      <c r="O186" s="120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5">
      <c r="A187" s="14"/>
      <c r="B187" s="14"/>
      <c r="C187" s="14"/>
      <c r="D187" s="15"/>
      <c r="E187" s="25"/>
      <c r="F187" s="14"/>
      <c r="G187" s="14"/>
      <c r="H187" s="14"/>
      <c r="I187" s="14"/>
      <c r="J187" s="120"/>
      <c r="K187" s="120"/>
      <c r="L187" s="120"/>
      <c r="M187" s="14"/>
      <c r="N187" s="14"/>
      <c r="O187" s="120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5">
      <c r="A188" s="14"/>
      <c r="B188" s="14"/>
      <c r="C188" s="14"/>
      <c r="D188" s="15"/>
      <c r="E188" s="25"/>
      <c r="F188" s="14"/>
      <c r="G188" s="14"/>
      <c r="H188" s="14"/>
      <c r="I188" s="14"/>
      <c r="J188" s="120"/>
      <c r="K188" s="120"/>
      <c r="L188" s="120"/>
      <c r="M188" s="14"/>
      <c r="N188" s="14"/>
      <c r="O188" s="120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5">
      <c r="A189" s="14"/>
      <c r="B189" s="14"/>
      <c r="C189" s="14"/>
      <c r="D189" s="15"/>
      <c r="E189" s="25"/>
      <c r="F189" s="14"/>
      <c r="G189" s="14"/>
      <c r="H189" s="14"/>
      <c r="I189" s="14"/>
      <c r="J189" s="120"/>
      <c r="K189" s="120"/>
      <c r="L189" s="120"/>
      <c r="M189" s="14"/>
      <c r="N189" s="14"/>
      <c r="O189" s="120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5">
      <c r="A190" s="14"/>
      <c r="B190" s="14"/>
      <c r="C190" s="14"/>
      <c r="D190" s="15"/>
      <c r="E190" s="25"/>
      <c r="F190" s="14"/>
      <c r="G190" s="14"/>
      <c r="H190" s="14"/>
      <c r="I190" s="14"/>
      <c r="J190" s="120"/>
      <c r="K190" s="120"/>
      <c r="L190" s="120"/>
      <c r="M190" s="14"/>
      <c r="N190" s="14"/>
      <c r="O190" s="120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5">
      <c r="A191" s="14"/>
      <c r="B191" s="14"/>
      <c r="C191" s="14"/>
      <c r="D191" s="15"/>
      <c r="E191" s="25"/>
      <c r="F191" s="14"/>
      <c r="G191" s="14"/>
      <c r="H191" s="14"/>
      <c r="I191" s="14"/>
      <c r="J191" s="120"/>
      <c r="K191" s="120"/>
      <c r="L191" s="120"/>
      <c r="M191" s="14"/>
      <c r="N191" s="14"/>
      <c r="O191" s="120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5">
      <c r="A192" s="14"/>
      <c r="B192" s="14"/>
      <c r="C192" s="14"/>
      <c r="D192" s="15"/>
      <c r="E192" s="25"/>
      <c r="F192" s="14"/>
      <c r="G192" s="14"/>
      <c r="H192" s="14"/>
      <c r="I192" s="14"/>
      <c r="J192" s="120"/>
      <c r="K192" s="120"/>
      <c r="L192" s="120"/>
      <c r="M192" s="14"/>
      <c r="N192" s="14"/>
      <c r="O192" s="120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5">
      <c r="A193" s="14"/>
      <c r="B193" s="14"/>
      <c r="C193" s="14"/>
      <c r="D193" s="15"/>
      <c r="E193" s="25"/>
      <c r="F193" s="14"/>
      <c r="G193" s="14"/>
      <c r="H193" s="14"/>
      <c r="I193" s="14"/>
      <c r="J193" s="120"/>
      <c r="K193" s="120"/>
      <c r="L193" s="120"/>
      <c r="M193" s="14"/>
      <c r="N193" s="14"/>
      <c r="O193" s="120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5">
      <c r="A194" s="14"/>
      <c r="B194" s="14"/>
      <c r="C194" s="14"/>
      <c r="D194" s="15"/>
      <c r="E194" s="25"/>
      <c r="F194" s="14"/>
      <c r="G194" s="14"/>
      <c r="H194" s="14"/>
      <c r="I194" s="14"/>
      <c r="J194" s="120"/>
      <c r="K194" s="120"/>
      <c r="L194" s="120"/>
      <c r="M194" s="14"/>
      <c r="N194" s="14"/>
      <c r="O194" s="120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5">
      <c r="A195" s="14"/>
      <c r="B195" s="14"/>
      <c r="C195" s="14"/>
      <c r="D195" s="15"/>
      <c r="E195" s="25"/>
      <c r="F195" s="14"/>
      <c r="G195" s="14"/>
      <c r="H195" s="14"/>
      <c r="I195" s="14"/>
      <c r="J195" s="120"/>
      <c r="K195" s="120"/>
      <c r="L195" s="120"/>
      <c r="M195" s="14"/>
      <c r="N195" s="14"/>
      <c r="O195" s="120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5">
      <c r="A196" s="14"/>
      <c r="B196" s="14"/>
      <c r="C196" s="14"/>
      <c r="D196" s="15"/>
      <c r="E196" s="25"/>
      <c r="F196" s="14"/>
      <c r="G196" s="14"/>
      <c r="H196" s="14"/>
      <c r="I196" s="14"/>
      <c r="J196" s="120"/>
      <c r="K196" s="120"/>
      <c r="L196" s="120"/>
      <c r="M196" s="14"/>
      <c r="N196" s="14"/>
      <c r="O196" s="120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5">
      <c r="A197" s="14"/>
      <c r="B197" s="14"/>
      <c r="C197" s="14"/>
      <c r="D197" s="15"/>
      <c r="E197" s="25"/>
      <c r="F197" s="14"/>
      <c r="G197" s="14"/>
      <c r="H197" s="14"/>
      <c r="I197" s="14"/>
      <c r="J197" s="120"/>
      <c r="K197" s="120"/>
      <c r="L197" s="120"/>
      <c r="M197" s="14"/>
      <c r="N197" s="14"/>
      <c r="O197" s="120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5">
      <c r="A198" s="14"/>
      <c r="B198" s="14"/>
      <c r="C198" s="14"/>
      <c r="D198" s="15"/>
      <c r="E198" s="25"/>
      <c r="F198" s="14"/>
      <c r="G198" s="14"/>
      <c r="H198" s="14"/>
      <c r="I198" s="14"/>
      <c r="J198" s="120"/>
      <c r="K198" s="120"/>
      <c r="L198" s="120"/>
      <c r="M198" s="14"/>
      <c r="N198" s="14"/>
      <c r="O198" s="120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5">
      <c r="A199" s="14"/>
      <c r="B199" s="14"/>
      <c r="C199" s="14"/>
      <c r="D199" s="15"/>
      <c r="E199" s="25"/>
      <c r="F199" s="14"/>
      <c r="G199" s="14"/>
      <c r="H199" s="14"/>
      <c r="I199" s="14"/>
      <c r="J199" s="120"/>
      <c r="K199" s="120"/>
      <c r="L199" s="120"/>
      <c r="M199" s="14"/>
      <c r="N199" s="14"/>
      <c r="O199" s="120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5">
      <c r="A200" s="14"/>
      <c r="B200" s="14"/>
      <c r="C200" s="14"/>
      <c r="D200" s="15"/>
      <c r="E200" s="25"/>
      <c r="F200" s="14"/>
      <c r="G200" s="14"/>
      <c r="H200" s="14"/>
      <c r="I200" s="14"/>
      <c r="J200" s="120"/>
      <c r="K200" s="120"/>
      <c r="L200" s="120"/>
      <c r="M200" s="14"/>
      <c r="N200" s="14"/>
      <c r="O200" s="120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5">
      <c r="A201" s="14"/>
      <c r="B201" s="14"/>
      <c r="C201" s="14"/>
      <c r="D201" s="15"/>
      <c r="E201" s="25"/>
      <c r="F201" s="14"/>
      <c r="G201" s="14"/>
      <c r="H201" s="14"/>
      <c r="I201" s="14"/>
      <c r="J201" s="120"/>
      <c r="K201" s="120"/>
      <c r="L201" s="120"/>
      <c r="M201" s="14"/>
      <c r="N201" s="14"/>
      <c r="O201" s="120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5">
      <c r="A202" s="14"/>
      <c r="B202" s="14"/>
      <c r="C202" s="14"/>
      <c r="D202" s="15"/>
      <c r="E202" s="25"/>
      <c r="F202" s="14"/>
      <c r="G202" s="14"/>
      <c r="H202" s="14"/>
      <c r="I202" s="14"/>
      <c r="J202" s="120"/>
      <c r="K202" s="120"/>
      <c r="L202" s="120"/>
      <c r="M202" s="14"/>
      <c r="N202" s="14"/>
      <c r="O202" s="120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5">
      <c r="A203" s="14"/>
      <c r="B203" s="14"/>
      <c r="C203" s="14"/>
      <c r="D203" s="15"/>
      <c r="E203" s="25"/>
      <c r="F203" s="14"/>
      <c r="G203" s="14"/>
      <c r="H203" s="14"/>
      <c r="I203" s="14"/>
      <c r="J203" s="120"/>
      <c r="K203" s="120"/>
      <c r="L203" s="120"/>
      <c r="M203" s="14"/>
      <c r="N203" s="14"/>
      <c r="O203" s="120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5">
      <c r="A204" s="14"/>
      <c r="B204" s="14"/>
      <c r="C204" s="14"/>
      <c r="D204" s="15"/>
      <c r="E204" s="25"/>
      <c r="F204" s="14"/>
      <c r="G204" s="14"/>
      <c r="H204" s="14"/>
      <c r="I204" s="14"/>
      <c r="J204" s="120"/>
      <c r="K204" s="120"/>
      <c r="L204" s="120"/>
      <c r="M204" s="14"/>
      <c r="N204" s="14"/>
      <c r="O204" s="120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5">
      <c r="A205" s="14"/>
      <c r="B205" s="14"/>
      <c r="C205" s="14"/>
      <c r="D205" s="15"/>
      <c r="E205" s="25"/>
      <c r="F205" s="14"/>
      <c r="G205" s="14"/>
      <c r="H205" s="14"/>
      <c r="I205" s="14"/>
      <c r="J205" s="120"/>
      <c r="K205" s="120"/>
      <c r="L205" s="120"/>
      <c r="M205" s="14"/>
      <c r="N205" s="14"/>
      <c r="O205" s="120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5">
      <c r="A206" s="14"/>
      <c r="B206" s="14"/>
      <c r="C206" s="14"/>
      <c r="D206" s="15"/>
      <c r="E206" s="25"/>
      <c r="F206" s="14"/>
      <c r="G206" s="14"/>
      <c r="H206" s="14"/>
      <c r="I206" s="14"/>
      <c r="J206" s="120"/>
      <c r="K206" s="120"/>
      <c r="L206" s="120"/>
      <c r="M206" s="14"/>
      <c r="N206" s="14"/>
      <c r="O206" s="120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5">
      <c r="A207" s="14"/>
      <c r="B207" s="14"/>
      <c r="C207" s="14"/>
      <c r="D207" s="15"/>
      <c r="E207" s="25"/>
      <c r="F207" s="14"/>
      <c r="G207" s="14"/>
      <c r="H207" s="14"/>
      <c r="I207" s="14"/>
      <c r="J207" s="120"/>
      <c r="K207" s="120"/>
      <c r="L207" s="120"/>
      <c r="M207" s="14"/>
      <c r="N207" s="14"/>
      <c r="O207" s="120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5">
      <c r="A208" s="14"/>
      <c r="B208" s="14"/>
      <c r="C208" s="14"/>
      <c r="D208" s="15"/>
      <c r="E208" s="25"/>
      <c r="F208" s="14"/>
      <c r="G208" s="14"/>
      <c r="H208" s="14"/>
      <c r="I208" s="14"/>
      <c r="J208" s="120"/>
      <c r="K208" s="120"/>
      <c r="L208" s="120"/>
      <c r="M208" s="14"/>
      <c r="N208" s="14"/>
      <c r="O208" s="120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5">
      <c r="A209" s="14"/>
      <c r="B209" s="14"/>
      <c r="C209" s="14"/>
      <c r="D209" s="15"/>
      <c r="E209" s="25"/>
      <c r="F209" s="14"/>
      <c r="G209" s="14"/>
      <c r="H209" s="14"/>
      <c r="I209" s="14"/>
      <c r="J209" s="120"/>
      <c r="K209" s="120"/>
      <c r="L209" s="120"/>
      <c r="M209" s="14"/>
      <c r="N209" s="14"/>
      <c r="O209" s="120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5">
      <c r="A210" s="14"/>
      <c r="B210" s="14"/>
      <c r="C210" s="14"/>
      <c r="D210" s="15"/>
      <c r="E210" s="25"/>
      <c r="F210" s="14"/>
      <c r="G210" s="14"/>
      <c r="H210" s="14"/>
      <c r="I210" s="14"/>
      <c r="J210" s="120"/>
      <c r="K210" s="120"/>
      <c r="L210" s="120"/>
      <c r="M210" s="14"/>
      <c r="N210" s="14"/>
      <c r="O210" s="120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5">
      <c r="A211" s="14"/>
      <c r="B211" s="14"/>
      <c r="C211" s="14"/>
      <c r="D211" s="15"/>
      <c r="E211" s="25"/>
      <c r="F211" s="14"/>
      <c r="G211" s="14"/>
      <c r="H211" s="14"/>
      <c r="I211" s="14"/>
      <c r="J211" s="120"/>
      <c r="K211" s="120"/>
      <c r="L211" s="120"/>
      <c r="M211" s="14"/>
      <c r="N211" s="14"/>
      <c r="O211" s="120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5">
      <c r="A212" s="14"/>
      <c r="B212" s="14"/>
      <c r="C212" s="14"/>
      <c r="D212" s="15"/>
      <c r="E212" s="25"/>
      <c r="F212" s="14"/>
      <c r="G212" s="14"/>
      <c r="H212" s="14"/>
      <c r="I212" s="14"/>
      <c r="J212" s="120"/>
      <c r="K212" s="120"/>
      <c r="L212" s="120"/>
      <c r="M212" s="14"/>
      <c r="N212" s="14"/>
      <c r="O212" s="120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5">
      <c r="A213" s="14"/>
      <c r="B213" s="14"/>
      <c r="C213" s="14"/>
      <c r="D213" s="15"/>
      <c r="E213" s="25"/>
      <c r="F213" s="14"/>
      <c r="G213" s="14"/>
      <c r="H213" s="14"/>
      <c r="I213" s="14"/>
      <c r="J213" s="120"/>
      <c r="K213" s="120"/>
      <c r="L213" s="120"/>
      <c r="M213" s="14"/>
      <c r="N213" s="14"/>
      <c r="O213" s="120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5">
      <c r="A214" s="14"/>
      <c r="B214" s="14"/>
      <c r="C214" s="14"/>
      <c r="D214" s="15"/>
      <c r="E214" s="25"/>
      <c r="F214" s="14"/>
      <c r="G214" s="14"/>
      <c r="H214" s="14"/>
      <c r="I214" s="14"/>
      <c r="J214" s="120"/>
      <c r="K214" s="120"/>
      <c r="L214" s="120"/>
      <c r="M214" s="14"/>
      <c r="N214" s="14"/>
      <c r="O214" s="120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5">
      <c r="A215" s="14"/>
      <c r="B215" s="14"/>
      <c r="C215" s="14"/>
      <c r="D215" s="15"/>
      <c r="E215" s="25"/>
      <c r="F215" s="14"/>
      <c r="G215" s="14"/>
      <c r="H215" s="14"/>
      <c r="I215" s="14"/>
      <c r="J215" s="120"/>
      <c r="K215" s="120"/>
      <c r="L215" s="120"/>
      <c r="M215" s="14"/>
      <c r="N215" s="14"/>
      <c r="O215" s="120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5">
      <c r="A216" s="14"/>
      <c r="B216" s="14"/>
      <c r="C216" s="14"/>
      <c r="D216" s="15"/>
      <c r="E216" s="25"/>
      <c r="F216" s="14"/>
      <c r="G216" s="14"/>
      <c r="H216" s="14"/>
      <c r="I216" s="14"/>
      <c r="J216" s="120"/>
      <c r="K216" s="120"/>
      <c r="L216" s="120"/>
      <c r="M216" s="14"/>
      <c r="N216" s="14"/>
      <c r="O216" s="120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5">
      <c r="A217" s="14"/>
      <c r="B217" s="14"/>
      <c r="C217" s="14"/>
      <c r="D217" s="15"/>
      <c r="E217" s="25"/>
      <c r="F217" s="14"/>
      <c r="G217" s="14"/>
      <c r="H217" s="14"/>
      <c r="I217" s="14"/>
      <c r="J217" s="120"/>
      <c r="K217" s="120"/>
      <c r="L217" s="120"/>
      <c r="M217" s="14"/>
      <c r="N217" s="14"/>
      <c r="O217" s="120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5">
      <c r="A218" s="14"/>
      <c r="B218" s="14"/>
      <c r="C218" s="14"/>
      <c r="D218" s="15"/>
      <c r="E218" s="25"/>
      <c r="F218" s="14"/>
      <c r="G218" s="14"/>
      <c r="H218" s="14"/>
      <c r="I218" s="14"/>
      <c r="J218" s="120"/>
      <c r="K218" s="120"/>
      <c r="L218" s="120"/>
      <c r="M218" s="14"/>
      <c r="N218" s="14"/>
      <c r="O218" s="120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5">
      <c r="A219" s="14"/>
      <c r="B219" s="14"/>
      <c r="C219" s="14"/>
      <c r="D219" s="15"/>
      <c r="E219" s="25"/>
      <c r="F219" s="14"/>
      <c r="G219" s="14"/>
      <c r="H219" s="14"/>
      <c r="I219" s="14"/>
      <c r="J219" s="120"/>
      <c r="K219" s="120"/>
      <c r="L219" s="120"/>
      <c r="M219" s="14"/>
      <c r="N219" s="14"/>
      <c r="O219" s="120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5">
      <c r="A220" s="14"/>
      <c r="B220" s="14"/>
      <c r="C220" s="14"/>
      <c r="D220" s="15"/>
      <c r="E220" s="25"/>
      <c r="F220" s="14"/>
      <c r="G220" s="14"/>
      <c r="H220" s="14"/>
      <c r="I220" s="14"/>
      <c r="J220" s="120"/>
      <c r="K220" s="120"/>
      <c r="L220" s="120"/>
      <c r="M220" s="14"/>
      <c r="N220" s="14"/>
      <c r="O220" s="120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5">
      <c r="A221" s="14"/>
      <c r="B221" s="14"/>
      <c r="C221" s="14"/>
      <c r="D221" s="15"/>
      <c r="E221" s="25"/>
      <c r="F221" s="14"/>
      <c r="G221" s="14"/>
      <c r="H221" s="14"/>
      <c r="I221" s="14"/>
      <c r="J221" s="120"/>
      <c r="K221" s="120"/>
      <c r="L221" s="120"/>
      <c r="M221" s="14"/>
      <c r="N221" s="14"/>
      <c r="O221" s="120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5">
      <c r="A222" s="14"/>
      <c r="B222" s="14"/>
      <c r="C222" s="14"/>
      <c r="D222" s="15"/>
      <c r="E222" s="25"/>
      <c r="F222" s="14"/>
      <c r="G222" s="14"/>
      <c r="H222" s="14"/>
      <c r="I222" s="14"/>
      <c r="J222" s="120"/>
      <c r="K222" s="120"/>
      <c r="L222" s="120"/>
      <c r="M222" s="14"/>
      <c r="N222" s="14"/>
      <c r="O222" s="120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5">
      <c r="A223" s="14"/>
      <c r="B223" s="14"/>
      <c r="C223" s="14"/>
      <c r="D223" s="15"/>
      <c r="E223" s="25"/>
      <c r="F223" s="14"/>
      <c r="G223" s="14"/>
      <c r="H223" s="14"/>
      <c r="I223" s="14"/>
      <c r="J223" s="120"/>
      <c r="K223" s="120"/>
      <c r="L223" s="120"/>
      <c r="M223" s="14"/>
      <c r="N223" s="14"/>
      <c r="O223" s="120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5">
      <c r="A224" s="14"/>
      <c r="B224" s="14"/>
      <c r="C224" s="14"/>
      <c r="D224" s="15"/>
      <c r="E224" s="25"/>
      <c r="F224" s="14"/>
      <c r="G224" s="14"/>
      <c r="H224" s="14"/>
      <c r="I224" s="14"/>
      <c r="J224" s="120"/>
      <c r="K224" s="120"/>
      <c r="L224" s="120"/>
      <c r="M224" s="14"/>
      <c r="N224" s="14"/>
      <c r="O224" s="120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5">
      <c r="A225" s="14"/>
      <c r="B225" s="14"/>
      <c r="C225" s="14"/>
      <c r="D225" s="15"/>
      <c r="E225" s="25"/>
      <c r="F225" s="14"/>
      <c r="G225" s="14"/>
      <c r="H225" s="14"/>
      <c r="I225" s="14"/>
      <c r="J225" s="120"/>
      <c r="K225" s="120"/>
      <c r="L225" s="120"/>
      <c r="M225" s="14"/>
      <c r="N225" s="14"/>
      <c r="O225" s="120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5">
      <c r="A226" s="14"/>
      <c r="B226" s="14"/>
      <c r="C226" s="14"/>
      <c r="D226" s="15"/>
      <c r="E226" s="25"/>
      <c r="F226" s="14"/>
      <c r="G226" s="14"/>
      <c r="H226" s="14"/>
      <c r="I226" s="14"/>
      <c r="J226" s="120"/>
      <c r="K226" s="120"/>
      <c r="L226" s="120"/>
      <c r="M226" s="14"/>
      <c r="N226" s="14"/>
      <c r="O226" s="120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5">
      <c r="A227" s="14"/>
      <c r="B227" s="14"/>
      <c r="C227" s="14"/>
      <c r="D227" s="15"/>
      <c r="E227" s="25"/>
      <c r="F227" s="14"/>
      <c r="G227" s="14"/>
      <c r="H227" s="14"/>
      <c r="I227" s="14"/>
      <c r="J227" s="120"/>
      <c r="K227" s="120"/>
      <c r="L227" s="120"/>
      <c r="M227" s="14"/>
      <c r="N227" s="14"/>
      <c r="O227" s="120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5">
      <c r="A228" s="14"/>
      <c r="B228" s="14"/>
      <c r="C228" s="14"/>
      <c r="D228" s="15"/>
      <c r="E228" s="25"/>
      <c r="F228" s="14"/>
      <c r="G228" s="14"/>
      <c r="H228" s="14"/>
      <c r="I228" s="14"/>
      <c r="J228" s="120"/>
      <c r="K228" s="120"/>
      <c r="L228" s="120"/>
      <c r="M228" s="14"/>
      <c r="N228" s="14"/>
      <c r="O228" s="120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5">
      <c r="A229" s="14"/>
      <c r="B229" s="14"/>
      <c r="C229" s="14"/>
      <c r="D229" s="15"/>
      <c r="E229" s="25"/>
      <c r="F229" s="14"/>
      <c r="G229" s="14"/>
      <c r="H229" s="14"/>
      <c r="I229" s="14"/>
      <c r="J229" s="120"/>
      <c r="K229" s="120"/>
      <c r="L229" s="120"/>
      <c r="M229" s="14"/>
      <c r="N229" s="14"/>
      <c r="O229" s="120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5">
      <c r="A230" s="14"/>
      <c r="B230" s="14"/>
      <c r="C230" s="14"/>
      <c r="D230" s="15"/>
      <c r="E230" s="25"/>
      <c r="F230" s="14"/>
      <c r="G230" s="14"/>
      <c r="H230" s="14"/>
      <c r="I230" s="14"/>
      <c r="J230" s="120"/>
      <c r="K230" s="120"/>
      <c r="L230" s="120"/>
      <c r="M230" s="14"/>
      <c r="N230" s="14"/>
      <c r="O230" s="120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5">
      <c r="A231" s="14"/>
      <c r="B231" s="14"/>
      <c r="C231" s="14"/>
      <c r="D231" s="15"/>
      <c r="E231" s="25"/>
      <c r="F231" s="14"/>
      <c r="G231" s="14"/>
      <c r="H231" s="14"/>
      <c r="I231" s="14"/>
      <c r="J231" s="120"/>
      <c r="K231" s="120"/>
      <c r="L231" s="120"/>
      <c r="M231" s="14"/>
      <c r="N231" s="14"/>
      <c r="O231" s="120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5">
      <c r="A232" s="14"/>
      <c r="B232" s="14"/>
      <c r="C232" s="14"/>
      <c r="D232" s="15"/>
      <c r="E232" s="25"/>
      <c r="F232" s="14"/>
      <c r="G232" s="14"/>
      <c r="H232" s="14"/>
      <c r="I232" s="14"/>
      <c r="J232" s="120"/>
      <c r="K232" s="120"/>
      <c r="L232" s="120"/>
      <c r="M232" s="14"/>
      <c r="N232" s="14"/>
      <c r="O232" s="120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5">
      <c r="A233" s="14"/>
      <c r="B233" s="14"/>
      <c r="C233" s="14"/>
      <c r="D233" s="15"/>
      <c r="E233" s="25"/>
      <c r="F233" s="14"/>
      <c r="G233" s="14"/>
      <c r="H233" s="14"/>
      <c r="I233" s="14"/>
      <c r="J233" s="120"/>
      <c r="K233" s="120"/>
      <c r="L233" s="120"/>
      <c r="M233" s="14"/>
      <c r="N233" s="14"/>
      <c r="O233" s="120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5">
      <c r="A234" s="14"/>
      <c r="B234" s="14"/>
      <c r="C234" s="14"/>
      <c r="D234" s="15"/>
      <c r="E234" s="25"/>
      <c r="F234" s="14"/>
      <c r="G234" s="14"/>
      <c r="H234" s="14"/>
      <c r="I234" s="14"/>
      <c r="J234" s="120"/>
      <c r="K234" s="120"/>
      <c r="L234" s="120"/>
      <c r="M234" s="14"/>
      <c r="N234" s="14"/>
      <c r="O234" s="120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5">
      <c r="A235" s="14"/>
      <c r="B235" s="14"/>
      <c r="C235" s="14"/>
      <c r="D235" s="15"/>
      <c r="E235" s="25"/>
      <c r="F235" s="14"/>
      <c r="G235" s="14"/>
      <c r="H235" s="14"/>
      <c r="I235" s="14"/>
      <c r="J235" s="120"/>
      <c r="K235" s="120"/>
      <c r="L235" s="120"/>
      <c r="M235" s="14"/>
      <c r="N235" s="14"/>
      <c r="O235" s="120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5">
      <c r="A236" s="14"/>
      <c r="B236" s="14"/>
      <c r="C236" s="14"/>
      <c r="D236" s="15"/>
      <c r="E236" s="25"/>
      <c r="F236" s="14"/>
      <c r="G236" s="14"/>
      <c r="H236" s="14"/>
      <c r="I236" s="14"/>
      <c r="J236" s="120"/>
      <c r="K236" s="120"/>
      <c r="L236" s="120"/>
      <c r="M236" s="14"/>
      <c r="N236" s="14"/>
      <c r="O236" s="120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5">
      <c r="A237" s="14"/>
      <c r="B237" s="14"/>
      <c r="C237" s="14"/>
      <c r="D237" s="15"/>
      <c r="E237" s="25"/>
      <c r="F237" s="14"/>
      <c r="G237" s="14"/>
      <c r="H237" s="14"/>
      <c r="I237" s="14"/>
      <c r="J237" s="120"/>
      <c r="K237" s="120"/>
      <c r="L237" s="120"/>
      <c r="M237" s="14"/>
      <c r="N237" s="14"/>
      <c r="O237" s="120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5">
      <c r="A238" s="14"/>
      <c r="B238" s="14"/>
      <c r="C238" s="14"/>
      <c r="D238" s="15"/>
      <c r="E238" s="25"/>
      <c r="F238" s="14"/>
      <c r="G238" s="14"/>
      <c r="H238" s="14"/>
      <c r="I238" s="14"/>
      <c r="J238" s="120"/>
      <c r="K238" s="120"/>
      <c r="L238" s="120"/>
      <c r="M238" s="14"/>
      <c r="N238" s="14"/>
      <c r="O238" s="120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5">
      <c r="A239" s="14"/>
      <c r="B239" s="14"/>
      <c r="C239" s="14"/>
      <c r="D239" s="15"/>
      <c r="E239" s="25"/>
      <c r="F239" s="14"/>
      <c r="G239" s="14"/>
      <c r="H239" s="14"/>
      <c r="I239" s="14"/>
      <c r="J239" s="120"/>
      <c r="K239" s="120"/>
      <c r="L239" s="120"/>
      <c r="M239" s="14"/>
      <c r="N239" s="14"/>
      <c r="O239" s="120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5">
      <c r="A240" s="14"/>
      <c r="B240" s="14"/>
      <c r="C240" s="14"/>
      <c r="D240" s="15"/>
      <c r="E240" s="25"/>
      <c r="F240" s="14"/>
      <c r="G240" s="14"/>
      <c r="H240" s="14"/>
      <c r="I240" s="14"/>
      <c r="J240" s="120"/>
      <c r="K240" s="120"/>
      <c r="L240" s="120"/>
      <c r="M240" s="14"/>
      <c r="N240" s="14"/>
      <c r="O240" s="120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5">
      <c r="A241" s="14"/>
      <c r="B241" s="14"/>
      <c r="C241" s="14"/>
      <c r="D241" s="15"/>
      <c r="E241" s="25"/>
      <c r="F241" s="14"/>
      <c r="G241" s="14"/>
      <c r="H241" s="14"/>
      <c r="I241" s="14"/>
      <c r="J241" s="120"/>
      <c r="K241" s="120"/>
      <c r="L241" s="120"/>
      <c r="M241" s="14"/>
      <c r="N241" s="14"/>
      <c r="O241" s="120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5">
      <c r="A242" s="14"/>
      <c r="B242" s="14"/>
      <c r="C242" s="14"/>
      <c r="D242" s="15"/>
      <c r="E242" s="25"/>
      <c r="F242" s="14"/>
      <c r="G242" s="14"/>
      <c r="H242" s="14"/>
      <c r="I242" s="14"/>
      <c r="J242" s="120"/>
      <c r="K242" s="120"/>
      <c r="L242" s="120"/>
      <c r="M242" s="14"/>
      <c r="N242" s="14"/>
      <c r="O242" s="120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5">
      <c r="A243" s="14"/>
      <c r="B243" s="14"/>
      <c r="C243" s="14"/>
      <c r="D243" s="15"/>
      <c r="E243" s="25"/>
      <c r="F243" s="14"/>
      <c r="G243" s="14"/>
      <c r="H243" s="14"/>
      <c r="I243" s="14"/>
      <c r="J243" s="120"/>
      <c r="K243" s="120"/>
      <c r="L243" s="120"/>
      <c r="M243" s="14"/>
      <c r="N243" s="14"/>
      <c r="O243" s="120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5">
      <c r="A244" s="14"/>
      <c r="B244" s="14"/>
      <c r="C244" s="14"/>
      <c r="D244" s="15"/>
      <c r="E244" s="25"/>
      <c r="F244" s="14"/>
      <c r="G244" s="14"/>
      <c r="H244" s="14"/>
      <c r="I244" s="14"/>
      <c r="J244" s="120"/>
      <c r="K244" s="120"/>
      <c r="L244" s="120"/>
      <c r="M244" s="14"/>
      <c r="N244" s="14"/>
      <c r="O244" s="120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5">
      <c r="A245" s="14"/>
      <c r="B245" s="14"/>
      <c r="C245" s="14"/>
      <c r="D245" s="15"/>
      <c r="E245" s="25"/>
      <c r="F245" s="14"/>
      <c r="G245" s="14"/>
      <c r="H245" s="14"/>
      <c r="I245" s="14"/>
      <c r="J245" s="120"/>
      <c r="K245" s="120"/>
      <c r="L245" s="120"/>
      <c r="M245" s="14"/>
      <c r="N245" s="14"/>
      <c r="O245" s="120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5">
      <c r="A246" s="14"/>
      <c r="B246" s="14"/>
      <c r="C246" s="14"/>
      <c r="D246" s="15"/>
      <c r="E246" s="25"/>
      <c r="F246" s="14"/>
      <c r="G246" s="14"/>
      <c r="H246" s="14"/>
      <c r="I246" s="14"/>
      <c r="J246" s="120"/>
      <c r="K246" s="120"/>
      <c r="L246" s="120"/>
      <c r="M246" s="14"/>
      <c r="N246" s="14"/>
      <c r="O246" s="120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5">
      <c r="A247" s="14"/>
      <c r="B247" s="14"/>
      <c r="C247" s="14"/>
      <c r="D247" s="15"/>
      <c r="E247" s="25"/>
      <c r="F247" s="14"/>
      <c r="G247" s="14"/>
      <c r="H247" s="14"/>
      <c r="I247" s="14"/>
      <c r="J247" s="120"/>
      <c r="K247" s="120"/>
      <c r="L247" s="120"/>
      <c r="M247" s="14"/>
      <c r="N247" s="14"/>
      <c r="O247" s="120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5">
      <c r="A248" s="14"/>
      <c r="B248" s="14"/>
      <c r="C248" s="14"/>
      <c r="D248" s="15"/>
      <c r="E248" s="25"/>
      <c r="F248" s="14"/>
      <c r="G248" s="14"/>
      <c r="H248" s="14"/>
      <c r="I248" s="14"/>
      <c r="J248" s="120"/>
      <c r="K248" s="120"/>
      <c r="L248" s="120"/>
      <c r="M248" s="14"/>
      <c r="N248" s="14"/>
      <c r="O248" s="120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5">
      <c r="A249" s="14"/>
      <c r="B249" s="14"/>
      <c r="C249" s="14"/>
      <c r="D249" s="15"/>
      <c r="E249" s="25"/>
      <c r="F249" s="14"/>
      <c r="G249" s="14"/>
      <c r="H249" s="14"/>
      <c r="I249" s="14"/>
      <c r="J249" s="120"/>
      <c r="K249" s="120"/>
      <c r="L249" s="120"/>
      <c r="M249" s="14"/>
      <c r="N249" s="14"/>
      <c r="O249" s="120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5">
      <c r="A250" s="14"/>
      <c r="B250" s="14"/>
      <c r="C250" s="14"/>
      <c r="D250" s="15"/>
      <c r="E250" s="25"/>
      <c r="F250" s="14"/>
      <c r="G250" s="14"/>
      <c r="H250" s="14"/>
      <c r="I250" s="14"/>
      <c r="J250" s="120"/>
      <c r="K250" s="120"/>
      <c r="L250" s="120"/>
      <c r="M250" s="14"/>
      <c r="N250" s="14"/>
      <c r="O250" s="120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5">
      <c r="A251" s="14"/>
      <c r="B251" s="14"/>
      <c r="C251" s="14"/>
      <c r="D251" s="15"/>
      <c r="E251" s="25"/>
      <c r="F251" s="14"/>
      <c r="G251" s="14"/>
      <c r="H251" s="14"/>
      <c r="I251" s="14"/>
      <c r="J251" s="120"/>
      <c r="K251" s="120"/>
      <c r="L251" s="120"/>
      <c r="M251" s="14"/>
      <c r="N251" s="14"/>
      <c r="O251" s="120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5">
      <c r="A252" s="14"/>
      <c r="B252" s="14"/>
      <c r="C252" s="14"/>
      <c r="D252" s="15"/>
      <c r="E252" s="25"/>
      <c r="F252" s="14"/>
      <c r="G252" s="14"/>
      <c r="H252" s="14"/>
      <c r="I252" s="14"/>
      <c r="J252" s="120"/>
      <c r="K252" s="120"/>
      <c r="L252" s="120"/>
      <c r="M252" s="14"/>
      <c r="N252" s="14"/>
      <c r="O252" s="120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5">
      <c r="A253" s="14"/>
      <c r="B253" s="14"/>
      <c r="C253" s="14"/>
      <c r="D253" s="15"/>
      <c r="E253" s="25"/>
      <c r="F253" s="14"/>
      <c r="G253" s="14"/>
      <c r="H253" s="14"/>
      <c r="I253" s="14"/>
      <c r="J253" s="120"/>
      <c r="K253" s="120"/>
      <c r="L253" s="120"/>
      <c r="M253" s="14"/>
      <c r="N253" s="14"/>
      <c r="O253" s="120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5">
      <c r="A254" s="14"/>
      <c r="B254" s="14"/>
      <c r="C254" s="14"/>
      <c r="D254" s="15"/>
      <c r="E254" s="25"/>
      <c r="F254" s="14"/>
      <c r="G254" s="14"/>
      <c r="H254" s="14"/>
      <c r="I254" s="14"/>
      <c r="J254" s="120"/>
      <c r="K254" s="120"/>
      <c r="L254" s="120"/>
      <c r="M254" s="14"/>
      <c r="N254" s="14"/>
      <c r="O254" s="120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5">
      <c r="A255" s="14"/>
      <c r="B255" s="14"/>
      <c r="C255" s="14"/>
      <c r="D255" s="15"/>
      <c r="E255" s="25"/>
      <c r="F255" s="14"/>
      <c r="G255" s="14"/>
      <c r="H255" s="14"/>
      <c r="I255" s="14"/>
      <c r="J255" s="120"/>
      <c r="K255" s="120"/>
      <c r="L255" s="120"/>
      <c r="M255" s="14"/>
      <c r="N255" s="14"/>
      <c r="O255" s="120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5">
      <c r="A256" s="14"/>
      <c r="B256" s="14"/>
      <c r="C256" s="14"/>
      <c r="D256" s="15"/>
      <c r="E256" s="25"/>
      <c r="F256" s="14"/>
      <c r="G256" s="14"/>
      <c r="H256" s="14"/>
      <c r="I256" s="14"/>
      <c r="J256" s="120"/>
      <c r="K256" s="120"/>
      <c r="L256" s="120"/>
      <c r="M256" s="14"/>
      <c r="N256" s="14"/>
      <c r="O256" s="120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5">
      <c r="A257" s="14"/>
      <c r="B257" s="14"/>
      <c r="C257" s="14"/>
      <c r="D257" s="15"/>
      <c r="E257" s="25"/>
      <c r="F257" s="14"/>
      <c r="G257" s="14"/>
      <c r="H257" s="14"/>
      <c r="I257" s="14"/>
      <c r="J257" s="120"/>
      <c r="K257" s="120"/>
      <c r="L257" s="120"/>
      <c r="M257" s="14"/>
      <c r="N257" s="14"/>
      <c r="O257" s="120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5">
      <c r="A258" s="14"/>
      <c r="B258" s="14"/>
      <c r="C258" s="14"/>
      <c r="D258" s="15"/>
      <c r="E258" s="25"/>
      <c r="F258" s="14"/>
      <c r="G258" s="14"/>
      <c r="H258" s="14"/>
      <c r="I258" s="14"/>
      <c r="J258" s="120"/>
      <c r="K258" s="120"/>
      <c r="L258" s="120"/>
      <c r="M258" s="14"/>
      <c r="N258" s="14"/>
      <c r="O258" s="120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5">
      <c r="A259" s="14"/>
      <c r="B259" s="14"/>
      <c r="C259" s="14"/>
      <c r="D259" s="15"/>
      <c r="E259" s="25"/>
      <c r="F259" s="14"/>
      <c r="G259" s="14"/>
      <c r="H259" s="14"/>
      <c r="I259" s="14"/>
      <c r="J259" s="120"/>
      <c r="K259" s="120"/>
      <c r="L259" s="120"/>
      <c r="M259" s="14"/>
      <c r="N259" s="14"/>
      <c r="O259" s="120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5">
      <c r="A260" s="14"/>
      <c r="B260" s="14"/>
      <c r="C260" s="14"/>
      <c r="D260" s="15"/>
      <c r="E260" s="25"/>
      <c r="F260" s="14"/>
      <c r="G260" s="14"/>
      <c r="H260" s="14"/>
      <c r="I260" s="14"/>
      <c r="J260" s="120"/>
      <c r="K260" s="120"/>
      <c r="L260" s="120"/>
      <c r="M260" s="14"/>
      <c r="N260" s="14"/>
      <c r="O260" s="120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5">
      <c r="A261" s="14"/>
      <c r="B261" s="14"/>
      <c r="C261" s="14"/>
      <c r="D261" s="15"/>
      <c r="E261" s="25"/>
      <c r="F261" s="14"/>
      <c r="G261" s="14"/>
      <c r="H261" s="14"/>
      <c r="I261" s="14"/>
      <c r="J261" s="120"/>
      <c r="K261" s="120"/>
      <c r="L261" s="120"/>
      <c r="M261" s="14"/>
      <c r="N261" s="14"/>
      <c r="O261" s="120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5">
      <c r="A262" s="14"/>
      <c r="B262" s="14"/>
      <c r="C262" s="14"/>
      <c r="D262" s="15"/>
      <c r="E262" s="25"/>
      <c r="F262" s="14"/>
      <c r="G262" s="14"/>
      <c r="H262" s="14"/>
      <c r="I262" s="14"/>
      <c r="J262" s="120"/>
      <c r="K262" s="120"/>
      <c r="L262" s="120"/>
      <c r="M262" s="14"/>
      <c r="N262" s="14"/>
      <c r="O262" s="120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5">
      <c r="A263" s="14"/>
      <c r="B263" s="14"/>
      <c r="C263" s="14"/>
      <c r="D263" s="15"/>
      <c r="E263" s="25"/>
      <c r="F263" s="14"/>
      <c r="G263" s="14"/>
      <c r="H263" s="14"/>
      <c r="I263" s="14"/>
      <c r="J263" s="120"/>
      <c r="K263" s="120"/>
      <c r="L263" s="120"/>
      <c r="M263" s="14"/>
      <c r="N263" s="14"/>
      <c r="O263" s="120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5">
      <c r="A264" s="14"/>
      <c r="B264" s="14"/>
      <c r="C264" s="14"/>
      <c r="D264" s="15"/>
      <c r="E264" s="25"/>
      <c r="F264" s="14"/>
      <c r="G264" s="14"/>
      <c r="H264" s="14"/>
      <c r="I264" s="14"/>
      <c r="J264" s="120"/>
      <c r="K264" s="120"/>
      <c r="L264" s="120"/>
      <c r="M264" s="14"/>
      <c r="N264" s="14"/>
      <c r="O264" s="120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5">
      <c r="A265" s="14"/>
      <c r="B265" s="14"/>
      <c r="C265" s="14"/>
      <c r="D265" s="15"/>
      <c r="E265" s="25"/>
      <c r="F265" s="14"/>
      <c r="G265" s="14"/>
      <c r="H265" s="14"/>
      <c r="I265" s="14"/>
      <c r="J265" s="120"/>
      <c r="K265" s="120"/>
      <c r="L265" s="120"/>
      <c r="M265" s="14"/>
      <c r="N265" s="14"/>
      <c r="O265" s="120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5">
      <c r="A266" s="14"/>
      <c r="B266" s="14"/>
      <c r="C266" s="14"/>
      <c r="D266" s="15"/>
      <c r="E266" s="25"/>
      <c r="F266" s="14"/>
      <c r="G266" s="14"/>
      <c r="H266" s="14"/>
      <c r="I266" s="14"/>
      <c r="J266" s="120"/>
      <c r="K266" s="120"/>
      <c r="L266" s="120"/>
      <c r="M266" s="14"/>
      <c r="N266" s="14"/>
      <c r="O266" s="120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5">
      <c r="A267" s="14"/>
      <c r="B267" s="14"/>
      <c r="C267" s="14"/>
      <c r="D267" s="15"/>
      <c r="E267" s="25"/>
      <c r="F267" s="14"/>
      <c r="G267" s="14"/>
      <c r="H267" s="14"/>
      <c r="I267" s="14"/>
      <c r="J267" s="120"/>
      <c r="K267" s="120"/>
      <c r="L267" s="120"/>
      <c r="M267" s="14"/>
      <c r="N267" s="14"/>
      <c r="O267" s="120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5">
      <c r="A268" s="14"/>
      <c r="B268" s="14"/>
      <c r="C268" s="14"/>
      <c r="D268" s="15"/>
      <c r="E268" s="25"/>
      <c r="F268" s="14"/>
      <c r="G268" s="14"/>
      <c r="H268" s="14"/>
      <c r="I268" s="14"/>
      <c r="J268" s="120"/>
      <c r="K268" s="120"/>
      <c r="L268" s="120"/>
      <c r="M268" s="14"/>
      <c r="N268" s="14"/>
      <c r="O268" s="120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5">
      <c r="A269" s="14"/>
      <c r="B269" s="14"/>
      <c r="C269" s="14"/>
      <c r="D269" s="15"/>
      <c r="E269" s="25"/>
      <c r="F269" s="14"/>
      <c r="G269" s="14"/>
      <c r="H269" s="14"/>
      <c r="I269" s="14"/>
      <c r="J269" s="120"/>
      <c r="K269" s="120"/>
      <c r="L269" s="120"/>
      <c r="M269" s="14"/>
      <c r="N269" s="14"/>
      <c r="O269" s="120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5">
      <c r="A270" s="14"/>
      <c r="B270" s="14"/>
      <c r="C270" s="14"/>
      <c r="D270" s="15"/>
      <c r="E270" s="25"/>
      <c r="F270" s="14"/>
      <c r="G270" s="14"/>
      <c r="H270" s="14"/>
      <c r="I270" s="14"/>
      <c r="J270" s="120"/>
      <c r="K270" s="120"/>
      <c r="L270" s="120"/>
      <c r="M270" s="14"/>
      <c r="N270" s="14"/>
      <c r="O270" s="120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5">
      <c r="A271" s="14"/>
      <c r="B271" s="14"/>
      <c r="C271" s="14"/>
      <c r="D271" s="15"/>
      <c r="E271" s="25"/>
      <c r="F271" s="14"/>
      <c r="G271" s="14"/>
      <c r="H271" s="14"/>
      <c r="I271" s="14"/>
      <c r="J271" s="120"/>
      <c r="K271" s="120"/>
      <c r="L271" s="120"/>
      <c r="M271" s="14"/>
      <c r="N271" s="14"/>
      <c r="O271" s="120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5">
      <c r="A272" s="14"/>
      <c r="B272" s="14"/>
      <c r="C272" s="14"/>
      <c r="D272" s="15"/>
      <c r="E272" s="25"/>
      <c r="F272" s="14"/>
      <c r="G272" s="14"/>
      <c r="H272" s="14"/>
      <c r="I272" s="14"/>
      <c r="J272" s="120"/>
      <c r="K272" s="120"/>
      <c r="L272" s="120"/>
      <c r="M272" s="14"/>
      <c r="N272" s="14"/>
      <c r="O272" s="120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5">
      <c r="A273" s="14"/>
      <c r="B273" s="14"/>
      <c r="C273" s="14"/>
      <c r="D273" s="15"/>
      <c r="E273" s="25"/>
      <c r="F273" s="14"/>
      <c r="G273" s="14"/>
      <c r="H273" s="14"/>
      <c r="I273" s="14"/>
      <c r="J273" s="120"/>
      <c r="K273" s="120"/>
      <c r="L273" s="120"/>
      <c r="M273" s="14"/>
      <c r="N273" s="14"/>
      <c r="O273" s="120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5">
      <c r="A274" s="14"/>
      <c r="B274" s="14"/>
      <c r="C274" s="14"/>
      <c r="D274" s="15"/>
      <c r="E274" s="25"/>
      <c r="F274" s="14"/>
      <c r="G274" s="14"/>
      <c r="H274" s="14"/>
      <c r="I274" s="14"/>
      <c r="J274" s="120"/>
      <c r="K274" s="120"/>
      <c r="L274" s="120"/>
      <c r="M274" s="14"/>
      <c r="N274" s="14"/>
      <c r="O274" s="120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5">
      <c r="A275" s="14"/>
      <c r="B275" s="14"/>
      <c r="C275" s="14"/>
      <c r="D275" s="15"/>
      <c r="E275" s="25"/>
      <c r="F275" s="14"/>
      <c r="G275" s="14"/>
      <c r="H275" s="14"/>
      <c r="I275" s="14"/>
      <c r="J275" s="120"/>
      <c r="K275" s="120"/>
      <c r="L275" s="120"/>
      <c r="M275" s="14"/>
      <c r="N275" s="14"/>
      <c r="O275" s="120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5">
      <c r="A276" s="14"/>
      <c r="B276" s="14"/>
      <c r="C276" s="14"/>
      <c r="D276" s="15"/>
      <c r="E276" s="25"/>
      <c r="F276" s="14"/>
      <c r="G276" s="14"/>
      <c r="H276" s="14"/>
      <c r="I276" s="14"/>
      <c r="J276" s="120"/>
      <c r="K276" s="120"/>
      <c r="L276" s="120"/>
      <c r="M276" s="14"/>
      <c r="N276" s="14"/>
      <c r="O276" s="120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5">
      <c r="A277" s="14"/>
      <c r="B277" s="14"/>
      <c r="C277" s="14"/>
      <c r="D277" s="15"/>
      <c r="E277" s="25"/>
      <c r="F277" s="14"/>
      <c r="G277" s="14"/>
      <c r="H277" s="14"/>
      <c r="I277" s="14"/>
      <c r="J277" s="120"/>
      <c r="K277" s="120"/>
      <c r="L277" s="120"/>
      <c r="M277" s="14"/>
      <c r="N277" s="14"/>
      <c r="O277" s="120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5">
      <c r="A278" s="14"/>
      <c r="B278" s="14"/>
      <c r="C278" s="14"/>
      <c r="D278" s="15"/>
      <c r="E278" s="25"/>
      <c r="F278" s="14"/>
      <c r="G278" s="14"/>
      <c r="H278" s="14"/>
      <c r="I278" s="14"/>
      <c r="J278" s="120"/>
      <c r="K278" s="120"/>
      <c r="L278" s="120"/>
      <c r="M278" s="14"/>
      <c r="N278" s="14"/>
      <c r="O278" s="120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5">
      <c r="A279" s="14"/>
      <c r="B279" s="14"/>
      <c r="C279" s="14"/>
      <c r="D279" s="15"/>
      <c r="E279" s="25"/>
      <c r="F279" s="14"/>
      <c r="G279" s="14"/>
      <c r="H279" s="14"/>
      <c r="I279" s="14"/>
      <c r="J279" s="120"/>
      <c r="K279" s="120"/>
      <c r="L279" s="120"/>
      <c r="M279" s="14"/>
      <c r="N279" s="14"/>
      <c r="O279" s="120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5">
      <c r="A280" s="14"/>
      <c r="B280" s="14"/>
      <c r="C280" s="14"/>
      <c r="D280" s="15"/>
      <c r="E280" s="25"/>
      <c r="F280" s="14"/>
      <c r="G280" s="14"/>
      <c r="H280" s="14"/>
      <c r="I280" s="14"/>
      <c r="J280" s="120"/>
      <c r="K280" s="120"/>
      <c r="L280" s="120"/>
      <c r="M280" s="14"/>
      <c r="N280" s="14"/>
      <c r="O280" s="120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5">
      <c r="A281" s="14"/>
      <c r="B281" s="14"/>
      <c r="C281" s="14"/>
      <c r="D281" s="15"/>
      <c r="E281" s="25"/>
      <c r="F281" s="14"/>
      <c r="G281" s="14"/>
      <c r="H281" s="14"/>
      <c r="I281" s="14"/>
      <c r="J281" s="120"/>
      <c r="K281" s="120"/>
      <c r="L281" s="120"/>
      <c r="M281" s="14"/>
      <c r="N281" s="14"/>
      <c r="O281" s="120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5">
      <c r="A282" s="14"/>
      <c r="B282" s="14"/>
      <c r="C282" s="14"/>
      <c r="D282" s="15"/>
      <c r="E282" s="25"/>
      <c r="F282" s="14"/>
      <c r="G282" s="14"/>
      <c r="H282" s="14"/>
      <c r="I282" s="14"/>
      <c r="J282" s="120"/>
      <c r="K282" s="120"/>
      <c r="L282" s="120"/>
      <c r="M282" s="14"/>
      <c r="N282" s="14"/>
      <c r="O282" s="120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5">
      <c r="A283" s="14"/>
      <c r="B283" s="14"/>
      <c r="C283" s="14"/>
      <c r="D283" s="15"/>
      <c r="E283" s="25"/>
      <c r="F283" s="14"/>
      <c r="G283" s="14"/>
      <c r="H283" s="14"/>
      <c r="I283" s="14"/>
      <c r="J283" s="120"/>
      <c r="K283" s="120"/>
      <c r="L283" s="120"/>
      <c r="M283" s="14"/>
      <c r="N283" s="14"/>
      <c r="O283" s="120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5">
      <c r="A284" s="14"/>
      <c r="B284" s="14"/>
      <c r="C284" s="14"/>
      <c r="D284" s="15"/>
      <c r="E284" s="25"/>
      <c r="F284" s="14"/>
      <c r="G284" s="14"/>
      <c r="H284" s="14"/>
      <c r="I284" s="14"/>
      <c r="J284" s="120"/>
      <c r="K284" s="120"/>
      <c r="L284" s="120"/>
      <c r="M284" s="14"/>
      <c r="N284" s="14"/>
      <c r="O284" s="120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5">
      <c r="A285" s="14"/>
      <c r="B285" s="14"/>
      <c r="C285" s="14"/>
      <c r="D285" s="15"/>
      <c r="E285" s="25"/>
      <c r="F285" s="14"/>
      <c r="G285" s="14"/>
      <c r="H285" s="14"/>
      <c r="I285" s="14"/>
      <c r="J285" s="120"/>
      <c r="K285" s="120"/>
      <c r="L285" s="120"/>
      <c r="M285" s="14"/>
      <c r="N285" s="14"/>
      <c r="O285" s="120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5">
      <c r="A286" s="14"/>
      <c r="B286" s="14"/>
      <c r="C286" s="14"/>
      <c r="D286" s="15"/>
      <c r="E286" s="25"/>
      <c r="F286" s="14"/>
      <c r="G286" s="14"/>
      <c r="H286" s="14"/>
      <c r="I286" s="14"/>
      <c r="J286" s="120"/>
      <c r="K286" s="120"/>
      <c r="L286" s="120"/>
      <c r="M286" s="14"/>
      <c r="N286" s="14"/>
      <c r="O286" s="120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5">
      <c r="A287" s="14"/>
      <c r="B287" s="14"/>
      <c r="C287" s="14"/>
      <c r="D287" s="15"/>
      <c r="E287" s="25"/>
      <c r="F287" s="14"/>
      <c r="G287" s="14"/>
      <c r="H287" s="14"/>
      <c r="I287" s="14"/>
      <c r="J287" s="120"/>
      <c r="K287" s="120"/>
      <c r="L287" s="120"/>
      <c r="M287" s="14"/>
      <c r="N287" s="14"/>
      <c r="O287" s="120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5">
      <c r="A288" s="14"/>
      <c r="B288" s="14"/>
      <c r="C288" s="14"/>
      <c r="D288" s="15"/>
      <c r="E288" s="25"/>
      <c r="F288" s="14"/>
      <c r="G288" s="14"/>
      <c r="H288" s="14"/>
      <c r="I288" s="14"/>
      <c r="J288" s="120"/>
      <c r="K288" s="120"/>
      <c r="L288" s="120"/>
      <c r="M288" s="14"/>
      <c r="N288" s="14"/>
      <c r="O288" s="120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5">
      <c r="A289" s="14"/>
      <c r="B289" s="14"/>
      <c r="C289" s="14"/>
      <c r="D289" s="15"/>
      <c r="E289" s="25"/>
      <c r="F289" s="14"/>
      <c r="G289" s="14"/>
      <c r="H289" s="14"/>
      <c r="I289" s="14"/>
      <c r="J289" s="120"/>
      <c r="K289" s="120"/>
      <c r="L289" s="120"/>
      <c r="M289" s="14"/>
      <c r="N289" s="14"/>
      <c r="O289" s="120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5">
      <c r="A290" s="14"/>
      <c r="B290" s="14"/>
      <c r="C290" s="14"/>
      <c r="D290" s="15"/>
      <c r="E290" s="25"/>
      <c r="F290" s="14"/>
      <c r="G290" s="14"/>
      <c r="H290" s="14"/>
      <c r="I290" s="14"/>
      <c r="J290" s="120"/>
      <c r="K290" s="120"/>
      <c r="L290" s="120"/>
      <c r="M290" s="14"/>
      <c r="N290" s="14"/>
      <c r="O290" s="120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5">
      <c r="A291" s="14"/>
      <c r="B291" s="14"/>
      <c r="C291" s="14"/>
      <c r="D291" s="15"/>
      <c r="E291" s="25"/>
      <c r="F291" s="14"/>
      <c r="G291" s="14"/>
      <c r="H291" s="14"/>
      <c r="I291" s="14"/>
      <c r="J291" s="120"/>
      <c r="K291" s="120"/>
      <c r="L291" s="120"/>
      <c r="M291" s="14"/>
      <c r="N291" s="14"/>
      <c r="O291" s="120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5">
      <c r="A292" s="14"/>
      <c r="B292" s="14"/>
      <c r="C292" s="14"/>
      <c r="D292" s="15"/>
      <c r="E292" s="25"/>
      <c r="F292" s="14"/>
      <c r="G292" s="14"/>
      <c r="H292" s="14"/>
      <c r="I292" s="14"/>
      <c r="J292" s="120"/>
      <c r="K292" s="120"/>
      <c r="L292" s="120"/>
      <c r="M292" s="14"/>
      <c r="N292" s="14"/>
      <c r="O292" s="120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5">
      <c r="A293" s="14"/>
      <c r="B293" s="14"/>
      <c r="C293" s="14"/>
      <c r="D293" s="15"/>
      <c r="E293" s="25"/>
      <c r="F293" s="14"/>
      <c r="G293" s="14"/>
      <c r="H293" s="14"/>
      <c r="I293" s="14"/>
      <c r="J293" s="120"/>
      <c r="K293" s="120"/>
      <c r="L293" s="120"/>
      <c r="M293" s="14"/>
      <c r="N293" s="14"/>
      <c r="O293" s="120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5">
      <c r="A294" s="14"/>
      <c r="B294" s="14"/>
      <c r="C294" s="14"/>
      <c r="D294" s="15"/>
      <c r="E294" s="25"/>
      <c r="F294" s="14"/>
      <c r="G294" s="14"/>
      <c r="H294" s="14"/>
      <c r="I294" s="14"/>
      <c r="J294" s="120"/>
      <c r="K294" s="120"/>
      <c r="L294" s="120"/>
      <c r="M294" s="14"/>
      <c r="N294" s="14"/>
      <c r="O294" s="120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5">
      <c r="A295" s="14"/>
      <c r="B295" s="14"/>
      <c r="C295" s="14"/>
      <c r="D295" s="15"/>
      <c r="E295" s="25"/>
      <c r="F295" s="14"/>
      <c r="G295" s="14"/>
      <c r="H295" s="14"/>
      <c r="I295" s="14"/>
      <c r="J295" s="120"/>
      <c r="K295" s="120"/>
      <c r="L295" s="120"/>
      <c r="M295" s="14"/>
      <c r="N295" s="14"/>
      <c r="O295" s="120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5">
      <c r="A296" s="14"/>
      <c r="B296" s="14"/>
      <c r="C296" s="14"/>
      <c r="D296" s="15"/>
      <c r="E296" s="25"/>
      <c r="F296" s="14"/>
      <c r="G296" s="14"/>
      <c r="H296" s="14"/>
      <c r="I296" s="14"/>
      <c r="J296" s="120"/>
      <c r="K296" s="120"/>
      <c r="L296" s="120"/>
      <c r="M296" s="14"/>
      <c r="N296" s="14"/>
      <c r="O296" s="120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5">
      <c r="A297" s="14"/>
      <c r="B297" s="14"/>
      <c r="C297" s="14"/>
      <c r="D297" s="15"/>
      <c r="E297" s="25"/>
      <c r="F297" s="14"/>
      <c r="G297" s="14"/>
      <c r="H297" s="14"/>
      <c r="I297" s="14"/>
      <c r="J297" s="120"/>
      <c r="K297" s="120"/>
      <c r="L297" s="120"/>
      <c r="M297" s="14"/>
      <c r="N297" s="14"/>
      <c r="O297" s="120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5">
      <c r="A298" s="14"/>
      <c r="B298" s="14"/>
      <c r="C298" s="14"/>
      <c r="D298" s="15"/>
      <c r="E298" s="25"/>
      <c r="F298" s="14"/>
      <c r="G298" s="14"/>
      <c r="H298" s="14"/>
      <c r="I298" s="14"/>
      <c r="J298" s="120"/>
      <c r="K298" s="120"/>
      <c r="L298" s="120"/>
      <c r="M298" s="14"/>
      <c r="N298" s="14"/>
      <c r="O298" s="120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5">
      <c r="A299" s="14"/>
      <c r="B299" s="14"/>
      <c r="C299" s="14"/>
      <c r="D299" s="15"/>
      <c r="E299" s="25"/>
      <c r="F299" s="14"/>
      <c r="G299" s="14"/>
      <c r="H299" s="14"/>
      <c r="I299" s="14"/>
      <c r="J299" s="120"/>
      <c r="K299" s="120"/>
      <c r="L299" s="120"/>
      <c r="M299" s="14"/>
      <c r="N299" s="14"/>
      <c r="O299" s="120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5">
      <c r="A300" s="14"/>
      <c r="B300" s="14"/>
      <c r="C300" s="14"/>
      <c r="D300" s="15"/>
      <c r="E300" s="25"/>
      <c r="F300" s="14"/>
      <c r="G300" s="14"/>
      <c r="H300" s="14"/>
      <c r="I300" s="14"/>
      <c r="J300" s="120"/>
      <c r="K300" s="120"/>
      <c r="L300" s="120"/>
      <c r="M300" s="14"/>
      <c r="N300" s="14"/>
      <c r="O300" s="120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5">
      <c r="A301" s="14"/>
      <c r="B301" s="14"/>
      <c r="C301" s="14"/>
      <c r="D301" s="15"/>
      <c r="E301" s="25"/>
      <c r="F301" s="14"/>
      <c r="G301" s="14"/>
      <c r="H301" s="14"/>
      <c r="I301" s="14"/>
      <c r="J301" s="120"/>
      <c r="K301" s="120"/>
      <c r="L301" s="120"/>
      <c r="M301" s="14"/>
      <c r="N301" s="14"/>
      <c r="O301" s="120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5">
      <c r="A302" s="14"/>
      <c r="B302" s="14"/>
      <c r="C302" s="14"/>
      <c r="D302" s="15"/>
      <c r="E302" s="25"/>
      <c r="F302" s="14"/>
      <c r="G302" s="14"/>
      <c r="H302" s="14"/>
      <c r="I302" s="14"/>
      <c r="J302" s="120"/>
      <c r="K302" s="120"/>
      <c r="L302" s="120"/>
      <c r="M302" s="14"/>
      <c r="N302" s="14"/>
      <c r="O302" s="120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5">
      <c r="A303" s="14"/>
      <c r="B303" s="14"/>
      <c r="C303" s="14"/>
      <c r="D303" s="15"/>
      <c r="E303" s="25"/>
      <c r="F303" s="14"/>
      <c r="G303" s="14"/>
      <c r="H303" s="14"/>
      <c r="I303" s="14"/>
      <c r="J303" s="120"/>
      <c r="K303" s="120"/>
      <c r="L303" s="120"/>
      <c r="M303" s="14"/>
      <c r="N303" s="14"/>
      <c r="O303" s="120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5">
      <c r="A304" s="14"/>
      <c r="B304" s="14"/>
      <c r="C304" s="14"/>
      <c r="D304" s="15"/>
      <c r="E304" s="25"/>
      <c r="F304" s="14"/>
      <c r="G304" s="14"/>
      <c r="H304" s="14"/>
      <c r="I304" s="14"/>
      <c r="J304" s="120"/>
      <c r="K304" s="120"/>
      <c r="L304" s="120"/>
      <c r="M304" s="14"/>
      <c r="N304" s="14"/>
      <c r="O304" s="120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5">
      <c r="A305" s="14"/>
      <c r="B305" s="14"/>
      <c r="C305" s="14"/>
      <c r="D305" s="15"/>
      <c r="E305" s="25"/>
      <c r="F305" s="14"/>
      <c r="G305" s="14"/>
      <c r="H305" s="14"/>
      <c r="I305" s="14"/>
      <c r="J305" s="120"/>
      <c r="K305" s="120"/>
      <c r="L305" s="120"/>
      <c r="M305" s="14"/>
      <c r="N305" s="14"/>
      <c r="O305" s="120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5">
      <c r="A306" s="14"/>
      <c r="B306" s="14"/>
      <c r="C306" s="14"/>
      <c r="D306" s="15"/>
      <c r="E306" s="25"/>
      <c r="F306" s="14"/>
      <c r="G306" s="14"/>
      <c r="H306" s="14"/>
      <c r="I306" s="14"/>
      <c r="J306" s="120"/>
      <c r="K306" s="120"/>
      <c r="L306" s="120"/>
      <c r="M306" s="14"/>
      <c r="N306" s="14"/>
      <c r="O306" s="120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5">
      <c r="A307" s="14"/>
      <c r="B307" s="14"/>
      <c r="C307" s="14"/>
      <c r="D307" s="15"/>
      <c r="E307" s="25"/>
      <c r="F307" s="14"/>
      <c r="G307" s="14"/>
      <c r="H307" s="14"/>
      <c r="I307" s="14"/>
      <c r="J307" s="120"/>
      <c r="K307" s="120"/>
      <c r="L307" s="120"/>
      <c r="M307" s="14"/>
      <c r="N307" s="14"/>
      <c r="O307" s="120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5">
      <c r="A308" s="14"/>
      <c r="B308" s="14"/>
      <c r="C308" s="14"/>
      <c r="D308" s="15"/>
      <c r="E308" s="25"/>
      <c r="F308" s="14"/>
      <c r="G308" s="14"/>
      <c r="H308" s="14"/>
      <c r="I308" s="14"/>
      <c r="J308" s="120"/>
      <c r="K308" s="120"/>
      <c r="L308" s="120"/>
      <c r="M308" s="14"/>
      <c r="N308" s="14"/>
      <c r="O308" s="120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5">
      <c r="A309" s="14"/>
      <c r="B309" s="14"/>
      <c r="C309" s="14"/>
      <c r="D309" s="15"/>
      <c r="E309" s="25"/>
      <c r="F309" s="14"/>
      <c r="G309" s="14"/>
      <c r="H309" s="14"/>
      <c r="I309" s="14"/>
      <c r="J309" s="120"/>
      <c r="K309" s="120"/>
      <c r="L309" s="120"/>
      <c r="M309" s="14"/>
      <c r="N309" s="14"/>
      <c r="O309" s="120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5">
      <c r="A310" s="14"/>
      <c r="B310" s="14"/>
      <c r="C310" s="14"/>
      <c r="D310" s="15"/>
      <c r="E310" s="25"/>
      <c r="F310" s="14"/>
      <c r="G310" s="14"/>
      <c r="H310" s="14"/>
      <c r="I310" s="14"/>
      <c r="J310" s="120"/>
      <c r="K310" s="120"/>
      <c r="L310" s="120"/>
      <c r="M310" s="14"/>
      <c r="N310" s="14"/>
      <c r="O310" s="120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5">
      <c r="A311" s="14"/>
      <c r="B311" s="14"/>
      <c r="C311" s="14"/>
      <c r="D311" s="15"/>
      <c r="E311" s="25"/>
      <c r="F311" s="14"/>
      <c r="G311" s="14"/>
      <c r="H311" s="14"/>
      <c r="I311" s="14"/>
      <c r="J311" s="120"/>
      <c r="K311" s="120"/>
      <c r="L311" s="120"/>
      <c r="M311" s="14"/>
      <c r="N311" s="14"/>
      <c r="O311" s="120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5">
      <c r="A312" s="14"/>
      <c r="B312" s="14"/>
      <c r="C312" s="14"/>
      <c r="D312" s="15"/>
      <c r="E312" s="25"/>
      <c r="F312" s="14"/>
      <c r="G312" s="14"/>
      <c r="H312" s="14"/>
      <c r="I312" s="14"/>
      <c r="J312" s="120"/>
      <c r="K312" s="120"/>
      <c r="L312" s="120"/>
      <c r="M312" s="14"/>
      <c r="N312" s="14"/>
      <c r="O312" s="120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5">
      <c r="A313" s="14"/>
      <c r="B313" s="14"/>
      <c r="C313" s="14"/>
      <c r="D313" s="15"/>
      <c r="E313" s="25"/>
      <c r="F313" s="14"/>
      <c r="G313" s="14"/>
      <c r="H313" s="14"/>
      <c r="I313" s="14"/>
      <c r="J313" s="120"/>
      <c r="K313" s="120"/>
      <c r="L313" s="120"/>
      <c r="M313" s="14"/>
      <c r="N313" s="14"/>
      <c r="O313" s="120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5">
      <c r="A314" s="14"/>
      <c r="B314" s="14"/>
      <c r="C314" s="14"/>
      <c r="D314" s="15"/>
      <c r="E314" s="25"/>
      <c r="F314" s="14"/>
      <c r="G314" s="14"/>
      <c r="H314" s="14"/>
      <c r="I314" s="14"/>
      <c r="J314" s="120"/>
      <c r="K314" s="120"/>
      <c r="L314" s="120"/>
      <c r="M314" s="14"/>
      <c r="N314" s="14"/>
      <c r="O314" s="120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5">
      <c r="A315" s="14"/>
      <c r="B315" s="14"/>
      <c r="C315" s="14"/>
      <c r="D315" s="15"/>
      <c r="E315" s="25"/>
      <c r="F315" s="14"/>
      <c r="G315" s="14"/>
      <c r="H315" s="14"/>
      <c r="I315" s="14"/>
      <c r="J315" s="120"/>
      <c r="K315" s="120"/>
      <c r="L315" s="120"/>
      <c r="M315" s="14"/>
      <c r="N315" s="14"/>
      <c r="O315" s="120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5">
      <c r="A316" s="14"/>
      <c r="B316" s="14"/>
      <c r="C316" s="14"/>
      <c r="D316" s="15"/>
      <c r="E316" s="25"/>
      <c r="F316" s="14"/>
      <c r="G316" s="14"/>
      <c r="H316" s="14"/>
      <c r="I316" s="14"/>
      <c r="J316" s="120"/>
      <c r="K316" s="120"/>
      <c r="L316" s="120"/>
      <c r="M316" s="14"/>
      <c r="N316" s="14"/>
      <c r="O316" s="120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5">
      <c r="A317" s="14"/>
      <c r="B317" s="14"/>
      <c r="C317" s="14"/>
      <c r="D317" s="15"/>
      <c r="E317" s="25"/>
      <c r="F317" s="14"/>
      <c r="G317" s="14"/>
      <c r="H317" s="14"/>
      <c r="I317" s="14"/>
      <c r="J317" s="120"/>
      <c r="K317" s="120"/>
      <c r="L317" s="120"/>
      <c r="M317" s="14"/>
      <c r="N317" s="14"/>
      <c r="O317" s="120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5">
      <c r="A318" s="14"/>
      <c r="B318" s="14"/>
      <c r="C318" s="14"/>
      <c r="D318" s="15"/>
      <c r="E318" s="25"/>
      <c r="F318" s="14"/>
      <c r="G318" s="14"/>
      <c r="H318" s="14"/>
      <c r="I318" s="14"/>
      <c r="J318" s="120"/>
      <c r="K318" s="120"/>
      <c r="L318" s="120"/>
      <c r="M318" s="14"/>
      <c r="N318" s="14"/>
      <c r="O318" s="120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5">
      <c r="A319" s="14"/>
      <c r="B319" s="14"/>
      <c r="C319" s="14"/>
      <c r="D319" s="15"/>
      <c r="E319" s="25"/>
      <c r="F319" s="14"/>
      <c r="G319" s="14"/>
      <c r="H319" s="14"/>
      <c r="I319" s="14"/>
      <c r="J319" s="120"/>
      <c r="K319" s="120"/>
      <c r="L319" s="120"/>
      <c r="M319" s="14"/>
      <c r="N319" s="14"/>
      <c r="O319" s="120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5">
      <c r="A320" s="14"/>
      <c r="B320" s="14"/>
      <c r="C320" s="14"/>
      <c r="D320" s="15"/>
      <c r="E320" s="25"/>
      <c r="F320" s="14"/>
      <c r="G320" s="14"/>
      <c r="H320" s="14"/>
      <c r="I320" s="14"/>
      <c r="J320" s="120"/>
      <c r="K320" s="120"/>
      <c r="L320" s="120"/>
      <c r="M320" s="14"/>
      <c r="N320" s="14"/>
      <c r="O320" s="120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5">
      <c r="A321" s="14"/>
      <c r="B321" s="14"/>
      <c r="C321" s="14"/>
      <c r="D321" s="15"/>
      <c r="E321" s="25"/>
      <c r="F321" s="14"/>
      <c r="G321" s="14"/>
      <c r="H321" s="14"/>
      <c r="I321" s="14"/>
      <c r="J321" s="120"/>
      <c r="K321" s="120"/>
      <c r="L321" s="120"/>
      <c r="M321" s="14"/>
      <c r="N321" s="14"/>
      <c r="O321" s="120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5">
      <c r="A322" s="14"/>
      <c r="B322" s="14"/>
      <c r="C322" s="14"/>
      <c r="D322" s="15"/>
      <c r="E322" s="25"/>
      <c r="F322" s="14"/>
      <c r="G322" s="14"/>
      <c r="H322" s="14"/>
      <c r="I322" s="14"/>
      <c r="J322" s="120"/>
      <c r="K322" s="120"/>
      <c r="L322" s="120"/>
      <c r="M322" s="14"/>
      <c r="N322" s="14"/>
      <c r="O322" s="120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5">
      <c r="A323" s="14"/>
      <c r="B323" s="14"/>
      <c r="C323" s="14"/>
      <c r="D323" s="15"/>
      <c r="E323" s="25"/>
      <c r="F323" s="14"/>
      <c r="G323" s="14"/>
      <c r="H323" s="14"/>
      <c r="I323" s="14"/>
      <c r="J323" s="120"/>
      <c r="K323" s="120"/>
      <c r="L323" s="120"/>
      <c r="M323" s="14"/>
      <c r="N323" s="14"/>
      <c r="O323" s="120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5">
      <c r="A324" s="14"/>
      <c r="B324" s="14"/>
      <c r="C324" s="14"/>
      <c r="D324" s="15"/>
      <c r="E324" s="25"/>
      <c r="F324" s="14"/>
      <c r="G324" s="14"/>
      <c r="H324" s="14"/>
      <c r="I324" s="14"/>
      <c r="J324" s="120"/>
      <c r="K324" s="120"/>
      <c r="L324" s="120"/>
      <c r="M324" s="14"/>
      <c r="N324" s="14"/>
      <c r="O324" s="120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5">
      <c r="A325" s="14"/>
      <c r="B325" s="14"/>
      <c r="C325" s="14"/>
      <c r="D325" s="15"/>
      <c r="E325" s="25"/>
      <c r="F325" s="14"/>
      <c r="G325" s="14"/>
      <c r="H325" s="14"/>
      <c r="I325" s="14"/>
      <c r="J325" s="120"/>
      <c r="K325" s="120"/>
      <c r="L325" s="120"/>
      <c r="M325" s="14"/>
      <c r="N325" s="14"/>
      <c r="O325" s="120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5">
      <c r="A326" s="14"/>
      <c r="B326" s="14"/>
      <c r="C326" s="14"/>
      <c r="D326" s="15"/>
      <c r="E326" s="25"/>
      <c r="F326" s="14"/>
      <c r="G326" s="14"/>
      <c r="H326" s="14"/>
      <c r="I326" s="14"/>
      <c r="J326" s="120"/>
      <c r="K326" s="120"/>
      <c r="L326" s="120"/>
      <c r="M326" s="14"/>
      <c r="N326" s="14"/>
      <c r="O326" s="120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5">
      <c r="A327" s="14"/>
      <c r="B327" s="14"/>
      <c r="C327" s="14"/>
      <c r="D327" s="15"/>
      <c r="E327" s="25"/>
      <c r="F327" s="14"/>
      <c r="G327" s="14"/>
      <c r="H327" s="14"/>
      <c r="I327" s="14"/>
      <c r="J327" s="120"/>
      <c r="K327" s="120"/>
      <c r="L327" s="120"/>
      <c r="M327" s="14"/>
      <c r="N327" s="14"/>
      <c r="O327" s="120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5">
      <c r="A328" s="14"/>
      <c r="B328" s="14"/>
      <c r="C328" s="14"/>
      <c r="D328" s="15"/>
      <c r="E328" s="25"/>
      <c r="F328" s="14"/>
      <c r="G328" s="14"/>
      <c r="H328" s="14"/>
      <c r="I328" s="14"/>
      <c r="J328" s="120"/>
      <c r="K328" s="120"/>
      <c r="L328" s="120"/>
      <c r="M328" s="14"/>
      <c r="N328" s="14"/>
      <c r="O328" s="120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5">
      <c r="A329" s="14"/>
      <c r="B329" s="14"/>
      <c r="C329" s="14"/>
      <c r="D329" s="15"/>
      <c r="E329" s="25"/>
      <c r="F329" s="14"/>
      <c r="G329" s="14"/>
      <c r="H329" s="14"/>
      <c r="I329" s="14"/>
      <c r="J329" s="120"/>
      <c r="K329" s="120"/>
      <c r="L329" s="120"/>
      <c r="M329" s="14"/>
      <c r="N329" s="14"/>
      <c r="O329" s="120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5">
      <c r="A330" s="14"/>
      <c r="B330" s="14"/>
      <c r="C330" s="14"/>
      <c r="D330" s="15"/>
      <c r="E330" s="25"/>
      <c r="F330" s="14"/>
      <c r="G330" s="14"/>
      <c r="H330" s="14"/>
      <c r="I330" s="14"/>
      <c r="J330" s="120"/>
      <c r="K330" s="120"/>
      <c r="L330" s="120"/>
      <c r="M330" s="14"/>
      <c r="N330" s="14"/>
      <c r="O330" s="120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5">
      <c r="A331" s="14"/>
      <c r="B331" s="14"/>
      <c r="C331" s="14"/>
      <c r="D331" s="15"/>
      <c r="E331" s="25"/>
      <c r="F331" s="14"/>
      <c r="G331" s="14"/>
      <c r="H331" s="14"/>
      <c r="I331" s="14"/>
      <c r="J331" s="120"/>
      <c r="K331" s="120"/>
      <c r="L331" s="120"/>
      <c r="M331" s="14"/>
      <c r="N331" s="14"/>
      <c r="O331" s="120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5">
      <c r="A332" s="14"/>
      <c r="B332" s="14"/>
      <c r="C332" s="14"/>
      <c r="D332" s="15"/>
      <c r="E332" s="25"/>
      <c r="F332" s="14"/>
      <c r="G332" s="14"/>
      <c r="H332" s="14"/>
      <c r="I332" s="14"/>
      <c r="J332" s="120"/>
      <c r="K332" s="120"/>
      <c r="L332" s="120"/>
      <c r="M332" s="14"/>
      <c r="N332" s="14"/>
      <c r="O332" s="120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5">
      <c r="A333" s="14"/>
      <c r="B333" s="14"/>
      <c r="C333" s="14"/>
      <c r="D333" s="15"/>
      <c r="E333" s="25"/>
      <c r="F333" s="14"/>
      <c r="G333" s="14"/>
      <c r="H333" s="14"/>
      <c r="I333" s="14"/>
      <c r="J333" s="120"/>
      <c r="K333" s="120"/>
      <c r="L333" s="120"/>
      <c r="M333" s="14"/>
      <c r="N333" s="14"/>
      <c r="O333" s="120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5">
      <c r="A334" s="14"/>
      <c r="B334" s="14"/>
      <c r="C334" s="14"/>
      <c r="D334" s="15"/>
      <c r="E334" s="25"/>
      <c r="F334" s="14"/>
      <c r="G334" s="14"/>
      <c r="H334" s="14"/>
      <c r="I334" s="14"/>
      <c r="J334" s="120"/>
      <c r="K334" s="120"/>
      <c r="L334" s="120"/>
      <c r="M334" s="14"/>
      <c r="N334" s="14"/>
      <c r="O334" s="120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5">
      <c r="A335" s="14"/>
      <c r="B335" s="14"/>
      <c r="C335" s="14"/>
      <c r="D335" s="15"/>
      <c r="E335" s="25"/>
      <c r="F335" s="14"/>
      <c r="G335" s="14"/>
      <c r="H335" s="14"/>
      <c r="I335" s="14"/>
      <c r="J335" s="120"/>
      <c r="K335" s="120"/>
      <c r="L335" s="120"/>
      <c r="M335" s="14"/>
      <c r="N335" s="14"/>
      <c r="O335" s="120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5">
      <c r="A336" s="14"/>
      <c r="B336" s="14"/>
      <c r="C336" s="14"/>
      <c r="D336" s="15"/>
      <c r="E336" s="25"/>
      <c r="F336" s="14"/>
      <c r="G336" s="14"/>
      <c r="H336" s="14"/>
      <c r="I336" s="14"/>
      <c r="J336" s="120"/>
      <c r="K336" s="120"/>
      <c r="L336" s="120"/>
      <c r="M336" s="14"/>
      <c r="N336" s="14"/>
      <c r="O336" s="120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5">
      <c r="A337" s="14"/>
      <c r="B337" s="14"/>
      <c r="C337" s="14"/>
      <c r="D337" s="15"/>
      <c r="E337" s="25"/>
      <c r="F337" s="14"/>
      <c r="G337" s="14"/>
      <c r="H337" s="14"/>
      <c r="I337" s="14"/>
      <c r="J337" s="120"/>
      <c r="K337" s="120"/>
      <c r="L337" s="120"/>
      <c r="M337" s="14"/>
      <c r="N337" s="14"/>
      <c r="O337" s="120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5">
      <c r="A338" s="14"/>
      <c r="B338" s="14"/>
      <c r="C338" s="14"/>
      <c r="D338" s="15"/>
      <c r="E338" s="25"/>
      <c r="F338" s="14"/>
      <c r="G338" s="14"/>
      <c r="H338" s="14"/>
      <c r="I338" s="14"/>
      <c r="J338" s="120"/>
      <c r="K338" s="120"/>
      <c r="L338" s="120"/>
      <c r="M338" s="14"/>
      <c r="N338" s="14"/>
      <c r="O338" s="120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5">
      <c r="A339" s="14"/>
      <c r="B339" s="14"/>
      <c r="C339" s="14"/>
      <c r="D339" s="15"/>
      <c r="E339" s="25"/>
      <c r="F339" s="14"/>
      <c r="G339" s="14"/>
      <c r="H339" s="14"/>
      <c r="I339" s="14"/>
      <c r="J339" s="120"/>
      <c r="K339" s="120"/>
      <c r="L339" s="120"/>
      <c r="M339" s="14"/>
      <c r="N339" s="14"/>
      <c r="O339" s="120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5">
      <c r="A340" s="14"/>
      <c r="B340" s="14"/>
      <c r="C340" s="14"/>
      <c r="D340" s="15"/>
      <c r="E340" s="25"/>
      <c r="F340" s="14"/>
      <c r="G340" s="14"/>
      <c r="H340" s="14"/>
      <c r="I340" s="14"/>
      <c r="J340" s="120"/>
      <c r="K340" s="120"/>
      <c r="L340" s="120"/>
      <c r="M340" s="14"/>
      <c r="N340" s="14"/>
      <c r="O340" s="120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5">
      <c r="A341" s="14"/>
      <c r="B341" s="14"/>
      <c r="C341" s="14"/>
      <c r="D341" s="15"/>
      <c r="E341" s="25"/>
      <c r="F341" s="14"/>
      <c r="G341" s="14"/>
      <c r="H341" s="14"/>
      <c r="I341" s="14"/>
      <c r="J341" s="120"/>
      <c r="K341" s="120"/>
      <c r="L341" s="120"/>
      <c r="M341" s="14"/>
      <c r="N341" s="14"/>
      <c r="O341" s="120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5">
      <c r="A342" s="14"/>
      <c r="B342" s="14"/>
      <c r="C342" s="14"/>
      <c r="D342" s="15"/>
      <c r="E342" s="25"/>
      <c r="F342" s="14"/>
      <c r="G342" s="14"/>
      <c r="H342" s="14"/>
      <c r="I342" s="14"/>
      <c r="J342" s="120"/>
      <c r="K342" s="120"/>
      <c r="L342" s="120"/>
      <c r="M342" s="14"/>
      <c r="N342" s="14"/>
      <c r="O342" s="120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5">
      <c r="A343" s="14"/>
      <c r="B343" s="14"/>
      <c r="C343" s="14"/>
      <c r="D343" s="15"/>
      <c r="E343" s="25"/>
      <c r="F343" s="14"/>
      <c r="G343" s="14"/>
      <c r="H343" s="14"/>
      <c r="I343" s="14"/>
      <c r="J343" s="120"/>
      <c r="K343" s="120"/>
      <c r="L343" s="120"/>
      <c r="M343" s="14"/>
      <c r="N343" s="14"/>
      <c r="O343" s="120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5">
      <c r="A344" s="14"/>
      <c r="B344" s="14"/>
      <c r="C344" s="14"/>
      <c r="D344" s="15"/>
      <c r="E344" s="25"/>
      <c r="F344" s="14"/>
      <c r="G344" s="14"/>
      <c r="H344" s="14"/>
      <c r="I344" s="14"/>
      <c r="J344" s="120"/>
      <c r="K344" s="120"/>
      <c r="L344" s="120"/>
      <c r="M344" s="14"/>
      <c r="N344" s="14"/>
      <c r="O344" s="120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5">
      <c r="A345" s="14"/>
      <c r="B345" s="14"/>
      <c r="C345" s="14"/>
      <c r="D345" s="15"/>
      <c r="E345" s="25"/>
      <c r="F345" s="14"/>
      <c r="G345" s="14"/>
      <c r="H345" s="14"/>
      <c r="I345" s="14"/>
      <c r="J345" s="120"/>
      <c r="K345" s="120"/>
      <c r="L345" s="120"/>
      <c r="M345" s="14"/>
      <c r="N345" s="14"/>
      <c r="O345" s="120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5">
      <c r="A346" s="14"/>
      <c r="B346" s="14"/>
      <c r="C346" s="14"/>
      <c r="D346" s="15"/>
      <c r="E346" s="25"/>
      <c r="F346" s="14"/>
      <c r="G346" s="14"/>
      <c r="H346" s="14"/>
      <c r="I346" s="14"/>
      <c r="J346" s="120"/>
      <c r="K346" s="120"/>
      <c r="L346" s="120"/>
      <c r="M346" s="14"/>
      <c r="N346" s="14"/>
      <c r="O346" s="120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5">
      <c r="A347" s="14"/>
      <c r="B347" s="14"/>
      <c r="C347" s="14"/>
      <c r="D347" s="15"/>
      <c r="E347" s="25"/>
      <c r="F347" s="14"/>
      <c r="G347" s="14"/>
      <c r="H347" s="14"/>
      <c r="I347" s="14"/>
      <c r="J347" s="120"/>
      <c r="K347" s="120"/>
      <c r="L347" s="120"/>
      <c r="M347" s="14"/>
      <c r="N347" s="14"/>
      <c r="O347" s="120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5">
      <c r="A348" s="14"/>
      <c r="B348" s="14"/>
      <c r="C348" s="14"/>
      <c r="D348" s="15"/>
      <c r="E348" s="25"/>
      <c r="F348" s="14"/>
      <c r="G348" s="14"/>
      <c r="H348" s="14"/>
      <c r="I348" s="14"/>
      <c r="J348" s="120"/>
      <c r="K348" s="120"/>
      <c r="L348" s="120"/>
      <c r="M348" s="14"/>
      <c r="N348" s="14"/>
      <c r="O348" s="120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5">
      <c r="A349" s="14"/>
      <c r="B349" s="14"/>
      <c r="C349" s="14"/>
      <c r="D349" s="15"/>
      <c r="E349" s="25"/>
      <c r="F349" s="14"/>
      <c r="G349" s="14"/>
      <c r="H349" s="14"/>
      <c r="I349" s="14"/>
      <c r="J349" s="120"/>
      <c r="K349" s="120"/>
      <c r="L349" s="120"/>
      <c r="M349" s="14"/>
      <c r="N349" s="14"/>
      <c r="O349" s="120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5">
      <c r="A350" s="14"/>
      <c r="B350" s="14"/>
      <c r="C350" s="14"/>
      <c r="D350" s="15"/>
      <c r="E350" s="25"/>
      <c r="F350" s="14"/>
      <c r="G350" s="14"/>
      <c r="H350" s="14"/>
      <c r="I350" s="14"/>
      <c r="J350" s="120"/>
      <c r="K350" s="120"/>
      <c r="L350" s="120"/>
      <c r="M350" s="14"/>
      <c r="N350" s="14"/>
      <c r="O350" s="120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5">
      <c r="A351" s="14"/>
      <c r="B351" s="14"/>
      <c r="C351" s="14"/>
      <c r="D351" s="15"/>
      <c r="E351" s="25"/>
      <c r="F351" s="14"/>
      <c r="G351" s="14"/>
      <c r="H351" s="14"/>
      <c r="I351" s="14"/>
      <c r="J351" s="120"/>
      <c r="K351" s="120"/>
      <c r="L351" s="120"/>
      <c r="M351" s="14"/>
      <c r="N351" s="14"/>
      <c r="O351" s="120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5">
      <c r="A352" s="14"/>
      <c r="B352" s="14"/>
      <c r="C352" s="14"/>
      <c r="D352" s="15"/>
      <c r="E352" s="25"/>
      <c r="F352" s="14"/>
      <c r="G352" s="14"/>
      <c r="H352" s="14"/>
      <c r="I352" s="14"/>
      <c r="J352" s="120"/>
      <c r="K352" s="120"/>
      <c r="L352" s="120"/>
      <c r="M352" s="14"/>
      <c r="N352" s="14"/>
      <c r="O352" s="120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5">
      <c r="A353" s="14"/>
      <c r="B353" s="14"/>
      <c r="C353" s="14"/>
      <c r="D353" s="15"/>
      <c r="E353" s="25"/>
      <c r="F353" s="14"/>
      <c r="G353" s="14"/>
      <c r="H353" s="14"/>
      <c r="I353" s="14"/>
      <c r="J353" s="120"/>
      <c r="K353" s="120"/>
      <c r="L353" s="120"/>
      <c r="M353" s="14"/>
      <c r="N353" s="14"/>
      <c r="O353" s="120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5">
      <c r="A354" s="14"/>
      <c r="B354" s="14"/>
      <c r="C354" s="14"/>
      <c r="D354" s="15"/>
      <c r="E354" s="25"/>
      <c r="F354" s="14"/>
      <c r="G354" s="14"/>
      <c r="H354" s="14"/>
      <c r="I354" s="14"/>
      <c r="J354" s="120"/>
      <c r="K354" s="120"/>
      <c r="L354" s="120"/>
      <c r="M354" s="14"/>
      <c r="N354" s="14"/>
      <c r="O354" s="120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5">
      <c r="A355" s="14"/>
      <c r="B355" s="14"/>
      <c r="C355" s="14"/>
      <c r="D355" s="15"/>
      <c r="E355" s="25"/>
      <c r="F355" s="14"/>
      <c r="G355" s="14"/>
      <c r="H355" s="14"/>
      <c r="I355" s="14"/>
      <c r="J355" s="120"/>
      <c r="K355" s="120"/>
      <c r="L355" s="120"/>
      <c r="M355" s="14"/>
      <c r="N355" s="14"/>
      <c r="O355" s="120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5">
      <c r="A356" s="14"/>
      <c r="B356" s="14"/>
      <c r="C356" s="14"/>
      <c r="D356" s="15"/>
      <c r="E356" s="25"/>
      <c r="F356" s="14"/>
      <c r="G356" s="14"/>
      <c r="H356" s="14"/>
      <c r="I356" s="14"/>
      <c r="J356" s="120"/>
      <c r="K356" s="120"/>
      <c r="L356" s="120"/>
      <c r="M356" s="14"/>
      <c r="N356" s="14"/>
      <c r="O356" s="120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5">
      <c r="A357" s="14"/>
      <c r="B357" s="14"/>
      <c r="C357" s="14"/>
      <c r="D357" s="15"/>
      <c r="E357" s="25"/>
      <c r="F357" s="14"/>
      <c r="G357" s="14"/>
      <c r="H357" s="14"/>
      <c r="I357" s="14"/>
      <c r="J357" s="120"/>
      <c r="K357" s="120"/>
      <c r="L357" s="120"/>
      <c r="M357" s="14"/>
      <c r="N357" s="14"/>
      <c r="O357" s="120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5">
      <c r="A358" s="14"/>
      <c r="B358" s="14"/>
      <c r="C358" s="14"/>
      <c r="D358" s="15"/>
      <c r="E358" s="25"/>
      <c r="F358" s="14"/>
      <c r="G358" s="14"/>
      <c r="H358" s="14"/>
      <c r="I358" s="14"/>
      <c r="J358" s="120"/>
      <c r="K358" s="120"/>
      <c r="L358" s="120"/>
      <c r="M358" s="14"/>
      <c r="N358" s="14"/>
      <c r="O358" s="120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5">
      <c r="A359" s="14"/>
      <c r="B359" s="14"/>
      <c r="C359" s="14"/>
      <c r="D359" s="15"/>
      <c r="E359" s="25"/>
      <c r="F359" s="14"/>
      <c r="G359" s="14"/>
      <c r="H359" s="14"/>
      <c r="I359" s="14"/>
      <c r="J359" s="120"/>
      <c r="K359" s="120"/>
      <c r="L359" s="120"/>
      <c r="M359" s="14"/>
      <c r="N359" s="14"/>
      <c r="O359" s="120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5">
      <c r="A360" s="14"/>
      <c r="B360" s="14"/>
      <c r="C360" s="14"/>
      <c r="D360" s="15"/>
      <c r="E360" s="25"/>
      <c r="F360" s="14"/>
      <c r="G360" s="14"/>
      <c r="H360" s="14"/>
      <c r="I360" s="14"/>
      <c r="J360" s="120"/>
      <c r="K360" s="120"/>
      <c r="L360" s="120"/>
      <c r="M360" s="14"/>
      <c r="N360" s="14"/>
      <c r="O360" s="120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5">
      <c r="A361" s="14"/>
      <c r="B361" s="14"/>
      <c r="C361" s="14"/>
      <c r="D361" s="15"/>
      <c r="E361" s="25"/>
      <c r="F361" s="14"/>
      <c r="G361" s="14"/>
      <c r="H361" s="14"/>
      <c r="I361" s="14"/>
      <c r="J361" s="120"/>
      <c r="K361" s="120"/>
      <c r="L361" s="120"/>
      <c r="M361" s="14"/>
      <c r="N361" s="14"/>
      <c r="O361" s="120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5">
      <c r="A362" s="14"/>
      <c r="B362" s="14"/>
      <c r="C362" s="14"/>
      <c r="D362" s="15"/>
      <c r="E362" s="25"/>
      <c r="F362" s="14"/>
      <c r="G362" s="14"/>
      <c r="H362" s="14"/>
      <c r="I362" s="14"/>
      <c r="J362" s="120"/>
      <c r="K362" s="120"/>
      <c r="L362" s="120"/>
      <c r="M362" s="14"/>
      <c r="N362" s="14"/>
      <c r="O362" s="120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5">
      <c r="A363" s="14"/>
      <c r="B363" s="14"/>
      <c r="C363" s="14"/>
      <c r="D363" s="15"/>
      <c r="E363" s="25"/>
      <c r="F363" s="14"/>
      <c r="G363" s="14"/>
      <c r="H363" s="14"/>
      <c r="I363" s="14"/>
      <c r="J363" s="120"/>
      <c r="K363" s="120"/>
      <c r="L363" s="120"/>
      <c r="M363" s="14"/>
      <c r="N363" s="14"/>
      <c r="O363" s="120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5">
      <c r="A364" s="14"/>
      <c r="B364" s="14"/>
      <c r="C364" s="14"/>
      <c r="D364" s="15"/>
      <c r="E364" s="25"/>
      <c r="F364" s="14"/>
      <c r="G364" s="14"/>
      <c r="H364" s="14"/>
      <c r="I364" s="14"/>
      <c r="J364" s="120"/>
      <c r="K364" s="120"/>
      <c r="L364" s="120"/>
      <c r="M364" s="14"/>
      <c r="N364" s="14"/>
      <c r="O364" s="120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5">
      <c r="A365" s="14"/>
      <c r="B365" s="14"/>
      <c r="C365" s="14"/>
      <c r="D365" s="15"/>
      <c r="E365" s="25"/>
      <c r="F365" s="14"/>
      <c r="G365" s="14"/>
      <c r="H365" s="14"/>
      <c r="I365" s="14"/>
      <c r="J365" s="120"/>
      <c r="K365" s="120"/>
      <c r="L365" s="120"/>
      <c r="M365" s="14"/>
      <c r="N365" s="14"/>
      <c r="O365" s="120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5">
      <c r="A366" s="14"/>
      <c r="B366" s="14"/>
      <c r="C366" s="14"/>
      <c r="D366" s="15"/>
      <c r="E366" s="25"/>
      <c r="F366" s="14"/>
      <c r="G366" s="14"/>
      <c r="H366" s="14"/>
      <c r="I366" s="14"/>
      <c r="J366" s="120"/>
      <c r="K366" s="120"/>
      <c r="L366" s="120"/>
      <c r="M366" s="14"/>
      <c r="N366" s="14"/>
      <c r="O366" s="120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5">
      <c r="A367" s="14"/>
      <c r="B367" s="14"/>
      <c r="C367" s="14"/>
      <c r="D367" s="15"/>
      <c r="E367" s="25"/>
      <c r="F367" s="14"/>
      <c r="G367" s="14"/>
      <c r="H367" s="14"/>
      <c r="I367" s="14"/>
      <c r="J367" s="120"/>
      <c r="K367" s="120"/>
      <c r="L367" s="120"/>
      <c r="M367" s="14"/>
      <c r="N367" s="14"/>
      <c r="O367" s="120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5">
      <c r="A368" s="14"/>
      <c r="B368" s="14"/>
      <c r="C368" s="14"/>
      <c r="D368" s="15"/>
      <c r="E368" s="25"/>
      <c r="F368" s="14"/>
      <c r="G368" s="14"/>
      <c r="H368" s="14"/>
      <c r="I368" s="14"/>
      <c r="J368" s="120"/>
      <c r="K368" s="120"/>
      <c r="L368" s="120"/>
      <c r="M368" s="14"/>
      <c r="N368" s="14"/>
      <c r="O368" s="120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5">
      <c r="A369" s="14"/>
      <c r="B369" s="14"/>
      <c r="C369" s="14"/>
      <c r="D369" s="15"/>
      <c r="E369" s="25"/>
      <c r="F369" s="14"/>
      <c r="G369" s="14"/>
      <c r="H369" s="14"/>
      <c r="I369" s="14"/>
      <c r="J369" s="120"/>
      <c r="K369" s="120"/>
      <c r="L369" s="120"/>
      <c r="M369" s="14"/>
      <c r="N369" s="14"/>
      <c r="O369" s="120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5">
      <c r="A370" s="14"/>
      <c r="B370" s="14"/>
      <c r="C370" s="14"/>
      <c r="D370" s="15"/>
      <c r="E370" s="25"/>
      <c r="F370" s="14"/>
      <c r="G370" s="14"/>
      <c r="H370" s="14"/>
      <c r="I370" s="14"/>
      <c r="J370" s="120"/>
      <c r="K370" s="120"/>
      <c r="L370" s="120"/>
      <c r="M370" s="14"/>
      <c r="N370" s="14"/>
      <c r="O370" s="120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5">
      <c r="A371" s="14"/>
      <c r="B371" s="14"/>
      <c r="C371" s="14"/>
      <c r="D371" s="15"/>
      <c r="E371" s="25"/>
      <c r="F371" s="14"/>
      <c r="G371" s="14"/>
      <c r="H371" s="14"/>
      <c r="I371" s="14"/>
      <c r="J371" s="120"/>
      <c r="K371" s="120"/>
      <c r="L371" s="120"/>
      <c r="M371" s="14"/>
      <c r="N371" s="14"/>
      <c r="O371" s="120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5">
      <c r="A372" s="14"/>
      <c r="B372" s="14"/>
      <c r="C372" s="14"/>
      <c r="D372" s="15"/>
      <c r="E372" s="25"/>
      <c r="F372" s="14"/>
      <c r="G372" s="14"/>
      <c r="H372" s="14"/>
      <c r="I372" s="14"/>
      <c r="J372" s="120"/>
      <c r="K372" s="120"/>
      <c r="L372" s="120"/>
      <c r="M372" s="14"/>
      <c r="N372" s="14"/>
      <c r="O372" s="120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5">
      <c r="A373" s="14"/>
      <c r="B373" s="14"/>
      <c r="C373" s="14"/>
      <c r="D373" s="15"/>
      <c r="E373" s="25"/>
      <c r="F373" s="14"/>
      <c r="G373" s="14"/>
      <c r="H373" s="14"/>
      <c r="I373" s="14"/>
      <c r="J373" s="120"/>
      <c r="K373" s="120"/>
      <c r="L373" s="120"/>
      <c r="M373" s="14"/>
      <c r="N373" s="14"/>
      <c r="O373" s="120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5">
      <c r="A374" s="14"/>
      <c r="B374" s="14"/>
      <c r="C374" s="14"/>
      <c r="D374" s="15"/>
      <c r="E374" s="25"/>
      <c r="F374" s="14"/>
      <c r="G374" s="14"/>
      <c r="H374" s="14"/>
      <c r="I374" s="14"/>
      <c r="J374" s="120"/>
      <c r="K374" s="120"/>
      <c r="L374" s="120"/>
      <c r="M374" s="14"/>
      <c r="N374" s="14"/>
      <c r="O374" s="120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5">
      <c r="A375" s="14"/>
      <c r="B375" s="14"/>
      <c r="C375" s="14"/>
      <c r="D375" s="15"/>
      <c r="E375" s="25"/>
      <c r="F375" s="14"/>
      <c r="G375" s="14"/>
      <c r="H375" s="14"/>
      <c r="I375" s="14"/>
      <c r="J375" s="120"/>
      <c r="K375" s="120"/>
      <c r="L375" s="120"/>
      <c r="M375" s="14"/>
      <c r="N375" s="14"/>
      <c r="O375" s="120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5">
      <c r="A376" s="14"/>
      <c r="B376" s="14"/>
      <c r="C376" s="14"/>
      <c r="D376" s="15"/>
      <c r="E376" s="25"/>
      <c r="F376" s="14"/>
      <c r="G376" s="14"/>
      <c r="H376" s="14"/>
      <c r="I376" s="14"/>
      <c r="J376" s="120"/>
      <c r="K376" s="120"/>
      <c r="L376" s="120"/>
      <c r="M376" s="14"/>
      <c r="N376" s="14"/>
      <c r="O376" s="120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5">
      <c r="A377" s="14"/>
      <c r="B377" s="14"/>
      <c r="C377" s="14"/>
      <c r="D377" s="15"/>
      <c r="E377" s="25"/>
      <c r="F377" s="14"/>
      <c r="G377" s="14"/>
      <c r="H377" s="14"/>
      <c r="I377" s="14"/>
      <c r="J377" s="120"/>
      <c r="K377" s="120"/>
      <c r="L377" s="120"/>
      <c r="M377" s="14"/>
      <c r="N377" s="14"/>
      <c r="O377" s="120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5">
      <c r="A378" s="14"/>
      <c r="B378" s="14"/>
      <c r="C378" s="14"/>
      <c r="D378" s="15"/>
      <c r="E378" s="25"/>
      <c r="F378" s="14"/>
      <c r="G378" s="14"/>
      <c r="H378" s="14"/>
      <c r="I378" s="14"/>
      <c r="J378" s="120"/>
      <c r="K378" s="120"/>
      <c r="L378" s="120"/>
      <c r="M378" s="14"/>
      <c r="N378" s="14"/>
      <c r="O378" s="120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5">
      <c r="A379" s="14"/>
      <c r="B379" s="14"/>
      <c r="C379" s="14"/>
      <c r="D379" s="15"/>
      <c r="E379" s="25"/>
      <c r="F379" s="14"/>
      <c r="G379" s="14"/>
      <c r="H379" s="14"/>
      <c r="I379" s="14"/>
      <c r="J379" s="120"/>
      <c r="K379" s="120"/>
      <c r="L379" s="120"/>
      <c r="M379" s="14"/>
      <c r="N379" s="14"/>
      <c r="O379" s="120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5">
      <c r="A380" s="14"/>
      <c r="B380" s="14"/>
      <c r="C380" s="14"/>
      <c r="D380" s="15"/>
      <c r="E380" s="25"/>
      <c r="F380" s="14"/>
      <c r="G380" s="14"/>
      <c r="H380" s="14"/>
      <c r="I380" s="14"/>
      <c r="J380" s="120"/>
      <c r="K380" s="120"/>
      <c r="L380" s="120"/>
      <c r="M380" s="14"/>
      <c r="N380" s="14"/>
      <c r="O380" s="120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5">
      <c r="A381" s="14"/>
      <c r="B381" s="14"/>
      <c r="C381" s="14"/>
      <c r="D381" s="15"/>
      <c r="E381" s="25"/>
      <c r="F381" s="14"/>
      <c r="G381" s="14"/>
      <c r="H381" s="14"/>
      <c r="I381" s="14"/>
      <c r="J381" s="120"/>
      <c r="K381" s="120"/>
      <c r="L381" s="120"/>
      <c r="M381" s="14"/>
      <c r="N381" s="14"/>
      <c r="O381" s="120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5">
      <c r="A382" s="14"/>
      <c r="B382" s="14"/>
      <c r="C382" s="14"/>
      <c r="D382" s="15"/>
      <c r="E382" s="25"/>
      <c r="F382" s="14"/>
      <c r="G382" s="14"/>
      <c r="H382" s="14"/>
      <c r="I382" s="14"/>
      <c r="J382" s="120"/>
      <c r="K382" s="120"/>
      <c r="L382" s="120"/>
      <c r="M382" s="14"/>
      <c r="N382" s="14"/>
      <c r="O382" s="120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5">
      <c r="A383" s="14"/>
      <c r="B383" s="14"/>
      <c r="C383" s="14"/>
      <c r="D383" s="15"/>
      <c r="E383" s="25"/>
      <c r="F383" s="14"/>
      <c r="G383" s="14"/>
      <c r="H383" s="14"/>
      <c r="I383" s="14"/>
      <c r="J383" s="120"/>
      <c r="K383" s="120"/>
      <c r="L383" s="120"/>
      <c r="M383" s="14"/>
      <c r="N383" s="14"/>
      <c r="O383" s="120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5">
      <c r="A384" s="14"/>
      <c r="B384" s="14"/>
      <c r="C384" s="14"/>
      <c r="D384" s="15"/>
      <c r="E384" s="25"/>
      <c r="F384" s="14"/>
      <c r="G384" s="14"/>
      <c r="H384" s="14"/>
      <c r="I384" s="14"/>
      <c r="J384" s="120"/>
      <c r="K384" s="120"/>
      <c r="L384" s="120"/>
      <c r="M384" s="14"/>
      <c r="N384" s="14"/>
      <c r="O384" s="120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5">
      <c r="A385" s="14"/>
      <c r="B385" s="14"/>
      <c r="C385" s="14"/>
      <c r="D385" s="15"/>
      <c r="E385" s="25"/>
      <c r="F385" s="14"/>
      <c r="G385" s="14"/>
      <c r="H385" s="14"/>
      <c r="I385" s="14"/>
      <c r="J385" s="120"/>
      <c r="K385" s="120"/>
      <c r="L385" s="120"/>
      <c r="M385" s="14"/>
      <c r="N385" s="14"/>
      <c r="O385" s="120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5">
      <c r="A386" s="14"/>
      <c r="B386" s="14"/>
      <c r="C386" s="14"/>
      <c r="D386" s="15"/>
      <c r="E386" s="25"/>
      <c r="F386" s="14"/>
      <c r="G386" s="14"/>
      <c r="H386" s="14"/>
      <c r="I386" s="14"/>
      <c r="J386" s="120"/>
      <c r="K386" s="120"/>
      <c r="L386" s="120"/>
      <c r="M386" s="14"/>
      <c r="N386" s="14"/>
      <c r="O386" s="120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5">
      <c r="A387" s="14"/>
      <c r="B387" s="14"/>
      <c r="C387" s="14"/>
      <c r="D387" s="15"/>
      <c r="E387" s="25"/>
      <c r="F387" s="14"/>
      <c r="G387" s="14"/>
      <c r="H387" s="14"/>
      <c r="I387" s="14"/>
      <c r="J387" s="120"/>
      <c r="K387" s="120"/>
      <c r="L387" s="120"/>
      <c r="M387" s="14"/>
      <c r="N387" s="14"/>
      <c r="O387" s="120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5">
      <c r="A388" s="14"/>
      <c r="B388" s="14"/>
      <c r="C388" s="14"/>
      <c r="D388" s="15"/>
      <c r="E388" s="25"/>
      <c r="F388" s="14"/>
      <c r="G388" s="14"/>
      <c r="H388" s="14"/>
      <c r="I388" s="14"/>
      <c r="J388" s="120"/>
      <c r="K388" s="120"/>
      <c r="L388" s="120"/>
      <c r="M388" s="14"/>
      <c r="N388" s="14"/>
      <c r="O388" s="120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5">
      <c r="A389" s="14"/>
      <c r="B389" s="14"/>
      <c r="C389" s="14"/>
      <c r="D389" s="15"/>
      <c r="E389" s="25"/>
      <c r="F389" s="14"/>
      <c r="G389" s="14"/>
      <c r="H389" s="14"/>
      <c r="I389" s="14"/>
      <c r="J389" s="120"/>
      <c r="K389" s="120"/>
      <c r="L389" s="120"/>
      <c r="M389" s="14"/>
      <c r="N389" s="14"/>
      <c r="O389" s="120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5">
      <c r="A390" s="14"/>
      <c r="B390" s="14"/>
      <c r="C390" s="14"/>
      <c r="D390" s="15"/>
      <c r="E390" s="25"/>
      <c r="F390" s="14"/>
      <c r="G390" s="14"/>
      <c r="H390" s="14"/>
      <c r="I390" s="14"/>
      <c r="J390" s="120"/>
      <c r="K390" s="120"/>
      <c r="L390" s="120"/>
      <c r="M390" s="14"/>
      <c r="N390" s="14"/>
      <c r="O390" s="120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5">
      <c r="A391" s="14"/>
      <c r="B391" s="14"/>
      <c r="C391" s="14"/>
      <c r="D391" s="15"/>
      <c r="E391" s="25"/>
      <c r="F391" s="14"/>
      <c r="G391" s="14"/>
      <c r="H391" s="14"/>
      <c r="I391" s="14"/>
      <c r="J391" s="120"/>
      <c r="K391" s="120"/>
      <c r="L391" s="120"/>
      <c r="M391" s="14"/>
      <c r="N391" s="14"/>
      <c r="O391" s="120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5">
      <c r="A392" s="14"/>
      <c r="B392" s="14"/>
      <c r="C392" s="14"/>
      <c r="D392" s="15"/>
      <c r="E392" s="25"/>
      <c r="F392" s="14"/>
      <c r="G392" s="14"/>
      <c r="H392" s="14"/>
      <c r="I392" s="14"/>
      <c r="J392" s="120"/>
      <c r="K392" s="120"/>
      <c r="L392" s="120"/>
      <c r="M392" s="14"/>
      <c r="N392" s="14"/>
      <c r="O392" s="120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5">
      <c r="A393" s="14"/>
      <c r="B393" s="14"/>
      <c r="C393" s="14"/>
      <c r="D393" s="15"/>
      <c r="E393" s="25"/>
      <c r="F393" s="14"/>
      <c r="G393" s="14"/>
      <c r="H393" s="14"/>
      <c r="I393" s="14"/>
      <c r="J393" s="120"/>
      <c r="K393" s="120"/>
      <c r="L393" s="120"/>
      <c r="M393" s="14"/>
      <c r="N393" s="14"/>
      <c r="O393" s="120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5">
      <c r="A394" s="14"/>
      <c r="B394" s="14"/>
      <c r="C394" s="14"/>
      <c r="D394" s="15"/>
      <c r="E394" s="25"/>
      <c r="F394" s="14"/>
      <c r="G394" s="14"/>
      <c r="H394" s="14"/>
      <c r="I394" s="14"/>
      <c r="J394" s="120"/>
      <c r="K394" s="120"/>
      <c r="L394" s="120"/>
      <c r="M394" s="14"/>
      <c r="N394" s="14"/>
      <c r="O394" s="120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5">
      <c r="A395" s="14"/>
      <c r="B395" s="14"/>
      <c r="C395" s="14"/>
      <c r="D395" s="15"/>
      <c r="E395" s="25"/>
      <c r="F395" s="14"/>
      <c r="G395" s="14"/>
      <c r="H395" s="14"/>
      <c r="I395" s="14"/>
      <c r="J395" s="120"/>
      <c r="K395" s="120"/>
      <c r="L395" s="120"/>
      <c r="M395" s="14"/>
      <c r="N395" s="14"/>
      <c r="O395" s="120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5">
      <c r="A396" s="14"/>
      <c r="B396" s="14"/>
      <c r="C396" s="14"/>
      <c r="D396" s="15"/>
      <c r="E396" s="25"/>
      <c r="F396" s="14"/>
      <c r="G396" s="14"/>
      <c r="H396" s="14"/>
      <c r="I396" s="14"/>
      <c r="J396" s="120"/>
      <c r="K396" s="120"/>
      <c r="L396" s="120"/>
      <c r="M396" s="14"/>
      <c r="N396" s="14"/>
      <c r="O396" s="120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5">
      <c r="A397" s="14"/>
      <c r="B397" s="14"/>
      <c r="C397" s="14"/>
      <c r="D397" s="15"/>
      <c r="E397" s="25"/>
      <c r="F397" s="14"/>
      <c r="G397" s="14"/>
      <c r="H397" s="14"/>
      <c r="I397" s="14"/>
      <c r="J397" s="120"/>
      <c r="K397" s="120"/>
      <c r="L397" s="120"/>
      <c r="M397" s="14"/>
      <c r="N397" s="14"/>
      <c r="O397" s="120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5">
      <c r="A398" s="14"/>
      <c r="B398" s="14"/>
      <c r="C398" s="14"/>
      <c r="D398" s="15"/>
      <c r="E398" s="25"/>
      <c r="F398" s="14"/>
      <c r="G398" s="14"/>
      <c r="H398" s="14"/>
      <c r="I398" s="14"/>
      <c r="J398" s="120"/>
      <c r="K398" s="120"/>
      <c r="L398" s="120"/>
      <c r="M398" s="14"/>
      <c r="N398" s="14"/>
      <c r="O398" s="120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5">
      <c r="A399" s="14"/>
      <c r="B399" s="14"/>
      <c r="C399" s="14"/>
      <c r="D399" s="15"/>
      <c r="E399" s="25"/>
      <c r="F399" s="14"/>
      <c r="G399" s="14"/>
      <c r="H399" s="14"/>
      <c r="I399" s="14"/>
      <c r="J399" s="120"/>
      <c r="K399" s="120"/>
      <c r="L399" s="120"/>
      <c r="M399" s="14"/>
      <c r="N399" s="14"/>
      <c r="O399" s="120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5">
      <c r="A400" s="14"/>
      <c r="B400" s="14"/>
      <c r="C400" s="14"/>
      <c r="D400" s="15"/>
      <c r="E400" s="25"/>
      <c r="F400" s="14"/>
      <c r="G400" s="14"/>
      <c r="H400" s="14"/>
      <c r="I400" s="14"/>
      <c r="J400" s="120"/>
      <c r="K400" s="120"/>
      <c r="L400" s="120"/>
      <c r="M400" s="14"/>
      <c r="N400" s="14"/>
      <c r="O400" s="120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5">
      <c r="A401" s="14"/>
      <c r="B401" s="14"/>
      <c r="C401" s="14"/>
      <c r="D401" s="15"/>
      <c r="E401" s="25"/>
      <c r="F401" s="14"/>
      <c r="G401" s="14"/>
      <c r="H401" s="14"/>
      <c r="I401" s="14"/>
      <c r="J401" s="120"/>
      <c r="K401" s="120"/>
      <c r="L401" s="120"/>
      <c r="M401" s="14"/>
      <c r="N401" s="14"/>
      <c r="O401" s="120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5">
      <c r="A402" s="14"/>
      <c r="B402" s="14"/>
      <c r="C402" s="14"/>
      <c r="D402" s="15"/>
      <c r="E402" s="25"/>
      <c r="F402" s="14"/>
      <c r="G402" s="14"/>
      <c r="H402" s="14"/>
      <c r="I402" s="14"/>
      <c r="J402" s="120"/>
      <c r="K402" s="120"/>
      <c r="L402" s="120"/>
      <c r="M402" s="14"/>
      <c r="N402" s="14"/>
      <c r="O402" s="120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5">
      <c r="A403" s="14"/>
      <c r="B403" s="14"/>
      <c r="C403" s="14"/>
      <c r="D403" s="15"/>
      <c r="E403" s="25"/>
      <c r="F403" s="14"/>
      <c r="G403" s="14"/>
      <c r="H403" s="14"/>
      <c r="I403" s="14"/>
      <c r="J403" s="120"/>
      <c r="K403" s="120"/>
      <c r="L403" s="120"/>
      <c r="M403" s="14"/>
      <c r="N403" s="14"/>
      <c r="O403" s="120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5">
      <c r="A404" s="14"/>
      <c r="B404" s="14"/>
      <c r="C404" s="14"/>
      <c r="D404" s="15"/>
      <c r="E404" s="25"/>
      <c r="F404" s="14"/>
      <c r="G404" s="14"/>
      <c r="H404" s="14"/>
      <c r="I404" s="14"/>
      <c r="J404" s="120"/>
      <c r="K404" s="120"/>
      <c r="L404" s="120"/>
      <c r="M404" s="14"/>
      <c r="N404" s="14"/>
      <c r="O404" s="120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5">
      <c r="A405" s="14"/>
      <c r="B405" s="14"/>
      <c r="C405" s="14"/>
      <c r="D405" s="15"/>
      <c r="E405" s="25"/>
      <c r="F405" s="14"/>
      <c r="G405" s="14"/>
      <c r="H405" s="14"/>
      <c r="I405" s="14"/>
      <c r="J405" s="120"/>
      <c r="K405" s="120"/>
      <c r="L405" s="120"/>
      <c r="M405" s="14"/>
      <c r="N405" s="14"/>
      <c r="O405" s="120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5">
      <c r="A406" s="14"/>
      <c r="B406" s="14"/>
      <c r="C406" s="14"/>
      <c r="D406" s="15"/>
      <c r="E406" s="25"/>
      <c r="F406" s="14"/>
      <c r="G406" s="14"/>
      <c r="H406" s="14"/>
      <c r="I406" s="14"/>
      <c r="J406" s="120"/>
      <c r="K406" s="120"/>
      <c r="L406" s="120"/>
      <c r="M406" s="14"/>
      <c r="N406" s="14"/>
      <c r="O406" s="120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5">
      <c r="A407" s="14"/>
      <c r="B407" s="14"/>
      <c r="C407" s="14"/>
      <c r="D407" s="15"/>
      <c r="E407" s="25"/>
      <c r="F407" s="14"/>
      <c r="G407" s="14"/>
      <c r="H407" s="14"/>
      <c r="I407" s="14"/>
      <c r="J407" s="120"/>
      <c r="K407" s="120"/>
      <c r="L407" s="120"/>
      <c r="M407" s="14"/>
      <c r="N407" s="14"/>
      <c r="O407" s="120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5">
      <c r="A408" s="14"/>
      <c r="B408" s="14"/>
      <c r="C408" s="14"/>
      <c r="D408" s="15"/>
      <c r="E408" s="25"/>
      <c r="F408" s="14"/>
      <c r="G408" s="14"/>
      <c r="H408" s="14"/>
      <c r="I408" s="14"/>
      <c r="J408" s="120"/>
      <c r="K408" s="120"/>
      <c r="L408" s="120"/>
      <c r="M408" s="14"/>
      <c r="N408" s="14"/>
      <c r="O408" s="120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5">
      <c r="A409" s="14"/>
      <c r="B409" s="14"/>
      <c r="C409" s="14"/>
      <c r="D409" s="15"/>
      <c r="E409" s="25"/>
      <c r="F409" s="14"/>
      <c r="G409" s="14"/>
      <c r="H409" s="14"/>
      <c r="I409" s="14"/>
      <c r="J409" s="120"/>
      <c r="K409" s="120"/>
      <c r="L409" s="120"/>
      <c r="M409" s="14"/>
      <c r="N409" s="14"/>
      <c r="O409" s="120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5">
      <c r="A410" s="14"/>
      <c r="B410" s="14"/>
      <c r="C410" s="14"/>
      <c r="D410" s="15"/>
      <c r="E410" s="25"/>
      <c r="F410" s="14"/>
      <c r="G410" s="14"/>
      <c r="H410" s="14"/>
      <c r="I410" s="14"/>
      <c r="J410" s="120"/>
      <c r="K410" s="120"/>
      <c r="L410" s="120"/>
      <c r="M410" s="14"/>
      <c r="N410" s="14"/>
      <c r="O410" s="120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5">
      <c r="A411" s="14"/>
      <c r="B411" s="14"/>
      <c r="C411" s="14"/>
      <c r="D411" s="15"/>
      <c r="E411" s="25"/>
      <c r="F411" s="14"/>
      <c r="G411" s="14"/>
      <c r="H411" s="14"/>
      <c r="I411" s="14"/>
      <c r="J411" s="120"/>
      <c r="K411" s="120"/>
      <c r="L411" s="120"/>
      <c r="M411" s="14"/>
      <c r="N411" s="14"/>
      <c r="O411" s="120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5">
      <c r="A412" s="14"/>
      <c r="B412" s="14"/>
      <c r="C412" s="14"/>
      <c r="D412" s="15"/>
      <c r="E412" s="25"/>
      <c r="F412" s="14"/>
      <c r="G412" s="14"/>
      <c r="H412" s="14"/>
      <c r="I412" s="14"/>
      <c r="J412" s="120"/>
      <c r="K412" s="120"/>
      <c r="L412" s="120"/>
      <c r="M412" s="14"/>
      <c r="N412" s="14"/>
      <c r="O412" s="120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5">
      <c r="A413" s="14"/>
      <c r="B413" s="14"/>
      <c r="C413" s="14"/>
      <c r="D413" s="15"/>
      <c r="E413" s="25"/>
      <c r="F413" s="14"/>
      <c r="G413" s="14"/>
      <c r="H413" s="14"/>
      <c r="I413" s="14"/>
      <c r="J413" s="120"/>
      <c r="K413" s="120"/>
      <c r="L413" s="120"/>
      <c r="M413" s="14"/>
      <c r="N413" s="14"/>
      <c r="O413" s="120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5">
      <c r="A414" s="14"/>
      <c r="B414" s="14"/>
      <c r="C414" s="14"/>
      <c r="D414" s="15"/>
      <c r="E414" s="25"/>
      <c r="F414" s="14"/>
      <c r="G414" s="14"/>
      <c r="H414" s="14"/>
      <c r="I414" s="14"/>
      <c r="J414" s="120"/>
      <c r="K414" s="120"/>
      <c r="L414" s="120"/>
      <c r="M414" s="14"/>
      <c r="N414" s="14"/>
      <c r="O414" s="120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5">
      <c r="A415" s="14"/>
      <c r="B415" s="14"/>
      <c r="C415" s="14"/>
      <c r="D415" s="15"/>
      <c r="E415" s="25"/>
      <c r="F415" s="14"/>
      <c r="G415" s="14"/>
      <c r="H415" s="14"/>
      <c r="I415" s="14"/>
      <c r="J415" s="120"/>
      <c r="K415" s="120"/>
      <c r="L415" s="120"/>
      <c r="M415" s="14"/>
      <c r="N415" s="14"/>
      <c r="O415" s="120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5">
      <c r="A416" s="14"/>
      <c r="B416" s="14"/>
      <c r="C416" s="14"/>
      <c r="D416" s="15"/>
      <c r="E416" s="25"/>
      <c r="F416" s="14"/>
      <c r="G416" s="14"/>
      <c r="H416" s="14"/>
      <c r="I416" s="14"/>
      <c r="J416" s="120"/>
      <c r="K416" s="120"/>
      <c r="L416" s="120"/>
      <c r="M416" s="14"/>
      <c r="N416" s="14"/>
      <c r="O416" s="120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5">
      <c r="A417" s="14"/>
      <c r="B417" s="14"/>
      <c r="C417" s="14"/>
      <c r="D417" s="15"/>
      <c r="E417" s="25"/>
      <c r="F417" s="14"/>
      <c r="G417" s="14"/>
      <c r="H417" s="14"/>
      <c r="I417" s="14"/>
      <c r="J417" s="120"/>
      <c r="K417" s="120"/>
      <c r="L417" s="120"/>
      <c r="M417" s="14"/>
      <c r="N417" s="14"/>
      <c r="O417" s="120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5">
      <c r="A418" s="14"/>
      <c r="B418" s="14"/>
      <c r="C418" s="14"/>
      <c r="D418" s="15"/>
      <c r="E418" s="25"/>
      <c r="F418" s="14"/>
      <c r="G418" s="14"/>
      <c r="H418" s="14"/>
      <c r="I418" s="14"/>
      <c r="J418" s="120"/>
      <c r="K418" s="120"/>
      <c r="L418" s="120"/>
      <c r="M418" s="14"/>
      <c r="N418" s="14"/>
      <c r="O418" s="120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5">
      <c r="A419" s="14"/>
      <c r="B419" s="14"/>
      <c r="C419" s="14"/>
      <c r="D419" s="15"/>
      <c r="E419" s="25"/>
      <c r="F419" s="14"/>
      <c r="G419" s="14"/>
      <c r="H419" s="14"/>
      <c r="I419" s="14"/>
      <c r="J419" s="120"/>
      <c r="K419" s="120"/>
      <c r="L419" s="120"/>
      <c r="M419" s="14"/>
      <c r="N419" s="14"/>
      <c r="O419" s="120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5">
      <c r="A420" s="14"/>
      <c r="B420" s="14"/>
      <c r="C420" s="14"/>
      <c r="D420" s="15"/>
      <c r="E420" s="25"/>
      <c r="F420" s="14"/>
      <c r="G420" s="14"/>
      <c r="H420" s="14"/>
      <c r="I420" s="14"/>
      <c r="J420" s="120"/>
      <c r="K420" s="120"/>
      <c r="L420" s="120"/>
      <c r="M420" s="14"/>
      <c r="N420" s="14"/>
      <c r="O420" s="120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5">
      <c r="A421" s="14"/>
      <c r="B421" s="14"/>
      <c r="C421" s="14"/>
      <c r="D421" s="15"/>
      <c r="E421" s="25"/>
      <c r="F421" s="14"/>
      <c r="G421" s="14"/>
      <c r="H421" s="14"/>
      <c r="I421" s="14"/>
      <c r="J421" s="120"/>
      <c r="K421" s="120"/>
      <c r="L421" s="120"/>
      <c r="M421" s="14"/>
      <c r="N421" s="14"/>
      <c r="O421" s="120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5">
      <c r="A422" s="14"/>
      <c r="B422" s="14"/>
      <c r="C422" s="14"/>
      <c r="D422" s="15"/>
      <c r="E422" s="25"/>
      <c r="F422" s="14"/>
      <c r="G422" s="14"/>
      <c r="H422" s="14"/>
      <c r="I422" s="14"/>
      <c r="J422" s="120"/>
      <c r="K422" s="120"/>
      <c r="L422" s="120"/>
      <c r="M422" s="14"/>
      <c r="N422" s="14"/>
      <c r="O422" s="120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5">
      <c r="A423" s="14"/>
      <c r="B423" s="14"/>
      <c r="C423" s="14"/>
      <c r="D423" s="15"/>
      <c r="E423" s="25"/>
      <c r="F423" s="14"/>
      <c r="G423" s="14"/>
      <c r="H423" s="14"/>
      <c r="I423" s="14"/>
      <c r="J423" s="120"/>
      <c r="K423" s="120"/>
      <c r="L423" s="120"/>
      <c r="M423" s="14"/>
      <c r="N423" s="14"/>
      <c r="O423" s="120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5">
      <c r="A424" s="14"/>
      <c r="B424" s="14"/>
      <c r="C424" s="14"/>
      <c r="D424" s="15"/>
      <c r="E424" s="25"/>
      <c r="F424" s="14"/>
      <c r="G424" s="14"/>
      <c r="H424" s="14"/>
      <c r="I424" s="14"/>
      <c r="J424" s="120"/>
      <c r="K424" s="120"/>
      <c r="L424" s="120"/>
      <c r="M424" s="14"/>
      <c r="N424" s="14"/>
      <c r="O424" s="120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5">
      <c r="A425" s="14"/>
      <c r="B425" s="14"/>
      <c r="C425" s="14"/>
      <c r="D425" s="15"/>
      <c r="E425" s="25"/>
      <c r="F425" s="14"/>
      <c r="G425" s="14"/>
      <c r="H425" s="14"/>
      <c r="I425" s="14"/>
      <c r="J425" s="120"/>
      <c r="K425" s="120"/>
      <c r="L425" s="120"/>
      <c r="M425" s="14"/>
      <c r="N425" s="14"/>
      <c r="O425" s="120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5">
      <c r="A426" s="14"/>
      <c r="B426" s="14"/>
      <c r="C426" s="14"/>
      <c r="D426" s="15"/>
      <c r="E426" s="25"/>
      <c r="F426" s="14"/>
      <c r="G426" s="14"/>
      <c r="H426" s="14"/>
      <c r="I426" s="14"/>
      <c r="J426" s="120"/>
      <c r="K426" s="120"/>
      <c r="L426" s="120"/>
      <c r="M426" s="14"/>
      <c r="N426" s="14"/>
      <c r="O426" s="120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5">
      <c r="A427" s="14"/>
      <c r="B427" s="14"/>
      <c r="C427" s="14"/>
      <c r="D427" s="15"/>
      <c r="E427" s="25"/>
      <c r="F427" s="14"/>
      <c r="G427" s="14"/>
      <c r="H427" s="14"/>
      <c r="I427" s="14"/>
      <c r="J427" s="120"/>
      <c r="K427" s="120"/>
      <c r="L427" s="120"/>
      <c r="M427" s="14"/>
      <c r="N427" s="14"/>
      <c r="O427" s="120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5">
      <c r="A428" s="14"/>
      <c r="B428" s="14"/>
      <c r="C428" s="14"/>
      <c r="D428" s="15"/>
      <c r="E428" s="25"/>
      <c r="F428" s="14"/>
      <c r="G428" s="14"/>
      <c r="H428" s="14"/>
      <c r="I428" s="14"/>
      <c r="J428" s="120"/>
      <c r="K428" s="120"/>
      <c r="L428" s="120"/>
      <c r="M428" s="14"/>
      <c r="N428" s="14"/>
      <c r="O428" s="120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5">
      <c r="A429" s="14"/>
      <c r="B429" s="14"/>
      <c r="C429" s="14"/>
      <c r="D429" s="15"/>
      <c r="E429" s="25"/>
      <c r="F429" s="14"/>
      <c r="G429" s="14"/>
      <c r="H429" s="14"/>
      <c r="I429" s="14"/>
      <c r="J429" s="120"/>
      <c r="K429" s="120"/>
      <c r="L429" s="120"/>
      <c r="M429" s="14"/>
      <c r="N429" s="14"/>
      <c r="O429" s="120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5">
      <c r="A430" s="14"/>
      <c r="B430" s="14"/>
      <c r="C430" s="14"/>
      <c r="D430" s="15"/>
      <c r="E430" s="25"/>
      <c r="F430" s="14"/>
      <c r="G430" s="14"/>
      <c r="H430" s="14"/>
      <c r="I430" s="14"/>
      <c r="J430" s="120"/>
      <c r="K430" s="120"/>
      <c r="L430" s="120"/>
      <c r="M430" s="14"/>
      <c r="N430" s="14"/>
      <c r="O430" s="120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5">
      <c r="A431" s="14"/>
      <c r="B431" s="14"/>
      <c r="C431" s="14"/>
      <c r="D431" s="15"/>
      <c r="E431" s="25"/>
      <c r="F431" s="14"/>
      <c r="G431" s="14"/>
      <c r="H431" s="14"/>
      <c r="I431" s="14"/>
      <c r="J431" s="120"/>
      <c r="K431" s="120"/>
      <c r="L431" s="120"/>
      <c r="M431" s="14"/>
      <c r="N431" s="14"/>
      <c r="O431" s="120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5">
      <c r="A432" s="14"/>
      <c r="B432" s="14"/>
      <c r="C432" s="14"/>
      <c r="D432" s="15"/>
      <c r="E432" s="25"/>
      <c r="F432" s="14"/>
      <c r="G432" s="14"/>
      <c r="H432" s="14"/>
      <c r="I432" s="14"/>
      <c r="J432" s="120"/>
      <c r="K432" s="120"/>
      <c r="L432" s="120"/>
      <c r="M432" s="14"/>
      <c r="N432" s="14"/>
      <c r="O432" s="120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5">
      <c r="A433" s="14"/>
      <c r="B433" s="14"/>
      <c r="C433" s="14"/>
      <c r="D433" s="15"/>
      <c r="E433" s="25"/>
      <c r="F433" s="14"/>
      <c r="G433" s="14"/>
      <c r="H433" s="14"/>
      <c r="I433" s="14"/>
      <c r="J433" s="120"/>
      <c r="K433" s="120"/>
      <c r="L433" s="120"/>
      <c r="M433" s="14"/>
      <c r="N433" s="14"/>
      <c r="O433" s="120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5">
      <c r="A434" s="14"/>
      <c r="B434" s="14"/>
      <c r="C434" s="14"/>
      <c r="D434" s="15"/>
      <c r="E434" s="25"/>
      <c r="F434" s="14"/>
      <c r="G434" s="14"/>
      <c r="H434" s="14"/>
      <c r="I434" s="14"/>
      <c r="J434" s="120"/>
      <c r="K434" s="120"/>
      <c r="L434" s="120"/>
      <c r="M434" s="14"/>
      <c r="N434" s="14"/>
      <c r="O434" s="120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5">
      <c r="A435" s="14"/>
      <c r="B435" s="14"/>
      <c r="C435" s="14"/>
      <c r="D435" s="15"/>
      <c r="E435" s="25"/>
      <c r="F435" s="14"/>
      <c r="G435" s="14"/>
      <c r="H435" s="14"/>
      <c r="I435" s="14"/>
      <c r="J435" s="120"/>
      <c r="K435" s="120"/>
      <c r="L435" s="120"/>
      <c r="M435" s="14"/>
      <c r="N435" s="14"/>
      <c r="O435" s="120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5">
      <c r="A436" s="14"/>
      <c r="B436" s="14"/>
      <c r="C436" s="14"/>
      <c r="D436" s="15"/>
      <c r="E436" s="25"/>
      <c r="F436" s="14"/>
      <c r="G436" s="14"/>
      <c r="H436" s="14"/>
      <c r="I436" s="14"/>
      <c r="J436" s="120"/>
      <c r="K436" s="120"/>
      <c r="L436" s="120"/>
      <c r="M436" s="14"/>
      <c r="N436" s="14"/>
      <c r="O436" s="120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5">
      <c r="A437" s="14"/>
      <c r="B437" s="14"/>
      <c r="C437" s="14"/>
      <c r="D437" s="15"/>
      <c r="E437" s="25"/>
      <c r="F437" s="14"/>
      <c r="G437" s="14"/>
      <c r="H437" s="14"/>
      <c r="I437" s="14"/>
      <c r="J437" s="120"/>
      <c r="K437" s="120"/>
      <c r="L437" s="120"/>
      <c r="M437" s="14"/>
      <c r="N437" s="14"/>
      <c r="O437" s="120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5">
      <c r="A438" s="14"/>
      <c r="B438" s="14"/>
      <c r="C438" s="14"/>
      <c r="D438" s="15"/>
      <c r="E438" s="25"/>
      <c r="F438" s="14"/>
      <c r="G438" s="14"/>
      <c r="H438" s="14"/>
      <c r="I438" s="14"/>
      <c r="J438" s="120"/>
      <c r="K438" s="120"/>
      <c r="L438" s="120"/>
      <c r="M438" s="14"/>
      <c r="N438" s="14"/>
      <c r="O438" s="120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5">
      <c r="A439" s="14"/>
      <c r="B439" s="14"/>
      <c r="C439" s="14"/>
      <c r="D439" s="15"/>
      <c r="E439" s="25"/>
      <c r="F439" s="14"/>
      <c r="G439" s="14"/>
      <c r="H439" s="14"/>
      <c r="I439" s="14"/>
      <c r="J439" s="120"/>
      <c r="K439" s="120"/>
      <c r="L439" s="120"/>
      <c r="M439" s="14"/>
      <c r="N439" s="14"/>
      <c r="O439" s="120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5">
      <c r="A440" s="14"/>
      <c r="B440" s="14"/>
      <c r="C440" s="14"/>
      <c r="D440" s="15"/>
      <c r="E440" s="25"/>
      <c r="F440" s="14"/>
      <c r="G440" s="14"/>
      <c r="H440" s="14"/>
      <c r="I440" s="14"/>
      <c r="J440" s="120"/>
      <c r="K440" s="120"/>
      <c r="L440" s="120"/>
      <c r="M440" s="14"/>
      <c r="N440" s="14"/>
      <c r="O440" s="120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5">
      <c r="A441" s="14"/>
      <c r="B441" s="14"/>
      <c r="C441" s="14"/>
      <c r="D441" s="15"/>
      <c r="E441" s="25"/>
      <c r="F441" s="14"/>
      <c r="G441" s="14"/>
      <c r="H441" s="14"/>
      <c r="I441" s="14"/>
      <c r="J441" s="120"/>
      <c r="K441" s="120"/>
      <c r="L441" s="120"/>
      <c r="M441" s="14"/>
      <c r="N441" s="14"/>
      <c r="O441" s="120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5">
      <c r="A442" s="14"/>
      <c r="B442" s="14"/>
      <c r="C442" s="14"/>
      <c r="D442" s="15"/>
      <c r="E442" s="25"/>
      <c r="F442" s="14"/>
      <c r="G442" s="14"/>
      <c r="H442" s="14"/>
      <c r="I442" s="14"/>
      <c r="J442" s="120"/>
      <c r="K442" s="120"/>
      <c r="L442" s="120"/>
      <c r="M442" s="14"/>
      <c r="N442" s="14"/>
      <c r="O442" s="120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5">
      <c r="A443" s="14"/>
      <c r="B443" s="14"/>
      <c r="C443" s="14"/>
      <c r="D443" s="15"/>
      <c r="E443" s="25"/>
      <c r="F443" s="14"/>
      <c r="G443" s="14"/>
      <c r="H443" s="14"/>
      <c r="I443" s="14"/>
      <c r="J443" s="120"/>
      <c r="K443" s="120"/>
      <c r="L443" s="120"/>
      <c r="M443" s="14"/>
      <c r="N443" s="14"/>
      <c r="O443" s="120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5">
      <c r="A444" s="14"/>
      <c r="B444" s="14"/>
      <c r="C444" s="14"/>
      <c r="D444" s="15"/>
      <c r="E444" s="25"/>
      <c r="F444" s="14"/>
      <c r="G444" s="14"/>
      <c r="H444" s="14"/>
      <c r="I444" s="14"/>
      <c r="J444" s="120"/>
      <c r="K444" s="120"/>
      <c r="L444" s="120"/>
      <c r="M444" s="14"/>
      <c r="N444" s="14"/>
      <c r="O444" s="120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5">
      <c r="A445" s="14"/>
      <c r="B445" s="14"/>
      <c r="C445" s="14"/>
      <c r="D445" s="15"/>
      <c r="E445" s="25"/>
      <c r="F445" s="14"/>
      <c r="G445" s="14"/>
      <c r="H445" s="14"/>
      <c r="I445" s="14"/>
      <c r="J445" s="120"/>
      <c r="K445" s="120"/>
      <c r="L445" s="120"/>
      <c r="M445" s="14"/>
      <c r="N445" s="14"/>
      <c r="O445" s="120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5">
      <c r="A446" s="14"/>
      <c r="B446" s="14"/>
      <c r="C446" s="14"/>
      <c r="D446" s="15"/>
      <c r="E446" s="25"/>
      <c r="F446" s="14"/>
      <c r="G446" s="14"/>
      <c r="H446" s="14"/>
      <c r="I446" s="14"/>
      <c r="J446" s="120"/>
      <c r="K446" s="120"/>
      <c r="L446" s="120"/>
      <c r="M446" s="14"/>
      <c r="N446" s="14"/>
      <c r="O446" s="120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5">
      <c r="A447" s="14"/>
      <c r="B447" s="14"/>
      <c r="C447" s="14"/>
      <c r="D447" s="15"/>
      <c r="E447" s="25"/>
      <c r="F447" s="14"/>
      <c r="G447" s="14"/>
      <c r="H447" s="14"/>
      <c r="I447" s="14"/>
      <c r="J447" s="120"/>
      <c r="K447" s="120"/>
      <c r="L447" s="120"/>
      <c r="M447" s="14"/>
      <c r="N447" s="14"/>
      <c r="O447" s="120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5">
      <c r="A448" s="14"/>
      <c r="B448" s="14"/>
      <c r="C448" s="14"/>
      <c r="D448" s="15"/>
      <c r="E448" s="25"/>
      <c r="F448" s="14"/>
      <c r="G448" s="14"/>
      <c r="H448" s="14"/>
      <c r="I448" s="14"/>
      <c r="J448" s="120"/>
      <c r="K448" s="120"/>
      <c r="L448" s="120"/>
      <c r="M448" s="14"/>
      <c r="N448" s="14"/>
      <c r="O448" s="120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5">
      <c r="A449" s="14"/>
      <c r="B449" s="14"/>
      <c r="C449" s="14"/>
      <c r="D449" s="15"/>
      <c r="E449" s="25"/>
      <c r="F449" s="14"/>
      <c r="G449" s="14"/>
      <c r="H449" s="14"/>
      <c r="I449" s="14"/>
      <c r="J449" s="120"/>
      <c r="K449" s="120"/>
      <c r="L449" s="120"/>
      <c r="M449" s="14"/>
      <c r="N449" s="14"/>
      <c r="O449" s="120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5">
      <c r="A450" s="14"/>
      <c r="B450" s="14"/>
      <c r="C450" s="14"/>
      <c r="D450" s="15"/>
      <c r="E450" s="25"/>
      <c r="F450" s="14"/>
      <c r="G450" s="14"/>
      <c r="H450" s="14"/>
      <c r="I450" s="14"/>
      <c r="J450" s="120"/>
      <c r="K450" s="120"/>
      <c r="L450" s="120"/>
      <c r="M450" s="14"/>
      <c r="N450" s="14"/>
      <c r="O450" s="120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5">
      <c r="A451" s="14"/>
      <c r="B451" s="14"/>
      <c r="C451" s="14"/>
      <c r="D451" s="15"/>
      <c r="E451" s="25"/>
      <c r="F451" s="14"/>
      <c r="G451" s="14"/>
      <c r="H451" s="14"/>
      <c r="I451" s="14"/>
      <c r="J451" s="120"/>
      <c r="K451" s="120"/>
      <c r="L451" s="120"/>
      <c r="M451" s="14"/>
      <c r="N451" s="14"/>
      <c r="O451" s="120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5">
      <c r="A452" s="14"/>
      <c r="B452" s="14"/>
      <c r="C452" s="14"/>
      <c r="D452" s="15"/>
      <c r="E452" s="25"/>
      <c r="F452" s="14"/>
      <c r="G452" s="14"/>
      <c r="H452" s="14"/>
      <c r="I452" s="14"/>
      <c r="J452" s="120"/>
      <c r="K452" s="120"/>
      <c r="L452" s="120"/>
      <c r="M452" s="14"/>
      <c r="N452" s="14"/>
      <c r="O452" s="120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5">
      <c r="A453" s="14"/>
      <c r="B453" s="14"/>
      <c r="C453" s="14"/>
      <c r="D453" s="15"/>
      <c r="E453" s="25"/>
      <c r="F453" s="14"/>
      <c r="G453" s="14"/>
      <c r="H453" s="14"/>
      <c r="I453" s="14"/>
      <c r="J453" s="120"/>
      <c r="K453" s="120"/>
      <c r="L453" s="120"/>
      <c r="M453" s="14"/>
      <c r="N453" s="14"/>
      <c r="O453" s="120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5">
      <c r="A454" s="14"/>
      <c r="B454" s="14"/>
      <c r="C454" s="14"/>
      <c r="D454" s="15"/>
      <c r="E454" s="25"/>
      <c r="F454" s="14"/>
      <c r="G454" s="14"/>
      <c r="H454" s="14"/>
      <c r="I454" s="14"/>
      <c r="J454" s="120"/>
      <c r="K454" s="120"/>
      <c r="L454" s="120"/>
      <c r="M454" s="14"/>
      <c r="N454" s="14"/>
      <c r="O454" s="120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5">
      <c r="A455" s="14"/>
      <c r="B455" s="14"/>
      <c r="C455" s="14"/>
      <c r="D455" s="15"/>
      <c r="E455" s="25"/>
      <c r="F455" s="14"/>
      <c r="G455" s="14"/>
      <c r="H455" s="14"/>
      <c r="I455" s="14"/>
      <c r="J455" s="120"/>
      <c r="K455" s="120"/>
      <c r="L455" s="120"/>
      <c r="M455" s="14"/>
      <c r="N455" s="14"/>
      <c r="O455" s="120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5">
      <c r="A456" s="14"/>
      <c r="B456" s="14"/>
      <c r="C456" s="14"/>
      <c r="D456" s="15"/>
      <c r="E456" s="25"/>
      <c r="F456" s="14"/>
      <c r="G456" s="14"/>
      <c r="H456" s="14"/>
      <c r="I456" s="14"/>
      <c r="J456" s="120"/>
      <c r="K456" s="120"/>
      <c r="L456" s="120"/>
      <c r="M456" s="14"/>
      <c r="N456" s="14"/>
      <c r="O456" s="120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5">
      <c r="A457" s="14"/>
      <c r="B457" s="14"/>
      <c r="C457" s="14"/>
      <c r="D457" s="15"/>
      <c r="E457" s="25"/>
      <c r="F457" s="14"/>
      <c r="G457" s="14"/>
      <c r="H457" s="14"/>
      <c r="I457" s="14"/>
      <c r="J457" s="120"/>
      <c r="K457" s="120"/>
      <c r="L457" s="120"/>
      <c r="M457" s="14"/>
      <c r="N457" s="14"/>
      <c r="O457" s="120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5">
      <c r="A458" s="14"/>
      <c r="B458" s="14"/>
      <c r="C458" s="14"/>
      <c r="D458" s="15"/>
      <c r="E458" s="25"/>
      <c r="F458" s="14"/>
      <c r="G458" s="14"/>
      <c r="H458" s="14"/>
      <c r="I458" s="14"/>
      <c r="J458" s="120"/>
      <c r="K458" s="120"/>
      <c r="L458" s="120"/>
      <c r="M458" s="14"/>
      <c r="N458" s="14"/>
      <c r="O458" s="120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5">
      <c r="A459" s="14"/>
      <c r="B459" s="14"/>
      <c r="C459" s="14"/>
      <c r="D459" s="15"/>
      <c r="E459" s="25"/>
      <c r="F459" s="14"/>
      <c r="G459" s="14"/>
      <c r="H459" s="14"/>
      <c r="I459" s="14"/>
      <c r="J459" s="120"/>
      <c r="K459" s="120"/>
      <c r="L459" s="120"/>
      <c r="M459" s="14"/>
      <c r="N459" s="14"/>
      <c r="O459" s="120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5">
      <c r="A460" s="14"/>
      <c r="B460" s="14"/>
      <c r="C460" s="14"/>
      <c r="D460" s="15"/>
      <c r="E460" s="25"/>
      <c r="F460" s="14"/>
      <c r="G460" s="14"/>
      <c r="H460" s="14"/>
      <c r="I460" s="14"/>
      <c r="J460" s="120"/>
      <c r="K460" s="120"/>
      <c r="L460" s="120"/>
      <c r="M460" s="14"/>
      <c r="N460" s="14"/>
      <c r="O460" s="120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5">
      <c r="A461" s="14"/>
      <c r="B461" s="14"/>
      <c r="C461" s="14"/>
      <c r="D461" s="15"/>
      <c r="E461" s="25"/>
      <c r="F461" s="14"/>
      <c r="G461" s="14"/>
      <c r="H461" s="14"/>
      <c r="I461" s="14"/>
      <c r="J461" s="120"/>
      <c r="K461" s="120"/>
      <c r="L461" s="120"/>
      <c r="M461" s="14"/>
      <c r="N461" s="14"/>
      <c r="O461" s="120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5">
      <c r="A462" s="14"/>
      <c r="B462" s="14"/>
      <c r="C462" s="14"/>
      <c r="D462" s="15"/>
      <c r="E462" s="25"/>
      <c r="F462" s="14"/>
      <c r="G462" s="14"/>
      <c r="H462" s="14"/>
      <c r="I462" s="14"/>
      <c r="J462" s="120"/>
      <c r="K462" s="120"/>
      <c r="L462" s="120"/>
      <c r="M462" s="14"/>
      <c r="N462" s="14"/>
      <c r="O462" s="120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5">
      <c r="A463" s="14"/>
      <c r="B463" s="14"/>
      <c r="C463" s="14"/>
      <c r="D463" s="15"/>
      <c r="E463" s="25"/>
      <c r="F463" s="14"/>
      <c r="G463" s="14"/>
      <c r="H463" s="14"/>
      <c r="I463" s="14"/>
      <c r="J463" s="120"/>
      <c r="K463" s="120"/>
      <c r="L463" s="120"/>
      <c r="M463" s="14"/>
      <c r="N463" s="14"/>
      <c r="O463" s="120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5">
      <c r="A464" s="14"/>
      <c r="B464" s="14"/>
      <c r="C464" s="14"/>
      <c r="D464" s="15"/>
      <c r="E464" s="25"/>
      <c r="F464" s="14"/>
      <c r="G464" s="14"/>
      <c r="H464" s="14"/>
      <c r="I464" s="14"/>
      <c r="J464" s="120"/>
      <c r="K464" s="120"/>
      <c r="L464" s="120"/>
      <c r="M464" s="14"/>
      <c r="N464" s="14"/>
      <c r="O464" s="120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5">
      <c r="A465" s="14"/>
      <c r="B465" s="14"/>
      <c r="C465" s="14"/>
      <c r="D465" s="15"/>
      <c r="E465" s="25"/>
      <c r="F465" s="14"/>
      <c r="G465" s="14"/>
      <c r="H465" s="14"/>
      <c r="I465" s="14"/>
      <c r="J465" s="120"/>
      <c r="K465" s="120"/>
      <c r="L465" s="120"/>
      <c r="M465" s="14"/>
      <c r="N465" s="14"/>
      <c r="O465" s="120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5">
      <c r="A466" s="14"/>
      <c r="B466" s="14"/>
      <c r="C466" s="14"/>
      <c r="D466" s="15"/>
      <c r="E466" s="25"/>
      <c r="F466" s="14"/>
      <c r="G466" s="14"/>
      <c r="H466" s="14"/>
      <c r="I466" s="14"/>
      <c r="J466" s="120"/>
      <c r="K466" s="120"/>
      <c r="L466" s="120"/>
      <c r="M466" s="14"/>
      <c r="N466" s="14"/>
      <c r="O466" s="120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5">
      <c r="A467" s="14"/>
      <c r="B467" s="14"/>
      <c r="C467" s="14"/>
      <c r="D467" s="15"/>
      <c r="E467" s="25"/>
      <c r="F467" s="14"/>
      <c r="G467" s="14"/>
      <c r="H467" s="14"/>
      <c r="I467" s="14"/>
      <c r="J467" s="120"/>
      <c r="K467" s="120"/>
      <c r="L467" s="120"/>
      <c r="M467" s="14"/>
      <c r="N467" s="14"/>
      <c r="O467" s="120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5">
      <c r="A468" s="14"/>
      <c r="B468" s="14"/>
      <c r="C468" s="14"/>
      <c r="D468" s="15"/>
      <c r="E468" s="25"/>
      <c r="F468" s="14"/>
      <c r="G468" s="14"/>
      <c r="H468" s="14"/>
      <c r="I468" s="14"/>
      <c r="J468" s="120"/>
      <c r="K468" s="120"/>
      <c r="L468" s="120"/>
      <c r="M468" s="14"/>
      <c r="N468" s="14"/>
      <c r="O468" s="120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5">
      <c r="A469" s="14"/>
      <c r="B469" s="14"/>
      <c r="C469" s="14"/>
      <c r="D469" s="15"/>
      <c r="E469" s="25"/>
      <c r="F469" s="14"/>
      <c r="G469" s="14"/>
      <c r="H469" s="14"/>
      <c r="I469" s="14"/>
      <c r="J469" s="120"/>
      <c r="K469" s="120"/>
      <c r="L469" s="120"/>
      <c r="M469" s="14"/>
      <c r="N469" s="14"/>
      <c r="O469" s="120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5">
      <c r="A470" s="14"/>
      <c r="B470" s="14"/>
      <c r="C470" s="14"/>
      <c r="D470" s="15"/>
      <c r="E470" s="25"/>
      <c r="F470" s="14"/>
      <c r="G470" s="14"/>
      <c r="H470" s="14"/>
      <c r="I470" s="14"/>
      <c r="J470" s="120"/>
      <c r="K470" s="120"/>
      <c r="L470" s="120"/>
      <c r="M470" s="14"/>
      <c r="N470" s="14"/>
      <c r="O470" s="120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5">
      <c r="A471" s="14"/>
      <c r="B471" s="14"/>
      <c r="C471" s="14"/>
      <c r="D471" s="15"/>
      <c r="E471" s="25"/>
      <c r="F471" s="14"/>
      <c r="G471" s="14"/>
      <c r="H471" s="14"/>
      <c r="I471" s="14"/>
      <c r="J471" s="120"/>
      <c r="K471" s="120"/>
      <c r="L471" s="120"/>
      <c r="M471" s="14"/>
      <c r="N471" s="14"/>
      <c r="O471" s="120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5">
      <c r="A472" s="14"/>
      <c r="B472" s="14"/>
      <c r="C472" s="14"/>
      <c r="D472" s="15"/>
      <c r="E472" s="25"/>
      <c r="F472" s="14"/>
      <c r="G472" s="14"/>
      <c r="H472" s="14"/>
      <c r="I472" s="14"/>
      <c r="J472" s="120"/>
      <c r="K472" s="120"/>
      <c r="L472" s="120"/>
      <c r="M472" s="14"/>
      <c r="N472" s="14"/>
      <c r="O472" s="120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5">
      <c r="A473" s="14"/>
      <c r="B473" s="14"/>
      <c r="C473" s="14"/>
      <c r="D473" s="15"/>
      <c r="E473" s="25"/>
      <c r="F473" s="14"/>
      <c r="G473" s="14"/>
      <c r="H473" s="14"/>
      <c r="I473" s="14"/>
      <c r="J473" s="120"/>
      <c r="K473" s="120"/>
      <c r="L473" s="120"/>
      <c r="M473" s="14"/>
      <c r="N473" s="14"/>
      <c r="O473" s="120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5">
      <c r="A474" s="14"/>
      <c r="B474" s="14"/>
      <c r="C474" s="14"/>
      <c r="D474" s="15"/>
      <c r="E474" s="25"/>
      <c r="F474" s="14"/>
      <c r="G474" s="14"/>
      <c r="H474" s="14"/>
      <c r="I474" s="14"/>
      <c r="J474" s="120"/>
      <c r="K474" s="120"/>
      <c r="L474" s="120"/>
      <c r="M474" s="14"/>
      <c r="N474" s="14"/>
      <c r="O474" s="120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5">
      <c r="A475" s="14"/>
      <c r="B475" s="14"/>
      <c r="C475" s="14"/>
      <c r="D475" s="15"/>
      <c r="E475" s="25"/>
      <c r="F475" s="14"/>
      <c r="G475" s="14"/>
      <c r="H475" s="14"/>
      <c r="I475" s="14"/>
      <c r="J475" s="120"/>
      <c r="K475" s="120"/>
      <c r="L475" s="120"/>
      <c r="M475" s="14"/>
      <c r="N475" s="14"/>
      <c r="O475" s="120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5">
      <c r="A476" s="14"/>
      <c r="B476" s="14"/>
      <c r="C476" s="14"/>
      <c r="D476" s="15"/>
      <c r="E476" s="25"/>
      <c r="F476" s="14"/>
      <c r="G476" s="14"/>
      <c r="H476" s="14"/>
      <c r="I476" s="14"/>
      <c r="J476" s="120"/>
      <c r="K476" s="120"/>
      <c r="L476" s="120"/>
      <c r="M476" s="14"/>
      <c r="N476" s="14"/>
      <c r="O476" s="120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5">
      <c r="A477" s="14"/>
      <c r="B477" s="14"/>
      <c r="C477" s="14"/>
      <c r="D477" s="15"/>
      <c r="E477" s="25"/>
      <c r="F477" s="14"/>
      <c r="G477" s="14"/>
      <c r="H477" s="14"/>
      <c r="I477" s="14"/>
      <c r="J477" s="120"/>
      <c r="K477" s="120"/>
      <c r="L477" s="120"/>
      <c r="M477" s="14"/>
      <c r="N477" s="14"/>
      <c r="O477" s="120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5">
      <c r="A478" s="14"/>
      <c r="B478" s="14"/>
      <c r="C478" s="14"/>
      <c r="D478" s="15"/>
      <c r="E478" s="25"/>
      <c r="F478" s="14"/>
      <c r="G478" s="14"/>
      <c r="H478" s="14"/>
      <c r="I478" s="14"/>
      <c r="J478" s="120"/>
      <c r="K478" s="120"/>
      <c r="L478" s="120"/>
      <c r="M478" s="14"/>
      <c r="N478" s="14"/>
      <c r="O478" s="120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5">
      <c r="A479" s="14"/>
      <c r="B479" s="14"/>
      <c r="C479" s="14"/>
      <c r="D479" s="15"/>
      <c r="E479" s="25"/>
      <c r="F479" s="14"/>
      <c r="G479" s="14"/>
      <c r="H479" s="14"/>
      <c r="I479" s="14"/>
      <c r="J479" s="120"/>
      <c r="K479" s="120"/>
      <c r="L479" s="120"/>
      <c r="M479" s="14"/>
      <c r="N479" s="14"/>
      <c r="O479" s="120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5">
      <c r="A480" s="14"/>
      <c r="B480" s="14"/>
      <c r="C480" s="14"/>
      <c r="D480" s="15"/>
      <c r="E480" s="25"/>
      <c r="F480" s="14"/>
      <c r="G480" s="14"/>
      <c r="H480" s="14"/>
      <c r="I480" s="14"/>
      <c r="J480" s="120"/>
      <c r="K480" s="120"/>
      <c r="L480" s="120"/>
      <c r="M480" s="14"/>
      <c r="N480" s="14"/>
      <c r="O480" s="120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5">
      <c r="A481" s="14"/>
      <c r="B481" s="14"/>
      <c r="C481" s="14"/>
      <c r="D481" s="15"/>
      <c r="E481" s="25"/>
      <c r="F481" s="14"/>
      <c r="G481" s="14"/>
      <c r="H481" s="14"/>
      <c r="I481" s="14"/>
      <c r="J481" s="120"/>
      <c r="K481" s="120"/>
      <c r="L481" s="120"/>
      <c r="M481" s="14"/>
      <c r="N481" s="14"/>
      <c r="O481" s="120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5">
      <c r="A482" s="14"/>
      <c r="B482" s="14"/>
      <c r="C482" s="14"/>
      <c r="D482" s="15"/>
      <c r="E482" s="25"/>
      <c r="F482" s="14"/>
      <c r="G482" s="14"/>
      <c r="H482" s="14"/>
      <c r="I482" s="14"/>
      <c r="J482" s="120"/>
      <c r="K482" s="120"/>
      <c r="L482" s="120"/>
      <c r="M482" s="14"/>
      <c r="N482" s="14"/>
      <c r="O482" s="120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5">
      <c r="A483" s="14"/>
      <c r="B483" s="14"/>
      <c r="C483" s="14"/>
      <c r="D483" s="15"/>
      <c r="E483" s="25"/>
      <c r="F483" s="14"/>
      <c r="G483" s="14"/>
      <c r="H483" s="14"/>
      <c r="I483" s="14"/>
      <c r="J483" s="120"/>
      <c r="K483" s="120"/>
      <c r="L483" s="120"/>
      <c r="M483" s="14"/>
      <c r="N483" s="14"/>
      <c r="O483" s="120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5">
      <c r="A484" s="14"/>
      <c r="B484" s="14"/>
      <c r="C484" s="14"/>
      <c r="D484" s="15"/>
      <c r="E484" s="25"/>
      <c r="F484" s="14"/>
      <c r="G484" s="14"/>
      <c r="H484" s="14"/>
      <c r="I484" s="14"/>
      <c r="J484" s="120"/>
      <c r="K484" s="120"/>
      <c r="L484" s="120"/>
      <c r="M484" s="14"/>
      <c r="N484" s="14"/>
      <c r="O484" s="120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5">
      <c r="A485" s="14"/>
      <c r="B485" s="14"/>
      <c r="C485" s="14"/>
      <c r="D485" s="15"/>
      <c r="E485" s="25"/>
      <c r="F485" s="14"/>
      <c r="G485" s="14"/>
      <c r="H485" s="14"/>
      <c r="I485" s="14"/>
      <c r="J485" s="120"/>
      <c r="K485" s="120"/>
      <c r="L485" s="120"/>
      <c r="M485" s="14"/>
      <c r="N485" s="14"/>
      <c r="O485" s="120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5">
      <c r="A486" s="14"/>
      <c r="B486" s="14"/>
      <c r="C486" s="14"/>
      <c r="D486" s="15"/>
      <c r="E486" s="25"/>
      <c r="F486" s="14"/>
      <c r="G486" s="14"/>
      <c r="H486" s="14"/>
      <c r="I486" s="14"/>
      <c r="J486" s="120"/>
      <c r="K486" s="120"/>
      <c r="L486" s="120"/>
      <c r="M486" s="14"/>
      <c r="N486" s="14"/>
      <c r="O486" s="120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5">
      <c r="A487" s="14"/>
      <c r="B487" s="14"/>
      <c r="C487" s="14"/>
      <c r="D487" s="15"/>
      <c r="E487" s="25"/>
      <c r="F487" s="14"/>
      <c r="G487" s="14"/>
      <c r="H487" s="14"/>
      <c r="I487" s="14"/>
      <c r="J487" s="120"/>
      <c r="K487" s="120"/>
      <c r="L487" s="120"/>
      <c r="M487" s="14"/>
      <c r="N487" s="14"/>
      <c r="O487" s="120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5">
      <c r="A488" s="14"/>
      <c r="B488" s="14"/>
      <c r="C488" s="14"/>
      <c r="D488" s="15"/>
      <c r="E488" s="25"/>
      <c r="F488" s="14"/>
      <c r="G488" s="14"/>
      <c r="H488" s="14"/>
      <c r="I488" s="14"/>
      <c r="J488" s="120"/>
      <c r="K488" s="120"/>
      <c r="L488" s="120"/>
      <c r="M488" s="14"/>
      <c r="N488" s="14"/>
      <c r="O488" s="120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5">
      <c r="A489" s="14"/>
      <c r="B489" s="14"/>
      <c r="C489" s="14"/>
      <c r="D489" s="15"/>
      <c r="E489" s="25"/>
      <c r="F489" s="14"/>
      <c r="G489" s="14"/>
      <c r="H489" s="14"/>
      <c r="I489" s="14"/>
      <c r="J489" s="120"/>
      <c r="K489" s="120"/>
      <c r="L489" s="120"/>
      <c r="M489" s="14"/>
      <c r="N489" s="14"/>
      <c r="O489" s="120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5">
      <c r="A490" s="14"/>
      <c r="B490" s="14"/>
      <c r="C490" s="14"/>
      <c r="D490" s="15"/>
      <c r="E490" s="25"/>
      <c r="F490" s="14"/>
      <c r="G490" s="14"/>
      <c r="H490" s="14"/>
      <c r="I490" s="14"/>
      <c r="J490" s="120"/>
      <c r="K490" s="120"/>
      <c r="L490" s="120"/>
      <c r="M490" s="14"/>
      <c r="N490" s="14"/>
      <c r="O490" s="120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5">
      <c r="A491" s="14"/>
      <c r="B491" s="14"/>
      <c r="C491" s="14"/>
      <c r="D491" s="15"/>
      <c r="E491" s="25"/>
      <c r="F491" s="14"/>
      <c r="G491" s="14"/>
      <c r="H491" s="14"/>
      <c r="I491" s="14"/>
      <c r="J491" s="120"/>
      <c r="K491" s="120"/>
      <c r="L491" s="120"/>
      <c r="M491" s="14"/>
      <c r="N491" s="14"/>
      <c r="O491" s="120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5">
      <c r="A492" s="14"/>
      <c r="B492" s="14"/>
      <c r="C492" s="14"/>
      <c r="D492" s="15"/>
      <c r="E492" s="25"/>
      <c r="F492" s="14"/>
      <c r="G492" s="14"/>
      <c r="H492" s="14"/>
      <c r="I492" s="14"/>
      <c r="J492" s="120"/>
      <c r="K492" s="120"/>
      <c r="L492" s="120"/>
      <c r="M492" s="14"/>
      <c r="N492" s="14"/>
      <c r="O492" s="120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5">
      <c r="A493" s="14"/>
      <c r="B493" s="14"/>
      <c r="C493" s="14"/>
      <c r="D493" s="15"/>
      <c r="E493" s="25"/>
      <c r="F493" s="14"/>
      <c r="G493" s="14"/>
      <c r="H493" s="14"/>
      <c r="I493" s="14"/>
      <c r="J493" s="120"/>
      <c r="K493" s="120"/>
      <c r="L493" s="120"/>
      <c r="M493" s="14"/>
      <c r="N493" s="14"/>
      <c r="O493" s="120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5">
      <c r="A494" s="14"/>
      <c r="B494" s="14"/>
      <c r="C494" s="14"/>
      <c r="D494" s="15"/>
      <c r="E494" s="25"/>
      <c r="F494" s="14"/>
      <c r="G494" s="14"/>
      <c r="H494" s="14"/>
      <c r="I494" s="14"/>
      <c r="J494" s="120"/>
      <c r="K494" s="120"/>
      <c r="L494" s="120"/>
      <c r="M494" s="14"/>
      <c r="N494" s="14"/>
      <c r="O494" s="120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5">
      <c r="A495" s="14"/>
      <c r="B495" s="14"/>
      <c r="C495" s="14"/>
      <c r="D495" s="15"/>
      <c r="E495" s="25"/>
      <c r="F495" s="14"/>
      <c r="G495" s="14"/>
      <c r="H495" s="14"/>
      <c r="I495" s="14"/>
      <c r="J495" s="120"/>
      <c r="K495" s="120"/>
      <c r="L495" s="120"/>
      <c r="M495" s="14"/>
      <c r="N495" s="14"/>
      <c r="O495" s="120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5">
      <c r="A496" s="14"/>
      <c r="B496" s="14"/>
      <c r="C496" s="14"/>
      <c r="D496" s="15"/>
      <c r="E496" s="25"/>
      <c r="F496" s="14"/>
      <c r="G496" s="14"/>
      <c r="H496" s="14"/>
      <c r="I496" s="14"/>
      <c r="J496" s="120"/>
      <c r="K496" s="120"/>
      <c r="L496" s="120"/>
      <c r="M496" s="14"/>
      <c r="N496" s="14"/>
      <c r="O496" s="120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5">
      <c r="A497" s="14"/>
      <c r="B497" s="14"/>
      <c r="C497" s="14"/>
      <c r="D497" s="15"/>
      <c r="E497" s="25"/>
      <c r="F497" s="14"/>
      <c r="G497" s="14"/>
      <c r="H497" s="14"/>
      <c r="I497" s="14"/>
      <c r="J497" s="120"/>
      <c r="K497" s="120"/>
      <c r="L497" s="120"/>
      <c r="M497" s="14"/>
      <c r="N497" s="14"/>
      <c r="O497" s="120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5">
      <c r="A498" s="14"/>
      <c r="B498" s="14"/>
      <c r="C498" s="14"/>
      <c r="D498" s="15"/>
      <c r="E498" s="25"/>
      <c r="F498" s="14"/>
      <c r="G498" s="14"/>
      <c r="H498" s="14"/>
      <c r="I498" s="14"/>
      <c r="J498" s="120"/>
      <c r="K498" s="120"/>
      <c r="L498" s="120"/>
      <c r="M498" s="14"/>
      <c r="N498" s="14"/>
      <c r="O498" s="120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5">
      <c r="A499" s="14"/>
      <c r="B499" s="14"/>
      <c r="C499" s="14"/>
      <c r="D499" s="15"/>
      <c r="E499" s="25"/>
      <c r="F499" s="14"/>
      <c r="G499" s="14"/>
      <c r="H499" s="14"/>
      <c r="I499" s="14"/>
      <c r="J499" s="120"/>
      <c r="K499" s="120"/>
      <c r="L499" s="120"/>
      <c r="M499" s="14"/>
      <c r="N499" s="14"/>
      <c r="O499" s="120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5">
      <c r="A500" s="14"/>
      <c r="B500" s="14"/>
      <c r="C500" s="14"/>
      <c r="D500" s="15"/>
      <c r="E500" s="25"/>
      <c r="F500" s="14"/>
      <c r="G500" s="14"/>
      <c r="H500" s="14"/>
      <c r="I500" s="14"/>
      <c r="J500" s="120"/>
      <c r="K500" s="120"/>
      <c r="L500" s="120"/>
      <c r="M500" s="14"/>
      <c r="N500" s="14"/>
      <c r="O500" s="120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5">
      <c r="A501" s="14"/>
      <c r="B501" s="14"/>
      <c r="C501" s="14"/>
      <c r="D501" s="15"/>
      <c r="E501" s="25"/>
      <c r="F501" s="14"/>
      <c r="G501" s="14"/>
      <c r="H501" s="14"/>
      <c r="I501" s="14"/>
      <c r="J501" s="120"/>
      <c r="K501" s="120"/>
      <c r="L501" s="120"/>
      <c r="M501" s="14"/>
      <c r="N501" s="14"/>
      <c r="O501" s="120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5">
      <c r="A502" s="14"/>
      <c r="B502" s="14"/>
      <c r="C502" s="14"/>
      <c r="D502" s="15"/>
      <c r="E502" s="25"/>
      <c r="F502" s="14"/>
      <c r="G502" s="14"/>
      <c r="H502" s="14"/>
      <c r="I502" s="14"/>
      <c r="J502" s="120"/>
      <c r="K502" s="120"/>
      <c r="L502" s="120"/>
      <c r="M502" s="14"/>
      <c r="N502" s="14"/>
      <c r="O502" s="120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5">
      <c r="A503" s="14"/>
      <c r="B503" s="14"/>
      <c r="C503" s="14"/>
      <c r="D503" s="15"/>
      <c r="E503" s="25"/>
      <c r="F503" s="14"/>
      <c r="G503" s="14"/>
      <c r="H503" s="14"/>
      <c r="I503" s="14"/>
      <c r="J503" s="120"/>
      <c r="K503" s="120"/>
      <c r="L503" s="120"/>
      <c r="M503" s="14"/>
      <c r="N503" s="14"/>
      <c r="O503" s="120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5">
      <c r="A504" s="14"/>
      <c r="B504" s="14"/>
      <c r="C504" s="14"/>
      <c r="D504" s="15"/>
      <c r="E504" s="25"/>
      <c r="F504" s="14"/>
      <c r="G504" s="14"/>
      <c r="H504" s="14"/>
      <c r="I504" s="14"/>
      <c r="J504" s="120"/>
      <c r="K504" s="120"/>
      <c r="L504" s="120"/>
      <c r="M504" s="14"/>
      <c r="N504" s="14"/>
      <c r="O504" s="120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5">
      <c r="A505" s="14"/>
      <c r="B505" s="14"/>
      <c r="C505" s="14"/>
      <c r="D505" s="15"/>
      <c r="E505" s="25"/>
      <c r="F505" s="14"/>
      <c r="G505" s="14"/>
      <c r="H505" s="14"/>
      <c r="I505" s="14"/>
      <c r="J505" s="120"/>
      <c r="K505" s="120"/>
      <c r="L505" s="120"/>
      <c r="M505" s="14"/>
      <c r="N505" s="14"/>
      <c r="O505" s="120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5">
      <c r="A506" s="14"/>
      <c r="B506" s="14"/>
      <c r="C506" s="14"/>
      <c r="D506" s="15"/>
      <c r="E506" s="25"/>
      <c r="F506" s="14"/>
      <c r="G506" s="14"/>
      <c r="H506" s="14"/>
      <c r="I506" s="14"/>
      <c r="J506" s="120"/>
      <c r="K506" s="120"/>
      <c r="L506" s="120"/>
      <c r="M506" s="14"/>
      <c r="N506" s="14"/>
      <c r="O506" s="120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5">
      <c r="A507" s="14"/>
      <c r="B507" s="14"/>
      <c r="C507" s="14"/>
      <c r="D507" s="15"/>
      <c r="E507" s="25"/>
      <c r="F507" s="14"/>
      <c r="G507" s="14"/>
      <c r="H507" s="14"/>
      <c r="I507" s="14"/>
      <c r="J507" s="120"/>
      <c r="K507" s="120"/>
      <c r="L507" s="120"/>
      <c r="M507" s="14"/>
      <c r="N507" s="14"/>
      <c r="O507" s="120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5">
      <c r="A508" s="14"/>
      <c r="B508" s="14"/>
      <c r="C508" s="14"/>
      <c r="D508" s="15"/>
      <c r="E508" s="25"/>
      <c r="F508" s="14"/>
      <c r="G508" s="14"/>
      <c r="H508" s="14"/>
      <c r="I508" s="14"/>
      <c r="J508" s="120"/>
      <c r="K508" s="120"/>
      <c r="L508" s="120"/>
      <c r="M508" s="14"/>
      <c r="N508" s="14"/>
      <c r="O508" s="120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5">
      <c r="A509" s="14"/>
      <c r="B509" s="14"/>
      <c r="C509" s="14"/>
      <c r="D509" s="15"/>
      <c r="E509" s="25"/>
      <c r="F509" s="14"/>
      <c r="G509" s="14"/>
      <c r="H509" s="14"/>
      <c r="I509" s="14"/>
      <c r="J509" s="120"/>
      <c r="K509" s="120"/>
      <c r="L509" s="120"/>
      <c r="M509" s="14"/>
      <c r="N509" s="14"/>
      <c r="O509" s="120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5">
      <c r="A510" s="14"/>
      <c r="B510" s="14"/>
      <c r="C510" s="14"/>
      <c r="D510" s="15"/>
      <c r="E510" s="25"/>
      <c r="F510" s="14"/>
      <c r="G510" s="14"/>
      <c r="H510" s="14"/>
      <c r="I510" s="14"/>
      <c r="J510" s="120"/>
      <c r="K510" s="120"/>
      <c r="L510" s="120"/>
      <c r="M510" s="14"/>
      <c r="N510" s="14"/>
      <c r="O510" s="120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5">
      <c r="A511" s="14"/>
      <c r="B511" s="14"/>
      <c r="C511" s="14"/>
      <c r="D511" s="15"/>
      <c r="E511" s="25"/>
      <c r="F511" s="14"/>
      <c r="G511" s="14"/>
      <c r="H511" s="14"/>
      <c r="I511" s="14"/>
      <c r="J511" s="120"/>
      <c r="K511" s="120"/>
      <c r="L511" s="120"/>
      <c r="M511" s="14"/>
      <c r="N511" s="14"/>
      <c r="O511" s="120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5">
      <c r="A512" s="14"/>
      <c r="B512" s="14"/>
      <c r="C512" s="14"/>
      <c r="D512" s="15"/>
      <c r="E512" s="25"/>
      <c r="F512" s="14"/>
      <c r="G512" s="14"/>
      <c r="H512" s="14"/>
      <c r="I512" s="14"/>
      <c r="J512" s="120"/>
      <c r="K512" s="120"/>
      <c r="L512" s="120"/>
      <c r="M512" s="14"/>
      <c r="N512" s="14"/>
      <c r="O512" s="120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5">
      <c r="A513" s="14"/>
      <c r="B513" s="14"/>
      <c r="C513" s="14"/>
      <c r="D513" s="15"/>
      <c r="E513" s="25"/>
      <c r="F513" s="14"/>
      <c r="G513" s="14"/>
      <c r="H513" s="14"/>
      <c r="I513" s="14"/>
      <c r="J513" s="120"/>
      <c r="K513" s="120"/>
      <c r="L513" s="120"/>
      <c r="M513" s="14"/>
      <c r="N513" s="14"/>
      <c r="O513" s="120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5">
      <c r="A514" s="14"/>
      <c r="B514" s="14"/>
      <c r="C514" s="14"/>
      <c r="D514" s="15"/>
      <c r="E514" s="25"/>
      <c r="F514" s="14"/>
      <c r="G514" s="14"/>
      <c r="H514" s="14"/>
      <c r="I514" s="14"/>
      <c r="J514" s="120"/>
      <c r="K514" s="120"/>
      <c r="L514" s="120"/>
      <c r="M514" s="14"/>
      <c r="N514" s="14"/>
      <c r="O514" s="120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5">
      <c r="A515" s="14"/>
      <c r="B515" s="14"/>
      <c r="C515" s="14"/>
      <c r="D515" s="15"/>
      <c r="E515" s="25"/>
      <c r="F515" s="14"/>
      <c r="G515" s="14"/>
      <c r="H515" s="14"/>
      <c r="I515" s="14"/>
      <c r="J515" s="120"/>
      <c r="K515" s="120"/>
      <c r="L515" s="120"/>
      <c r="M515" s="14"/>
      <c r="N515" s="14"/>
      <c r="O515" s="120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5">
      <c r="A516" s="14"/>
      <c r="B516" s="14"/>
      <c r="C516" s="14"/>
      <c r="D516" s="15"/>
      <c r="E516" s="25"/>
      <c r="F516" s="14"/>
      <c r="G516" s="14"/>
      <c r="H516" s="14"/>
      <c r="I516" s="14"/>
      <c r="J516" s="120"/>
      <c r="K516" s="120"/>
      <c r="L516" s="120"/>
      <c r="M516" s="14"/>
      <c r="N516" s="14"/>
      <c r="O516" s="120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5">
      <c r="A517" s="14"/>
      <c r="B517" s="14"/>
      <c r="C517" s="14"/>
      <c r="D517" s="15"/>
      <c r="E517" s="25"/>
      <c r="F517" s="14"/>
      <c r="G517" s="14"/>
      <c r="H517" s="14"/>
      <c r="I517" s="14"/>
      <c r="J517" s="120"/>
      <c r="K517" s="120"/>
      <c r="L517" s="120"/>
      <c r="M517" s="14"/>
      <c r="N517" s="14"/>
      <c r="O517" s="120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5">
      <c r="A518" s="14"/>
      <c r="B518" s="14"/>
      <c r="C518" s="14"/>
      <c r="D518" s="15"/>
      <c r="E518" s="25"/>
      <c r="F518" s="14"/>
      <c r="G518" s="14"/>
      <c r="H518" s="14"/>
      <c r="I518" s="14"/>
      <c r="J518" s="120"/>
      <c r="K518" s="120"/>
      <c r="L518" s="120"/>
      <c r="M518" s="14"/>
      <c r="N518" s="14"/>
      <c r="O518" s="120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5">
      <c r="A519" s="14"/>
      <c r="B519" s="14"/>
      <c r="C519" s="14"/>
      <c r="D519" s="15"/>
      <c r="E519" s="25"/>
      <c r="F519" s="14"/>
      <c r="G519" s="14"/>
      <c r="H519" s="14"/>
      <c r="I519" s="14"/>
      <c r="J519" s="120"/>
      <c r="K519" s="120"/>
      <c r="L519" s="120"/>
      <c r="M519" s="14"/>
      <c r="N519" s="14"/>
      <c r="O519" s="120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5">
      <c r="A520" s="14"/>
      <c r="B520" s="14"/>
      <c r="C520" s="14"/>
      <c r="D520" s="15"/>
      <c r="E520" s="25"/>
      <c r="F520" s="14"/>
      <c r="G520" s="14"/>
      <c r="H520" s="14"/>
      <c r="I520" s="14"/>
      <c r="J520" s="120"/>
      <c r="K520" s="120"/>
      <c r="L520" s="120"/>
      <c r="M520" s="14"/>
      <c r="N520" s="14"/>
      <c r="O520" s="120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5">
      <c r="A521" s="14"/>
      <c r="B521" s="14"/>
      <c r="C521" s="14"/>
      <c r="D521" s="15"/>
      <c r="E521" s="25"/>
      <c r="F521" s="14"/>
      <c r="G521" s="14"/>
      <c r="H521" s="14"/>
      <c r="I521" s="14"/>
      <c r="J521" s="120"/>
      <c r="K521" s="120"/>
      <c r="L521" s="120"/>
      <c r="M521" s="14"/>
      <c r="N521" s="14"/>
      <c r="O521" s="120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5">
      <c r="A522" s="14"/>
      <c r="B522" s="14"/>
      <c r="C522" s="14"/>
      <c r="D522" s="15"/>
      <c r="E522" s="25"/>
      <c r="F522" s="14"/>
      <c r="G522" s="14"/>
      <c r="H522" s="14"/>
      <c r="I522" s="14"/>
      <c r="J522" s="120"/>
      <c r="K522" s="120"/>
      <c r="L522" s="120"/>
      <c r="M522" s="14"/>
      <c r="N522" s="14"/>
      <c r="O522" s="120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5">
      <c r="A523" s="14"/>
      <c r="B523" s="14"/>
      <c r="C523" s="14"/>
      <c r="D523" s="15"/>
      <c r="E523" s="25"/>
      <c r="F523" s="14"/>
      <c r="G523" s="14"/>
      <c r="H523" s="14"/>
      <c r="I523" s="14"/>
      <c r="J523" s="120"/>
      <c r="K523" s="120"/>
      <c r="L523" s="120"/>
      <c r="M523" s="14"/>
      <c r="N523" s="14"/>
      <c r="O523" s="120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5">
      <c r="A524" s="14"/>
      <c r="B524" s="14"/>
      <c r="C524" s="14"/>
      <c r="D524" s="15"/>
      <c r="E524" s="25"/>
      <c r="F524" s="14"/>
      <c r="G524" s="14"/>
      <c r="H524" s="14"/>
      <c r="I524" s="14"/>
      <c r="J524" s="120"/>
      <c r="K524" s="120"/>
      <c r="L524" s="120"/>
      <c r="M524" s="14"/>
      <c r="N524" s="14"/>
      <c r="O524" s="120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5">
      <c r="A525" s="14"/>
      <c r="B525" s="14"/>
      <c r="C525" s="14"/>
      <c r="D525" s="15"/>
      <c r="E525" s="25"/>
      <c r="F525" s="14"/>
      <c r="G525" s="14"/>
      <c r="H525" s="14"/>
      <c r="I525" s="14"/>
      <c r="J525" s="120"/>
      <c r="K525" s="120"/>
      <c r="L525" s="120"/>
      <c r="M525" s="14"/>
      <c r="N525" s="14"/>
      <c r="O525" s="120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5">
      <c r="A526" s="14"/>
      <c r="B526" s="14"/>
      <c r="C526" s="14"/>
      <c r="D526" s="15"/>
      <c r="E526" s="25"/>
      <c r="F526" s="14"/>
      <c r="G526" s="14"/>
      <c r="H526" s="14"/>
      <c r="I526" s="14"/>
      <c r="J526" s="120"/>
      <c r="K526" s="120"/>
      <c r="L526" s="120"/>
      <c r="M526" s="14"/>
      <c r="N526" s="14"/>
      <c r="O526" s="120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5">
      <c r="A527" s="14"/>
      <c r="B527" s="14"/>
      <c r="C527" s="14"/>
      <c r="D527" s="15"/>
      <c r="E527" s="25"/>
      <c r="F527" s="14"/>
      <c r="G527" s="14"/>
      <c r="H527" s="14"/>
      <c r="I527" s="14"/>
      <c r="J527" s="120"/>
      <c r="K527" s="120"/>
      <c r="L527" s="120"/>
      <c r="M527" s="14"/>
      <c r="N527" s="14"/>
      <c r="O527" s="120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5">
      <c r="A528" s="14"/>
      <c r="B528" s="14"/>
      <c r="C528" s="14"/>
      <c r="D528" s="15"/>
      <c r="E528" s="25"/>
      <c r="F528" s="14"/>
      <c r="G528" s="14"/>
      <c r="H528" s="14"/>
      <c r="I528" s="14"/>
      <c r="J528" s="120"/>
      <c r="K528" s="120"/>
      <c r="L528" s="120"/>
      <c r="M528" s="14"/>
      <c r="N528" s="14"/>
      <c r="O528" s="120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5">
      <c r="A529" s="14"/>
      <c r="B529" s="14"/>
      <c r="C529" s="14"/>
      <c r="D529" s="15"/>
      <c r="E529" s="25"/>
      <c r="F529" s="14"/>
      <c r="G529" s="14"/>
      <c r="H529" s="14"/>
      <c r="I529" s="14"/>
      <c r="J529" s="120"/>
      <c r="K529" s="120"/>
      <c r="L529" s="120"/>
      <c r="M529" s="14"/>
      <c r="N529" s="14"/>
      <c r="O529" s="120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5">
      <c r="A530" s="14"/>
      <c r="B530" s="14"/>
      <c r="C530" s="14"/>
      <c r="D530" s="15"/>
      <c r="E530" s="25"/>
      <c r="F530" s="14"/>
      <c r="G530" s="14"/>
      <c r="H530" s="14"/>
      <c r="I530" s="14"/>
      <c r="J530" s="120"/>
      <c r="K530" s="120"/>
      <c r="L530" s="120"/>
      <c r="M530" s="14"/>
      <c r="N530" s="14"/>
      <c r="O530" s="120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5">
      <c r="A531" s="14"/>
      <c r="B531" s="14"/>
      <c r="C531" s="14"/>
      <c r="D531" s="15"/>
      <c r="E531" s="25"/>
      <c r="F531" s="14"/>
      <c r="G531" s="14"/>
      <c r="H531" s="14"/>
      <c r="I531" s="14"/>
      <c r="J531" s="120"/>
      <c r="K531" s="120"/>
      <c r="L531" s="120"/>
      <c r="M531" s="14"/>
      <c r="N531" s="14"/>
      <c r="O531" s="120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5">
      <c r="A532" s="14"/>
      <c r="B532" s="14"/>
      <c r="C532" s="14"/>
      <c r="D532" s="15"/>
      <c r="E532" s="25"/>
      <c r="F532" s="14"/>
      <c r="G532" s="14"/>
      <c r="H532" s="14"/>
      <c r="I532" s="14"/>
      <c r="J532" s="120"/>
      <c r="K532" s="120"/>
      <c r="L532" s="120"/>
      <c r="M532" s="14"/>
      <c r="N532" s="14"/>
      <c r="O532" s="120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5">
      <c r="A533" s="14"/>
      <c r="B533" s="14"/>
      <c r="C533" s="14"/>
      <c r="D533" s="15"/>
      <c r="E533" s="25"/>
      <c r="F533" s="14"/>
      <c r="G533" s="14"/>
      <c r="H533" s="14"/>
      <c r="I533" s="14"/>
      <c r="J533" s="120"/>
      <c r="K533" s="120"/>
      <c r="L533" s="120"/>
      <c r="M533" s="14"/>
      <c r="N533" s="14"/>
      <c r="O533" s="120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5">
      <c r="A534" s="14"/>
      <c r="B534" s="14"/>
      <c r="C534" s="14"/>
      <c r="D534" s="15"/>
      <c r="E534" s="25"/>
      <c r="F534" s="14"/>
      <c r="G534" s="14"/>
      <c r="H534" s="14"/>
      <c r="I534" s="14"/>
      <c r="J534" s="120"/>
      <c r="K534" s="120"/>
      <c r="L534" s="120"/>
      <c r="M534" s="14"/>
      <c r="N534" s="14"/>
      <c r="O534" s="120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5">
      <c r="A535" s="14"/>
      <c r="B535" s="14"/>
      <c r="C535" s="14"/>
      <c r="D535" s="15"/>
      <c r="E535" s="25"/>
      <c r="F535" s="14"/>
      <c r="G535" s="14"/>
      <c r="H535" s="14"/>
      <c r="I535" s="14"/>
      <c r="J535" s="120"/>
      <c r="K535" s="120"/>
      <c r="L535" s="120"/>
      <c r="M535" s="14"/>
      <c r="N535" s="14"/>
      <c r="O535" s="120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5">
      <c r="A536" s="14"/>
      <c r="B536" s="14"/>
      <c r="C536" s="14"/>
      <c r="D536" s="15"/>
      <c r="E536" s="25"/>
      <c r="F536" s="14"/>
      <c r="G536" s="14"/>
      <c r="H536" s="14"/>
      <c r="I536" s="14"/>
      <c r="J536" s="120"/>
      <c r="K536" s="120"/>
      <c r="L536" s="120"/>
      <c r="M536" s="14"/>
      <c r="N536" s="14"/>
      <c r="O536" s="120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5">
      <c r="A537" s="14"/>
      <c r="B537" s="14"/>
      <c r="C537" s="14"/>
      <c r="D537" s="15"/>
      <c r="E537" s="25"/>
      <c r="F537" s="14"/>
      <c r="G537" s="14"/>
      <c r="H537" s="14"/>
      <c r="I537" s="14"/>
      <c r="J537" s="120"/>
      <c r="K537" s="120"/>
      <c r="L537" s="120"/>
      <c r="M537" s="14"/>
      <c r="N537" s="14"/>
      <c r="O537" s="120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5">
      <c r="A538" s="14"/>
      <c r="B538" s="14"/>
      <c r="C538" s="14"/>
      <c r="D538" s="15"/>
      <c r="E538" s="25"/>
      <c r="F538" s="14"/>
      <c r="G538" s="14"/>
      <c r="H538" s="14"/>
      <c r="I538" s="14"/>
      <c r="J538" s="120"/>
      <c r="K538" s="120"/>
      <c r="L538" s="120"/>
      <c r="M538" s="14"/>
      <c r="N538" s="14"/>
      <c r="O538" s="120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5">
      <c r="A539" s="14"/>
      <c r="B539" s="14"/>
      <c r="C539" s="14"/>
      <c r="D539" s="15"/>
      <c r="E539" s="25"/>
      <c r="F539" s="14"/>
      <c r="G539" s="14"/>
      <c r="H539" s="14"/>
      <c r="I539" s="14"/>
      <c r="J539" s="120"/>
      <c r="K539" s="120"/>
      <c r="L539" s="120"/>
      <c r="M539" s="14"/>
      <c r="N539" s="14"/>
      <c r="O539" s="120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5">
      <c r="A540" s="14"/>
      <c r="B540" s="14"/>
      <c r="C540" s="14"/>
      <c r="D540" s="15"/>
      <c r="E540" s="25"/>
      <c r="F540" s="14"/>
      <c r="G540" s="14"/>
      <c r="H540" s="14"/>
      <c r="I540" s="14"/>
      <c r="J540" s="120"/>
      <c r="K540" s="120"/>
      <c r="L540" s="120"/>
      <c r="M540" s="14"/>
      <c r="N540" s="14"/>
      <c r="O540" s="120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5">
      <c r="A541" s="14"/>
      <c r="B541" s="14"/>
      <c r="C541" s="14"/>
      <c r="D541" s="15"/>
      <c r="E541" s="25"/>
      <c r="F541" s="14"/>
      <c r="G541" s="14"/>
      <c r="H541" s="14"/>
      <c r="I541" s="14"/>
      <c r="J541" s="120"/>
      <c r="K541" s="120"/>
      <c r="L541" s="120"/>
      <c r="M541" s="14"/>
      <c r="N541" s="14"/>
      <c r="O541" s="120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5">
      <c r="A542" s="14"/>
      <c r="B542" s="14"/>
      <c r="C542" s="14"/>
      <c r="D542" s="15"/>
      <c r="E542" s="25"/>
      <c r="F542" s="14"/>
      <c r="G542" s="14"/>
      <c r="H542" s="14"/>
      <c r="I542" s="14"/>
      <c r="J542" s="120"/>
      <c r="K542" s="120"/>
      <c r="L542" s="120"/>
      <c r="M542" s="14"/>
      <c r="N542" s="14"/>
      <c r="O542" s="120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5">
      <c r="A543" s="14"/>
      <c r="B543" s="14"/>
      <c r="C543" s="14"/>
      <c r="D543" s="15"/>
      <c r="E543" s="25"/>
      <c r="F543" s="14"/>
      <c r="G543" s="14"/>
      <c r="H543" s="14"/>
      <c r="I543" s="14"/>
      <c r="J543" s="120"/>
      <c r="K543" s="120"/>
      <c r="L543" s="120"/>
      <c r="M543" s="14"/>
      <c r="N543" s="14"/>
      <c r="O543" s="120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5">
      <c r="A544" s="14"/>
      <c r="B544" s="14"/>
      <c r="C544" s="14"/>
      <c r="D544" s="15"/>
      <c r="E544" s="25"/>
      <c r="F544" s="14"/>
      <c r="G544" s="14"/>
      <c r="H544" s="14"/>
      <c r="I544" s="14"/>
      <c r="J544" s="120"/>
      <c r="K544" s="120"/>
      <c r="L544" s="120"/>
      <c r="M544" s="14"/>
      <c r="N544" s="14"/>
      <c r="O544" s="120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5">
      <c r="A545" s="14"/>
      <c r="B545" s="14"/>
      <c r="C545" s="14"/>
      <c r="D545" s="15"/>
      <c r="E545" s="25"/>
      <c r="F545" s="14"/>
      <c r="G545" s="14"/>
      <c r="H545" s="14"/>
      <c r="I545" s="14"/>
      <c r="J545" s="120"/>
      <c r="K545" s="120"/>
      <c r="L545" s="120"/>
      <c r="M545" s="14"/>
      <c r="N545" s="14"/>
      <c r="O545" s="120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5">
      <c r="A546" s="14"/>
      <c r="B546" s="14"/>
      <c r="C546" s="14"/>
      <c r="D546" s="15"/>
      <c r="E546" s="25"/>
      <c r="F546" s="14"/>
      <c r="G546" s="14"/>
      <c r="H546" s="14"/>
      <c r="I546" s="14"/>
      <c r="J546" s="120"/>
      <c r="K546" s="120"/>
      <c r="L546" s="120"/>
      <c r="M546" s="14"/>
      <c r="N546" s="14"/>
      <c r="O546" s="120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5">
      <c r="A547" s="14"/>
      <c r="B547" s="14"/>
      <c r="C547" s="14"/>
      <c r="D547" s="15"/>
      <c r="E547" s="25"/>
      <c r="F547" s="14"/>
      <c r="G547" s="14"/>
      <c r="H547" s="14"/>
      <c r="I547" s="14"/>
      <c r="J547" s="120"/>
      <c r="K547" s="120"/>
      <c r="L547" s="120"/>
      <c r="M547" s="14"/>
      <c r="N547" s="14"/>
      <c r="O547" s="120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5">
      <c r="A548" s="14"/>
      <c r="B548" s="14"/>
      <c r="C548" s="14"/>
      <c r="D548" s="15"/>
      <c r="E548" s="25"/>
      <c r="F548" s="14"/>
      <c r="G548" s="14"/>
      <c r="H548" s="14"/>
      <c r="I548" s="14"/>
      <c r="J548" s="120"/>
      <c r="K548" s="120"/>
      <c r="L548" s="120"/>
      <c r="M548" s="14"/>
      <c r="N548" s="14"/>
      <c r="O548" s="120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5">
      <c r="A549" s="14"/>
      <c r="B549" s="14"/>
      <c r="C549" s="14"/>
      <c r="D549" s="15"/>
      <c r="E549" s="25"/>
      <c r="F549" s="14"/>
      <c r="G549" s="14"/>
      <c r="H549" s="14"/>
      <c r="I549" s="14"/>
      <c r="J549" s="120"/>
      <c r="K549" s="120"/>
      <c r="L549" s="120"/>
      <c r="M549" s="14"/>
      <c r="N549" s="14"/>
      <c r="O549" s="120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5">
      <c r="A550" s="14"/>
      <c r="B550" s="14"/>
      <c r="C550" s="14"/>
      <c r="D550" s="15"/>
      <c r="E550" s="25"/>
      <c r="F550" s="14"/>
      <c r="G550" s="14"/>
      <c r="H550" s="14"/>
      <c r="I550" s="14"/>
      <c r="J550" s="120"/>
      <c r="K550" s="120"/>
      <c r="L550" s="120"/>
      <c r="M550" s="14"/>
      <c r="N550" s="14"/>
      <c r="O550" s="120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5">
      <c r="A551" s="14"/>
      <c r="B551" s="14"/>
      <c r="C551" s="14"/>
      <c r="D551" s="15"/>
      <c r="E551" s="25"/>
      <c r="F551" s="14"/>
      <c r="G551" s="14"/>
      <c r="H551" s="14"/>
      <c r="I551" s="14"/>
      <c r="J551" s="120"/>
      <c r="K551" s="120"/>
      <c r="L551" s="120"/>
      <c r="M551" s="14"/>
      <c r="N551" s="14"/>
      <c r="O551" s="120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5">
      <c r="A552" s="14"/>
      <c r="B552" s="14"/>
      <c r="C552" s="14"/>
      <c r="D552" s="15"/>
      <c r="E552" s="25"/>
      <c r="F552" s="14"/>
      <c r="G552" s="14"/>
      <c r="H552" s="14"/>
      <c r="I552" s="14"/>
      <c r="J552" s="120"/>
      <c r="K552" s="120"/>
      <c r="L552" s="120"/>
      <c r="M552" s="14"/>
      <c r="N552" s="14"/>
      <c r="O552" s="120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5">
      <c r="A553" s="14"/>
      <c r="B553" s="14"/>
      <c r="C553" s="14"/>
      <c r="D553" s="15"/>
      <c r="E553" s="25"/>
      <c r="F553" s="14"/>
      <c r="G553" s="14"/>
      <c r="H553" s="14"/>
      <c r="I553" s="14"/>
      <c r="J553" s="120"/>
      <c r="K553" s="120"/>
      <c r="L553" s="120"/>
      <c r="M553" s="14"/>
      <c r="N553" s="14"/>
      <c r="O553" s="120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5">
      <c r="A554" s="14"/>
      <c r="B554" s="14"/>
      <c r="C554" s="14"/>
      <c r="D554" s="15"/>
      <c r="E554" s="25"/>
      <c r="F554" s="14"/>
      <c r="G554" s="14"/>
      <c r="H554" s="14"/>
      <c r="I554" s="14"/>
      <c r="J554" s="120"/>
      <c r="K554" s="120"/>
      <c r="L554" s="120"/>
      <c r="M554" s="14"/>
      <c r="N554" s="14"/>
      <c r="O554" s="120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5">
      <c r="A555" s="14"/>
      <c r="B555" s="14"/>
      <c r="C555" s="14"/>
      <c r="D555" s="15"/>
      <c r="E555" s="25"/>
      <c r="F555" s="14"/>
      <c r="G555" s="14"/>
      <c r="H555" s="14"/>
      <c r="I555" s="14"/>
      <c r="J555" s="120"/>
      <c r="K555" s="120"/>
      <c r="L555" s="120"/>
      <c r="M555" s="14"/>
      <c r="N555" s="14"/>
      <c r="O555" s="120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5">
      <c r="A556" s="14"/>
      <c r="B556" s="14"/>
      <c r="C556" s="14"/>
      <c r="D556" s="15"/>
      <c r="E556" s="25"/>
      <c r="F556" s="14"/>
      <c r="G556" s="14"/>
      <c r="H556" s="14"/>
      <c r="I556" s="14"/>
      <c r="J556" s="120"/>
      <c r="K556" s="120"/>
      <c r="L556" s="120"/>
      <c r="M556" s="14"/>
      <c r="N556" s="14"/>
      <c r="O556" s="120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5">
      <c r="A557" s="14"/>
      <c r="B557" s="14"/>
      <c r="C557" s="14"/>
      <c r="D557" s="15"/>
      <c r="E557" s="25"/>
      <c r="F557" s="14"/>
      <c r="G557" s="14"/>
      <c r="H557" s="14"/>
      <c r="I557" s="14"/>
      <c r="J557" s="120"/>
      <c r="K557" s="120"/>
      <c r="L557" s="120"/>
      <c r="M557" s="14"/>
      <c r="N557" s="14"/>
      <c r="O557" s="120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5">
      <c r="A558" s="14"/>
      <c r="B558" s="14"/>
      <c r="C558" s="14"/>
      <c r="D558" s="15"/>
      <c r="E558" s="25"/>
      <c r="F558" s="14"/>
      <c r="G558" s="14"/>
      <c r="H558" s="14"/>
      <c r="I558" s="14"/>
      <c r="J558" s="120"/>
      <c r="K558" s="120"/>
      <c r="L558" s="120"/>
      <c r="M558" s="14"/>
      <c r="N558" s="14"/>
      <c r="O558" s="120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5">
      <c r="A559" s="14"/>
      <c r="B559" s="14"/>
      <c r="C559" s="14"/>
      <c r="D559" s="15"/>
      <c r="E559" s="25"/>
      <c r="F559" s="14"/>
      <c r="G559" s="14"/>
      <c r="H559" s="14"/>
      <c r="I559" s="14"/>
      <c r="J559" s="120"/>
      <c r="K559" s="120"/>
      <c r="L559" s="120"/>
      <c r="M559" s="14"/>
      <c r="N559" s="14"/>
      <c r="O559" s="120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5">
      <c r="A560" s="14"/>
      <c r="B560" s="14"/>
      <c r="C560" s="14"/>
      <c r="D560" s="15"/>
      <c r="E560" s="25"/>
      <c r="F560" s="14"/>
      <c r="G560" s="14"/>
      <c r="H560" s="14"/>
      <c r="I560" s="14"/>
      <c r="J560" s="120"/>
      <c r="K560" s="120"/>
      <c r="L560" s="120"/>
      <c r="M560" s="14"/>
      <c r="N560" s="14"/>
      <c r="O560" s="120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5">
      <c r="A561" s="14"/>
      <c r="B561" s="14"/>
      <c r="C561" s="14"/>
      <c r="D561" s="15"/>
      <c r="E561" s="25"/>
      <c r="F561" s="14"/>
      <c r="G561" s="14"/>
      <c r="H561" s="14"/>
      <c r="I561" s="14"/>
      <c r="J561" s="120"/>
      <c r="K561" s="120"/>
      <c r="L561" s="120"/>
      <c r="M561" s="14"/>
      <c r="N561" s="14"/>
      <c r="O561" s="120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5">
      <c r="A562" s="14"/>
      <c r="B562" s="14"/>
      <c r="C562" s="14"/>
      <c r="D562" s="15"/>
      <c r="E562" s="25"/>
      <c r="F562" s="14"/>
      <c r="G562" s="14"/>
      <c r="H562" s="14"/>
      <c r="I562" s="14"/>
      <c r="J562" s="120"/>
      <c r="K562" s="120"/>
      <c r="L562" s="120"/>
      <c r="M562" s="14"/>
      <c r="N562" s="14"/>
      <c r="O562" s="120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5">
      <c r="A563" s="14"/>
      <c r="B563" s="14"/>
      <c r="C563" s="14"/>
      <c r="D563" s="15"/>
      <c r="E563" s="25"/>
      <c r="F563" s="14"/>
      <c r="G563" s="14"/>
      <c r="H563" s="14"/>
      <c r="I563" s="14"/>
      <c r="J563" s="120"/>
      <c r="K563" s="120"/>
      <c r="L563" s="120"/>
      <c r="M563" s="14"/>
      <c r="N563" s="14"/>
      <c r="O563" s="120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5">
      <c r="A564" s="14"/>
      <c r="B564" s="14"/>
      <c r="C564" s="14"/>
      <c r="D564" s="15"/>
      <c r="E564" s="25"/>
      <c r="F564" s="14"/>
      <c r="G564" s="14"/>
      <c r="H564" s="14"/>
      <c r="I564" s="14"/>
      <c r="J564" s="120"/>
      <c r="K564" s="120"/>
      <c r="L564" s="120"/>
      <c r="M564" s="14"/>
      <c r="N564" s="14"/>
      <c r="O564" s="120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5">
      <c r="A565" s="14"/>
      <c r="B565" s="14"/>
      <c r="C565" s="14"/>
      <c r="D565" s="15"/>
      <c r="E565" s="25"/>
      <c r="F565" s="14"/>
      <c r="G565" s="14"/>
      <c r="H565" s="14"/>
      <c r="I565" s="14"/>
      <c r="J565" s="120"/>
      <c r="K565" s="120"/>
      <c r="L565" s="120"/>
      <c r="M565" s="14"/>
      <c r="N565" s="14"/>
      <c r="O565" s="120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5">
      <c r="A566" s="14"/>
      <c r="B566" s="14"/>
      <c r="C566" s="14"/>
      <c r="D566" s="15"/>
      <c r="E566" s="25"/>
      <c r="F566" s="14"/>
      <c r="G566" s="14"/>
      <c r="H566" s="14"/>
      <c r="I566" s="14"/>
      <c r="J566" s="120"/>
      <c r="K566" s="120"/>
      <c r="L566" s="120"/>
      <c r="M566" s="14"/>
      <c r="N566" s="14"/>
      <c r="O566" s="120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5">
      <c r="A567" s="14"/>
      <c r="B567" s="14"/>
      <c r="C567" s="14"/>
      <c r="D567" s="15"/>
      <c r="E567" s="25"/>
      <c r="F567" s="14"/>
      <c r="G567" s="14"/>
      <c r="H567" s="14"/>
      <c r="I567" s="14"/>
      <c r="J567" s="120"/>
      <c r="K567" s="120"/>
      <c r="L567" s="120"/>
      <c r="M567" s="14"/>
      <c r="N567" s="14"/>
      <c r="O567" s="120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5">
      <c r="A568" s="14"/>
      <c r="B568" s="14"/>
      <c r="C568" s="14"/>
      <c r="D568" s="15"/>
      <c r="E568" s="25"/>
      <c r="F568" s="14"/>
      <c r="G568" s="14"/>
      <c r="H568" s="14"/>
      <c r="I568" s="14"/>
      <c r="J568" s="120"/>
      <c r="K568" s="120"/>
      <c r="L568" s="120"/>
      <c r="M568" s="14"/>
      <c r="N568" s="14"/>
      <c r="O568" s="120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5">
      <c r="A569" s="14"/>
      <c r="B569" s="14"/>
      <c r="C569" s="14"/>
      <c r="D569" s="15"/>
      <c r="E569" s="25"/>
      <c r="F569" s="14"/>
      <c r="G569" s="14"/>
      <c r="H569" s="14"/>
      <c r="I569" s="14"/>
      <c r="J569" s="120"/>
      <c r="K569" s="120"/>
      <c r="L569" s="120"/>
      <c r="M569" s="14"/>
      <c r="N569" s="14"/>
      <c r="O569" s="120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5">
      <c r="A570" s="14"/>
      <c r="B570" s="14"/>
      <c r="C570" s="14"/>
      <c r="D570" s="15"/>
      <c r="E570" s="25"/>
      <c r="F570" s="14"/>
      <c r="G570" s="14"/>
      <c r="H570" s="14"/>
      <c r="I570" s="14"/>
      <c r="J570" s="120"/>
      <c r="K570" s="120"/>
      <c r="L570" s="120"/>
      <c r="M570" s="14"/>
      <c r="N570" s="14"/>
      <c r="O570" s="120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5">
      <c r="A571" s="14"/>
      <c r="B571" s="14"/>
      <c r="C571" s="14"/>
      <c r="D571" s="15"/>
      <c r="E571" s="25"/>
      <c r="F571" s="14"/>
      <c r="G571" s="14"/>
      <c r="H571" s="14"/>
      <c r="I571" s="14"/>
      <c r="J571" s="120"/>
      <c r="K571" s="120"/>
      <c r="L571" s="120"/>
      <c r="M571" s="14"/>
      <c r="N571" s="14"/>
      <c r="O571" s="120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5">
      <c r="A572" s="14"/>
      <c r="B572" s="14"/>
      <c r="C572" s="14"/>
      <c r="D572" s="15"/>
      <c r="E572" s="25"/>
      <c r="F572" s="14"/>
      <c r="G572" s="14"/>
      <c r="H572" s="14"/>
      <c r="I572" s="14"/>
      <c r="J572" s="120"/>
      <c r="K572" s="120"/>
      <c r="L572" s="120"/>
      <c r="M572" s="14"/>
      <c r="N572" s="14"/>
      <c r="O572" s="120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5">
      <c r="A573" s="14"/>
      <c r="B573" s="14"/>
      <c r="C573" s="14"/>
      <c r="D573" s="15"/>
      <c r="E573" s="25"/>
      <c r="F573" s="14"/>
      <c r="G573" s="14"/>
      <c r="H573" s="14"/>
      <c r="I573" s="14"/>
      <c r="J573" s="120"/>
      <c r="K573" s="120"/>
      <c r="L573" s="120"/>
      <c r="M573" s="14"/>
      <c r="N573" s="14"/>
      <c r="O573" s="120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5">
      <c r="A574" s="14"/>
      <c r="B574" s="14"/>
      <c r="C574" s="14"/>
      <c r="D574" s="15"/>
      <c r="E574" s="25"/>
      <c r="F574" s="14"/>
      <c r="G574" s="14"/>
      <c r="H574" s="14"/>
      <c r="I574" s="14"/>
      <c r="J574" s="120"/>
      <c r="K574" s="120"/>
      <c r="L574" s="120"/>
      <c r="M574" s="14"/>
      <c r="N574" s="14"/>
      <c r="O574" s="120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5">
      <c r="A575" s="14"/>
      <c r="B575" s="14"/>
      <c r="C575" s="14"/>
      <c r="D575" s="15"/>
      <c r="E575" s="25"/>
      <c r="F575" s="14"/>
      <c r="G575" s="14"/>
      <c r="H575" s="14"/>
      <c r="I575" s="14"/>
      <c r="J575" s="120"/>
      <c r="K575" s="120"/>
      <c r="L575" s="120"/>
      <c r="M575" s="14"/>
      <c r="N575" s="14"/>
      <c r="O575" s="120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5">
      <c r="A576" s="14"/>
      <c r="B576" s="14"/>
      <c r="C576" s="14"/>
      <c r="D576" s="15"/>
      <c r="E576" s="25"/>
      <c r="F576" s="14"/>
      <c r="G576" s="14"/>
      <c r="H576" s="14"/>
      <c r="I576" s="14"/>
      <c r="J576" s="120"/>
      <c r="K576" s="120"/>
      <c r="L576" s="120"/>
      <c r="M576" s="14"/>
      <c r="N576" s="14"/>
      <c r="O576" s="120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5">
      <c r="A577" s="14"/>
      <c r="B577" s="14"/>
      <c r="C577" s="14"/>
      <c r="D577" s="15"/>
      <c r="E577" s="25"/>
      <c r="F577" s="14"/>
      <c r="G577" s="14"/>
      <c r="H577" s="14"/>
      <c r="I577" s="14"/>
      <c r="J577" s="120"/>
      <c r="K577" s="120"/>
      <c r="L577" s="120"/>
      <c r="M577" s="14"/>
      <c r="N577" s="14"/>
      <c r="O577" s="120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5">
      <c r="A578" s="14"/>
      <c r="B578" s="14"/>
      <c r="C578" s="14"/>
      <c r="D578" s="15"/>
      <c r="E578" s="25"/>
      <c r="F578" s="14"/>
      <c r="G578" s="14"/>
      <c r="H578" s="14"/>
      <c r="I578" s="14"/>
      <c r="J578" s="120"/>
      <c r="K578" s="120"/>
      <c r="L578" s="120"/>
      <c r="M578" s="14"/>
      <c r="N578" s="14"/>
      <c r="O578" s="120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5">
      <c r="A579" s="14"/>
      <c r="B579" s="14"/>
      <c r="C579" s="14"/>
      <c r="D579" s="15"/>
      <c r="E579" s="25"/>
      <c r="F579" s="14"/>
      <c r="G579" s="14"/>
      <c r="H579" s="14"/>
      <c r="I579" s="14"/>
      <c r="J579" s="120"/>
      <c r="K579" s="120"/>
      <c r="L579" s="120"/>
      <c r="M579" s="14"/>
      <c r="N579" s="14"/>
      <c r="O579" s="120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5">
      <c r="A580" s="14"/>
      <c r="B580" s="14"/>
      <c r="C580" s="14"/>
      <c r="D580" s="15"/>
      <c r="E580" s="25"/>
      <c r="F580" s="14"/>
      <c r="G580" s="14"/>
      <c r="H580" s="14"/>
      <c r="I580" s="14"/>
      <c r="J580" s="120"/>
      <c r="K580" s="120"/>
      <c r="L580" s="120"/>
      <c r="M580" s="14"/>
      <c r="N580" s="14"/>
      <c r="O580" s="120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5">
      <c r="A581" s="14"/>
      <c r="B581" s="14"/>
      <c r="C581" s="14"/>
      <c r="D581" s="15"/>
      <c r="E581" s="25"/>
      <c r="F581" s="14"/>
      <c r="G581" s="14"/>
      <c r="H581" s="14"/>
      <c r="I581" s="14"/>
      <c r="J581" s="120"/>
      <c r="K581" s="120"/>
      <c r="L581" s="120"/>
      <c r="M581" s="14"/>
      <c r="N581" s="14"/>
      <c r="O581" s="120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5">
      <c r="A582" s="14"/>
      <c r="B582" s="14"/>
      <c r="C582" s="14"/>
      <c r="D582" s="15"/>
      <c r="E582" s="25"/>
      <c r="F582" s="14"/>
      <c r="G582" s="14"/>
      <c r="H582" s="14"/>
      <c r="I582" s="14"/>
      <c r="J582" s="120"/>
      <c r="K582" s="120"/>
      <c r="L582" s="120"/>
      <c r="M582" s="14"/>
      <c r="N582" s="14"/>
      <c r="O582" s="120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5">
      <c r="A583" s="14"/>
      <c r="B583" s="14"/>
      <c r="C583" s="14"/>
      <c r="D583" s="15"/>
      <c r="E583" s="25"/>
      <c r="F583" s="14"/>
      <c r="G583" s="14"/>
      <c r="H583" s="14"/>
      <c r="I583" s="14"/>
      <c r="J583" s="120"/>
      <c r="K583" s="120"/>
      <c r="L583" s="120"/>
      <c r="M583" s="14"/>
      <c r="N583" s="14"/>
      <c r="O583" s="120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5">
      <c r="A584" s="14"/>
      <c r="B584" s="14"/>
      <c r="C584" s="14"/>
      <c r="D584" s="15"/>
      <c r="E584" s="25"/>
      <c r="F584" s="14"/>
      <c r="G584" s="14"/>
      <c r="H584" s="14"/>
      <c r="I584" s="14"/>
      <c r="J584" s="120"/>
      <c r="K584" s="120"/>
      <c r="L584" s="120"/>
      <c r="M584" s="14"/>
      <c r="N584" s="14"/>
      <c r="O584" s="120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5">
      <c r="A585" s="14"/>
      <c r="B585" s="14"/>
      <c r="C585" s="14"/>
      <c r="D585" s="15"/>
      <c r="E585" s="25"/>
      <c r="F585" s="14"/>
      <c r="G585" s="14"/>
      <c r="H585" s="14"/>
      <c r="I585" s="14"/>
      <c r="J585" s="120"/>
      <c r="K585" s="120"/>
      <c r="L585" s="120"/>
      <c r="M585" s="14"/>
      <c r="N585" s="14"/>
      <c r="O585" s="120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5">
      <c r="A586" s="14"/>
      <c r="B586" s="14"/>
      <c r="C586" s="14"/>
      <c r="D586" s="15"/>
      <c r="E586" s="25"/>
      <c r="F586" s="14"/>
      <c r="G586" s="14"/>
      <c r="H586" s="14"/>
      <c r="I586" s="14"/>
      <c r="J586" s="120"/>
      <c r="K586" s="120"/>
      <c r="L586" s="120"/>
      <c r="M586" s="14"/>
      <c r="N586" s="14"/>
      <c r="O586" s="120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5">
      <c r="A587" s="14"/>
      <c r="B587" s="14"/>
      <c r="C587" s="14"/>
      <c r="D587" s="15"/>
      <c r="E587" s="25"/>
      <c r="F587" s="14"/>
      <c r="G587" s="14"/>
      <c r="H587" s="14"/>
      <c r="I587" s="14"/>
      <c r="J587" s="120"/>
      <c r="K587" s="120"/>
      <c r="L587" s="120"/>
      <c r="M587" s="14"/>
      <c r="N587" s="14"/>
      <c r="O587" s="120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5">
      <c r="A588" s="14"/>
      <c r="B588" s="14"/>
      <c r="C588" s="14"/>
      <c r="D588" s="15"/>
      <c r="E588" s="25"/>
      <c r="F588" s="14"/>
      <c r="G588" s="14"/>
      <c r="H588" s="14"/>
      <c r="I588" s="14"/>
      <c r="J588" s="120"/>
      <c r="K588" s="120"/>
      <c r="L588" s="120"/>
      <c r="M588" s="14"/>
      <c r="N588" s="14"/>
      <c r="O588" s="120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5">
      <c r="A589" s="14"/>
      <c r="B589" s="14"/>
      <c r="C589" s="14"/>
      <c r="D589" s="15"/>
      <c r="E589" s="25"/>
      <c r="F589" s="14"/>
      <c r="G589" s="14"/>
      <c r="H589" s="14"/>
      <c r="I589" s="14"/>
      <c r="J589" s="120"/>
      <c r="K589" s="120"/>
      <c r="L589" s="120"/>
      <c r="M589" s="14"/>
      <c r="N589" s="14"/>
      <c r="O589" s="120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5">
      <c r="A590" s="14"/>
      <c r="B590" s="14"/>
      <c r="C590" s="14"/>
      <c r="D590" s="15"/>
      <c r="E590" s="25"/>
      <c r="F590" s="14"/>
      <c r="G590" s="14"/>
      <c r="H590" s="14"/>
      <c r="I590" s="14"/>
      <c r="J590" s="120"/>
      <c r="K590" s="120"/>
      <c r="L590" s="120"/>
      <c r="M590" s="14"/>
      <c r="N590" s="14"/>
      <c r="O590" s="120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5">
      <c r="A591" s="14"/>
      <c r="B591" s="14"/>
      <c r="C591" s="14"/>
      <c r="D591" s="15"/>
      <c r="E591" s="25"/>
      <c r="F591" s="14"/>
      <c r="G591" s="14"/>
      <c r="H591" s="14"/>
      <c r="I591" s="14"/>
      <c r="J591" s="120"/>
      <c r="K591" s="120"/>
      <c r="L591" s="120"/>
      <c r="M591" s="14"/>
      <c r="N591" s="14"/>
      <c r="O591" s="120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5">
      <c r="A592" s="14"/>
      <c r="B592" s="14"/>
      <c r="C592" s="14"/>
      <c r="D592" s="15"/>
      <c r="E592" s="25"/>
      <c r="F592" s="14"/>
      <c r="G592" s="14"/>
      <c r="H592" s="14"/>
      <c r="I592" s="14"/>
      <c r="J592" s="120"/>
      <c r="K592" s="120"/>
      <c r="L592" s="120"/>
      <c r="M592" s="14"/>
      <c r="N592" s="14"/>
      <c r="O592" s="120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5">
      <c r="A593" s="14"/>
      <c r="B593" s="14"/>
      <c r="C593" s="14"/>
      <c r="D593" s="15"/>
      <c r="E593" s="25"/>
      <c r="F593" s="14"/>
      <c r="G593" s="14"/>
      <c r="H593" s="14"/>
      <c r="I593" s="14"/>
      <c r="J593" s="120"/>
      <c r="K593" s="120"/>
      <c r="L593" s="120"/>
      <c r="M593" s="14"/>
      <c r="N593" s="14"/>
      <c r="O593" s="120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5">
      <c r="A594" s="14"/>
      <c r="B594" s="14"/>
      <c r="C594" s="14"/>
      <c r="D594" s="15"/>
      <c r="E594" s="25"/>
      <c r="F594" s="14"/>
      <c r="G594" s="14"/>
      <c r="H594" s="14"/>
      <c r="I594" s="14"/>
      <c r="J594" s="120"/>
      <c r="K594" s="120"/>
      <c r="L594" s="120"/>
      <c r="M594" s="14"/>
      <c r="N594" s="14"/>
      <c r="O594" s="120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5">
      <c r="A595" s="14"/>
      <c r="B595" s="14"/>
      <c r="C595" s="14"/>
      <c r="D595" s="15"/>
      <c r="E595" s="25"/>
      <c r="F595" s="14"/>
      <c r="G595" s="14"/>
      <c r="H595" s="14"/>
      <c r="I595" s="14"/>
      <c r="J595" s="120"/>
      <c r="K595" s="120"/>
      <c r="L595" s="120"/>
      <c r="M595" s="14"/>
      <c r="N595" s="14"/>
      <c r="O595" s="120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5">
      <c r="A596" s="14"/>
      <c r="B596" s="14"/>
      <c r="C596" s="14"/>
      <c r="D596" s="15"/>
      <c r="E596" s="25"/>
      <c r="F596" s="14"/>
      <c r="G596" s="14"/>
      <c r="H596" s="14"/>
      <c r="I596" s="14"/>
      <c r="J596" s="120"/>
      <c r="K596" s="120"/>
      <c r="L596" s="120"/>
      <c r="M596" s="14"/>
      <c r="N596" s="14"/>
      <c r="O596" s="120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5">
      <c r="A597" s="14"/>
      <c r="B597" s="14"/>
      <c r="C597" s="14"/>
      <c r="D597" s="15"/>
      <c r="E597" s="25"/>
      <c r="F597" s="14"/>
      <c r="G597" s="14"/>
      <c r="H597" s="14"/>
      <c r="I597" s="14"/>
      <c r="J597" s="120"/>
      <c r="K597" s="120"/>
      <c r="L597" s="120"/>
      <c r="M597" s="14"/>
      <c r="N597" s="14"/>
      <c r="O597" s="120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5">
      <c r="A598" s="14"/>
      <c r="B598" s="14"/>
      <c r="C598" s="14"/>
      <c r="D598" s="15"/>
      <c r="E598" s="25"/>
      <c r="F598" s="14"/>
      <c r="G598" s="14"/>
      <c r="H598" s="14"/>
      <c r="I598" s="14"/>
      <c r="J598" s="120"/>
      <c r="K598" s="120"/>
      <c r="L598" s="120"/>
      <c r="M598" s="14"/>
      <c r="N598" s="14"/>
      <c r="O598" s="120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5">
      <c r="A599" s="14"/>
      <c r="B599" s="14"/>
      <c r="C599" s="14"/>
      <c r="D599" s="15"/>
      <c r="E599" s="25"/>
      <c r="F599" s="14"/>
      <c r="G599" s="14"/>
      <c r="H599" s="14"/>
      <c r="I599" s="14"/>
      <c r="J599" s="120"/>
      <c r="K599" s="120"/>
      <c r="L599" s="120"/>
      <c r="M599" s="14"/>
      <c r="N599" s="14"/>
      <c r="O599" s="120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5">
      <c r="A600" s="14"/>
      <c r="B600" s="14"/>
      <c r="C600" s="14"/>
      <c r="D600" s="15"/>
      <c r="E600" s="25"/>
      <c r="F600" s="14"/>
      <c r="G600" s="14"/>
      <c r="H600" s="14"/>
      <c r="I600" s="14"/>
      <c r="J600" s="120"/>
      <c r="K600" s="120"/>
      <c r="L600" s="120"/>
      <c r="M600" s="14"/>
      <c r="N600" s="14"/>
      <c r="O600" s="120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5">
      <c r="A601" s="14"/>
      <c r="B601" s="14"/>
      <c r="C601" s="14"/>
      <c r="D601" s="15"/>
      <c r="E601" s="25"/>
      <c r="F601" s="14"/>
      <c r="G601" s="14"/>
      <c r="H601" s="14"/>
      <c r="I601" s="14"/>
      <c r="J601" s="120"/>
      <c r="K601" s="120"/>
      <c r="L601" s="120"/>
      <c r="M601" s="14"/>
      <c r="N601" s="14"/>
      <c r="O601" s="120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5">
      <c r="A602" s="14"/>
      <c r="B602" s="14"/>
      <c r="C602" s="14"/>
      <c r="D602" s="15"/>
      <c r="E602" s="25"/>
      <c r="F602" s="14"/>
      <c r="G602" s="14"/>
      <c r="H602" s="14"/>
      <c r="I602" s="14"/>
      <c r="J602" s="120"/>
      <c r="K602" s="120"/>
      <c r="L602" s="120"/>
      <c r="M602" s="14"/>
      <c r="N602" s="14"/>
      <c r="O602" s="120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5">
      <c r="A603" s="14"/>
      <c r="B603" s="14"/>
      <c r="C603" s="14"/>
      <c r="D603" s="15"/>
      <c r="E603" s="25"/>
      <c r="F603" s="14"/>
      <c r="G603" s="14"/>
      <c r="H603" s="14"/>
      <c r="I603" s="14"/>
      <c r="J603" s="120"/>
      <c r="K603" s="120"/>
      <c r="L603" s="120"/>
      <c r="M603" s="14"/>
      <c r="N603" s="14"/>
      <c r="O603" s="120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5">
      <c r="A604" s="14"/>
      <c r="B604" s="14"/>
      <c r="C604" s="14"/>
      <c r="D604" s="15"/>
      <c r="E604" s="25"/>
      <c r="F604" s="14"/>
      <c r="G604" s="14"/>
      <c r="H604" s="14"/>
      <c r="I604" s="14"/>
      <c r="J604" s="120"/>
      <c r="K604" s="120"/>
      <c r="L604" s="120"/>
      <c r="M604" s="14"/>
      <c r="N604" s="14"/>
      <c r="O604" s="120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5">
      <c r="A605" s="14"/>
      <c r="B605" s="14"/>
      <c r="C605" s="14"/>
      <c r="D605" s="15"/>
      <c r="E605" s="25"/>
      <c r="F605" s="14"/>
      <c r="G605" s="14"/>
      <c r="H605" s="14"/>
      <c r="I605" s="14"/>
      <c r="J605" s="120"/>
      <c r="K605" s="120"/>
      <c r="L605" s="120"/>
      <c r="M605" s="14"/>
      <c r="N605" s="14"/>
      <c r="O605" s="120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5">
      <c r="A606" s="14"/>
      <c r="B606" s="14"/>
      <c r="C606" s="14"/>
      <c r="D606" s="15"/>
      <c r="E606" s="25"/>
      <c r="F606" s="14"/>
      <c r="G606" s="14"/>
      <c r="H606" s="14"/>
      <c r="I606" s="14"/>
      <c r="J606" s="120"/>
      <c r="K606" s="120"/>
      <c r="L606" s="120"/>
      <c r="M606" s="14"/>
      <c r="N606" s="14"/>
      <c r="O606" s="120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5">
      <c r="A607" s="14"/>
      <c r="B607" s="14"/>
      <c r="C607" s="14"/>
      <c r="D607" s="15"/>
      <c r="E607" s="25"/>
      <c r="F607" s="14"/>
      <c r="G607" s="14"/>
      <c r="H607" s="14"/>
      <c r="I607" s="14"/>
      <c r="J607" s="120"/>
      <c r="K607" s="120"/>
      <c r="L607" s="120"/>
      <c r="M607" s="14"/>
      <c r="N607" s="14"/>
      <c r="O607" s="120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5">
      <c r="A608" s="14"/>
      <c r="B608" s="14"/>
      <c r="C608" s="14"/>
      <c r="D608" s="15"/>
      <c r="E608" s="25"/>
      <c r="F608" s="14"/>
      <c r="G608" s="14"/>
      <c r="H608" s="14"/>
      <c r="I608" s="14"/>
      <c r="J608" s="120"/>
      <c r="K608" s="120"/>
      <c r="L608" s="120"/>
      <c r="M608" s="14"/>
      <c r="N608" s="14"/>
      <c r="O608" s="120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5">
      <c r="A609" s="14"/>
      <c r="B609" s="14"/>
      <c r="C609" s="14"/>
      <c r="D609" s="15"/>
      <c r="E609" s="25"/>
      <c r="F609" s="14"/>
      <c r="G609" s="14"/>
      <c r="H609" s="14"/>
      <c r="I609" s="14"/>
      <c r="J609" s="120"/>
      <c r="K609" s="120"/>
      <c r="L609" s="120"/>
      <c r="M609" s="14"/>
      <c r="N609" s="14"/>
      <c r="O609" s="120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5">
      <c r="A610" s="14"/>
      <c r="B610" s="14"/>
      <c r="C610" s="14"/>
      <c r="D610" s="15"/>
      <c r="E610" s="25"/>
      <c r="F610" s="14"/>
      <c r="G610" s="14"/>
      <c r="H610" s="14"/>
      <c r="I610" s="14"/>
      <c r="J610" s="120"/>
      <c r="K610" s="120"/>
      <c r="L610" s="120"/>
      <c r="M610" s="14"/>
      <c r="N610" s="14"/>
      <c r="O610" s="120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5">
      <c r="A611" s="14"/>
      <c r="B611" s="14"/>
      <c r="C611" s="14"/>
      <c r="D611" s="15"/>
      <c r="E611" s="25"/>
      <c r="F611" s="14"/>
      <c r="G611" s="14"/>
      <c r="H611" s="14"/>
      <c r="I611" s="14"/>
      <c r="J611" s="120"/>
      <c r="K611" s="120"/>
      <c r="L611" s="120"/>
      <c r="M611" s="14"/>
      <c r="N611" s="14"/>
      <c r="O611" s="120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5">
      <c r="A612" s="14"/>
      <c r="B612" s="14"/>
      <c r="C612" s="14"/>
      <c r="D612" s="15"/>
      <c r="E612" s="25"/>
      <c r="F612" s="14"/>
      <c r="G612" s="14"/>
      <c r="H612" s="14"/>
      <c r="I612" s="14"/>
      <c r="J612" s="120"/>
      <c r="K612" s="120"/>
      <c r="L612" s="120"/>
      <c r="M612" s="14"/>
      <c r="N612" s="14"/>
      <c r="O612" s="120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5">
      <c r="A613" s="14"/>
      <c r="B613" s="14"/>
      <c r="C613" s="14"/>
      <c r="D613" s="15"/>
      <c r="E613" s="25"/>
      <c r="F613" s="14"/>
      <c r="G613" s="14"/>
      <c r="H613" s="14"/>
      <c r="I613" s="14"/>
      <c r="J613" s="120"/>
      <c r="K613" s="120"/>
      <c r="L613" s="120"/>
      <c r="M613" s="14"/>
      <c r="N613" s="14"/>
      <c r="O613" s="120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5">
      <c r="A614" s="14"/>
      <c r="B614" s="14"/>
      <c r="C614" s="14"/>
      <c r="D614" s="15"/>
      <c r="E614" s="25"/>
      <c r="F614" s="14"/>
      <c r="G614" s="14"/>
      <c r="H614" s="14"/>
      <c r="I614" s="14"/>
      <c r="J614" s="120"/>
      <c r="K614" s="120"/>
      <c r="L614" s="120"/>
      <c r="M614" s="14"/>
      <c r="N614" s="14"/>
      <c r="O614" s="120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5">
      <c r="A615" s="14"/>
      <c r="B615" s="14"/>
      <c r="C615" s="14"/>
      <c r="D615" s="15"/>
      <c r="E615" s="25"/>
      <c r="F615" s="14"/>
      <c r="G615" s="14"/>
      <c r="H615" s="14"/>
      <c r="I615" s="14"/>
      <c r="J615" s="120"/>
      <c r="K615" s="120"/>
      <c r="L615" s="120"/>
      <c r="M615" s="14"/>
      <c r="N615" s="14"/>
      <c r="O615" s="120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5">
      <c r="A616" s="14"/>
      <c r="B616" s="14"/>
      <c r="C616" s="14"/>
      <c r="D616" s="15"/>
      <c r="E616" s="25"/>
      <c r="F616" s="14"/>
      <c r="G616" s="14"/>
      <c r="H616" s="14"/>
      <c r="I616" s="14"/>
      <c r="J616" s="120"/>
      <c r="K616" s="120"/>
      <c r="L616" s="120"/>
      <c r="M616" s="14"/>
      <c r="N616" s="14"/>
      <c r="O616" s="120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5">
      <c r="A617" s="14"/>
      <c r="B617" s="14"/>
      <c r="C617" s="14"/>
      <c r="D617" s="15"/>
      <c r="E617" s="25"/>
      <c r="F617" s="14"/>
      <c r="G617" s="14"/>
      <c r="H617" s="14"/>
      <c r="I617" s="14"/>
      <c r="J617" s="120"/>
      <c r="K617" s="120"/>
      <c r="L617" s="120"/>
      <c r="M617" s="14"/>
      <c r="N617" s="14"/>
      <c r="O617" s="120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5">
      <c r="A618" s="14"/>
      <c r="B618" s="14"/>
      <c r="C618" s="14"/>
      <c r="D618" s="15"/>
      <c r="E618" s="25"/>
      <c r="F618" s="14"/>
      <c r="G618" s="14"/>
      <c r="H618" s="14"/>
      <c r="I618" s="14"/>
      <c r="J618" s="120"/>
      <c r="K618" s="120"/>
      <c r="L618" s="120"/>
      <c r="M618" s="14"/>
      <c r="N618" s="14"/>
      <c r="O618" s="120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5">
      <c r="A619" s="14"/>
      <c r="B619" s="14"/>
      <c r="C619" s="14"/>
      <c r="D619" s="15"/>
      <c r="E619" s="25"/>
      <c r="F619" s="14"/>
      <c r="G619" s="14"/>
      <c r="H619" s="14"/>
      <c r="I619" s="14"/>
      <c r="J619" s="120"/>
      <c r="K619" s="120"/>
      <c r="L619" s="120"/>
      <c r="M619" s="14"/>
      <c r="N619" s="14"/>
      <c r="O619" s="120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5">
      <c r="A620" s="14"/>
      <c r="B620" s="14"/>
      <c r="C620" s="14"/>
      <c r="D620" s="15"/>
      <c r="E620" s="25"/>
      <c r="F620" s="14"/>
      <c r="G620" s="14"/>
      <c r="H620" s="14"/>
      <c r="I620" s="14"/>
      <c r="J620" s="120"/>
      <c r="K620" s="120"/>
      <c r="L620" s="120"/>
      <c r="M620" s="14"/>
      <c r="N620" s="14"/>
      <c r="O620" s="120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5">
      <c r="A621" s="14"/>
      <c r="B621" s="14"/>
      <c r="C621" s="14"/>
      <c r="D621" s="15"/>
      <c r="E621" s="25"/>
      <c r="F621" s="14"/>
      <c r="G621" s="14"/>
      <c r="H621" s="14"/>
      <c r="I621" s="14"/>
      <c r="J621" s="120"/>
      <c r="K621" s="120"/>
      <c r="L621" s="120"/>
      <c r="M621" s="14"/>
      <c r="N621" s="14"/>
      <c r="O621" s="120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5">
      <c r="A622" s="14"/>
      <c r="B622" s="14"/>
      <c r="C622" s="14"/>
      <c r="D622" s="15"/>
      <c r="E622" s="25"/>
      <c r="F622" s="14"/>
      <c r="G622" s="14"/>
      <c r="H622" s="14"/>
      <c r="I622" s="14"/>
      <c r="J622" s="120"/>
      <c r="K622" s="120"/>
      <c r="L622" s="120"/>
      <c r="M622" s="14"/>
      <c r="N622" s="14"/>
      <c r="O622" s="120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5">
      <c r="A623" s="14"/>
      <c r="B623" s="14"/>
      <c r="C623" s="14"/>
      <c r="D623" s="15"/>
      <c r="E623" s="25"/>
      <c r="F623" s="14"/>
      <c r="G623" s="14"/>
      <c r="H623" s="14"/>
      <c r="I623" s="14"/>
      <c r="J623" s="120"/>
      <c r="K623" s="120"/>
      <c r="L623" s="120"/>
      <c r="M623" s="14"/>
      <c r="N623" s="14"/>
      <c r="O623" s="120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5">
      <c r="A624" s="14"/>
      <c r="B624" s="14"/>
      <c r="C624" s="14"/>
      <c r="D624" s="15"/>
      <c r="E624" s="25"/>
      <c r="F624" s="14"/>
      <c r="G624" s="14"/>
      <c r="H624" s="14"/>
      <c r="I624" s="14"/>
      <c r="J624" s="120"/>
      <c r="K624" s="120"/>
      <c r="L624" s="120"/>
      <c r="M624" s="14"/>
      <c r="N624" s="14"/>
      <c r="O624" s="120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5">
      <c r="A625" s="14"/>
      <c r="B625" s="14"/>
      <c r="C625" s="14"/>
      <c r="D625" s="15"/>
      <c r="E625" s="25"/>
      <c r="F625" s="14"/>
      <c r="G625" s="14"/>
      <c r="H625" s="14"/>
      <c r="I625" s="14"/>
      <c r="J625" s="120"/>
      <c r="K625" s="120"/>
      <c r="L625" s="120"/>
      <c r="M625" s="14"/>
      <c r="N625" s="14"/>
      <c r="O625" s="120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5">
      <c r="A626" s="14"/>
      <c r="B626" s="14"/>
      <c r="C626" s="14"/>
      <c r="D626" s="15"/>
      <c r="E626" s="25"/>
      <c r="F626" s="14"/>
      <c r="G626" s="14"/>
      <c r="H626" s="14"/>
      <c r="I626" s="14"/>
      <c r="J626" s="120"/>
      <c r="K626" s="120"/>
      <c r="L626" s="120"/>
      <c r="M626" s="14"/>
      <c r="N626" s="14"/>
      <c r="O626" s="120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5">
      <c r="A627" s="14"/>
      <c r="B627" s="14"/>
      <c r="C627" s="14"/>
      <c r="D627" s="15"/>
      <c r="E627" s="25"/>
      <c r="F627" s="14"/>
      <c r="G627" s="14"/>
      <c r="H627" s="14"/>
      <c r="I627" s="14"/>
      <c r="J627" s="120"/>
      <c r="K627" s="120"/>
      <c r="L627" s="120"/>
      <c r="M627" s="14"/>
      <c r="N627" s="14"/>
      <c r="O627" s="120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5">
      <c r="A628" s="14"/>
      <c r="B628" s="14"/>
      <c r="C628" s="14"/>
      <c r="D628" s="15"/>
      <c r="E628" s="25"/>
      <c r="F628" s="14"/>
      <c r="G628" s="14"/>
      <c r="H628" s="14"/>
      <c r="I628" s="14"/>
      <c r="J628" s="120"/>
      <c r="K628" s="120"/>
      <c r="L628" s="120"/>
      <c r="M628" s="14"/>
      <c r="N628" s="14"/>
      <c r="O628" s="120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5">
      <c r="A629" s="14"/>
      <c r="B629" s="14"/>
      <c r="C629" s="14"/>
      <c r="D629" s="15"/>
      <c r="E629" s="25"/>
      <c r="F629" s="14"/>
      <c r="G629" s="14"/>
      <c r="H629" s="14"/>
      <c r="I629" s="14"/>
      <c r="J629" s="120"/>
      <c r="K629" s="120"/>
      <c r="L629" s="120"/>
      <c r="M629" s="14"/>
      <c r="N629" s="14"/>
      <c r="O629" s="120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5">
      <c r="A630" s="14"/>
      <c r="B630" s="14"/>
      <c r="C630" s="14"/>
      <c r="D630" s="15"/>
      <c r="E630" s="25"/>
      <c r="F630" s="14"/>
      <c r="G630" s="14"/>
      <c r="H630" s="14"/>
      <c r="I630" s="14"/>
      <c r="J630" s="120"/>
      <c r="K630" s="120"/>
      <c r="L630" s="120"/>
      <c r="M630" s="14"/>
      <c r="N630" s="14"/>
      <c r="O630" s="120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5">
      <c r="A631" s="14"/>
      <c r="B631" s="14"/>
      <c r="C631" s="14"/>
      <c r="D631" s="15"/>
      <c r="E631" s="25"/>
      <c r="F631" s="14"/>
      <c r="G631" s="14"/>
      <c r="H631" s="14"/>
      <c r="I631" s="14"/>
      <c r="J631" s="120"/>
      <c r="K631" s="120"/>
      <c r="L631" s="120"/>
      <c r="M631" s="14"/>
      <c r="N631" s="14"/>
      <c r="O631" s="120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5">
      <c r="A632" s="14"/>
      <c r="B632" s="14"/>
      <c r="C632" s="14"/>
      <c r="D632" s="15"/>
      <c r="E632" s="25"/>
      <c r="F632" s="14"/>
      <c r="G632" s="14"/>
      <c r="H632" s="14"/>
      <c r="I632" s="14"/>
      <c r="J632" s="120"/>
      <c r="K632" s="120"/>
      <c r="L632" s="120"/>
      <c r="M632" s="14"/>
      <c r="N632" s="14"/>
      <c r="O632" s="120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5">
      <c r="A633" s="14"/>
      <c r="B633" s="14"/>
      <c r="C633" s="14"/>
      <c r="D633" s="15"/>
      <c r="E633" s="25"/>
      <c r="F633" s="14"/>
      <c r="G633" s="14"/>
      <c r="H633" s="14"/>
      <c r="I633" s="14"/>
      <c r="J633" s="120"/>
      <c r="K633" s="120"/>
      <c r="L633" s="120"/>
      <c r="M633" s="14"/>
      <c r="N633" s="14"/>
      <c r="O633" s="120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5">
      <c r="A634" s="14"/>
      <c r="B634" s="14"/>
      <c r="C634" s="14"/>
      <c r="D634" s="15"/>
      <c r="E634" s="25"/>
      <c r="F634" s="14"/>
      <c r="G634" s="14"/>
      <c r="H634" s="14"/>
      <c r="I634" s="14"/>
      <c r="J634" s="120"/>
      <c r="K634" s="120"/>
      <c r="L634" s="120"/>
      <c r="M634" s="14"/>
      <c r="N634" s="14"/>
      <c r="O634" s="120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5">
      <c r="A635" s="14"/>
      <c r="B635" s="14"/>
      <c r="C635" s="14"/>
      <c r="D635" s="15"/>
      <c r="E635" s="25"/>
      <c r="F635" s="14"/>
      <c r="G635" s="14"/>
      <c r="H635" s="14"/>
      <c r="I635" s="14"/>
      <c r="J635" s="120"/>
      <c r="K635" s="120"/>
      <c r="L635" s="120"/>
      <c r="M635" s="14"/>
      <c r="N635" s="14"/>
      <c r="O635" s="120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5">
      <c r="A636" s="14"/>
      <c r="B636" s="14"/>
      <c r="C636" s="14"/>
      <c r="D636" s="15"/>
      <c r="E636" s="25"/>
      <c r="F636" s="14"/>
      <c r="G636" s="14"/>
      <c r="H636" s="14"/>
      <c r="I636" s="14"/>
      <c r="J636" s="120"/>
      <c r="K636" s="120"/>
      <c r="L636" s="120"/>
      <c r="M636" s="14"/>
      <c r="N636" s="14"/>
      <c r="O636" s="120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5">
      <c r="A637" s="14"/>
      <c r="B637" s="14"/>
      <c r="C637" s="14"/>
      <c r="D637" s="15"/>
      <c r="E637" s="25"/>
      <c r="F637" s="14"/>
      <c r="G637" s="14"/>
      <c r="H637" s="14"/>
      <c r="I637" s="14"/>
      <c r="J637" s="120"/>
      <c r="K637" s="120"/>
      <c r="L637" s="120"/>
      <c r="M637" s="14"/>
      <c r="N637" s="14"/>
      <c r="O637" s="120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5">
      <c r="A638" s="14"/>
      <c r="B638" s="14"/>
      <c r="C638" s="14"/>
      <c r="D638" s="15"/>
      <c r="E638" s="25"/>
      <c r="F638" s="14"/>
      <c r="G638" s="14"/>
      <c r="H638" s="14"/>
      <c r="I638" s="14"/>
      <c r="J638" s="120"/>
      <c r="K638" s="120"/>
      <c r="L638" s="120"/>
      <c r="M638" s="14"/>
      <c r="N638" s="14"/>
      <c r="O638" s="120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5">
      <c r="A639" s="14"/>
      <c r="B639" s="14"/>
      <c r="C639" s="14"/>
      <c r="D639" s="15"/>
      <c r="E639" s="25"/>
      <c r="F639" s="14"/>
      <c r="G639" s="14"/>
      <c r="H639" s="14"/>
      <c r="I639" s="14"/>
      <c r="J639" s="120"/>
      <c r="K639" s="120"/>
      <c r="L639" s="120"/>
      <c r="M639" s="14"/>
      <c r="N639" s="14"/>
      <c r="O639" s="120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5">
      <c r="A640" s="14"/>
      <c r="B640" s="14"/>
      <c r="C640" s="14"/>
      <c r="D640" s="15"/>
      <c r="E640" s="25"/>
      <c r="F640" s="14"/>
      <c r="G640" s="14"/>
      <c r="H640" s="14"/>
      <c r="I640" s="14"/>
      <c r="J640" s="120"/>
      <c r="K640" s="120"/>
      <c r="L640" s="120"/>
      <c r="M640" s="14"/>
      <c r="N640" s="14"/>
      <c r="O640" s="120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5">
      <c r="A641" s="14"/>
      <c r="B641" s="14"/>
      <c r="C641" s="14"/>
      <c r="D641" s="15"/>
      <c r="E641" s="25"/>
      <c r="F641" s="14"/>
      <c r="G641" s="14"/>
      <c r="H641" s="14"/>
      <c r="I641" s="14"/>
      <c r="J641" s="120"/>
      <c r="K641" s="120"/>
      <c r="L641" s="120"/>
      <c r="M641" s="14"/>
      <c r="N641" s="14"/>
      <c r="O641" s="120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5">
      <c r="A642" s="14"/>
      <c r="B642" s="14"/>
      <c r="C642" s="14"/>
      <c r="D642" s="15"/>
      <c r="E642" s="25"/>
      <c r="F642" s="14"/>
      <c r="G642" s="14"/>
      <c r="H642" s="14"/>
      <c r="I642" s="14"/>
      <c r="J642" s="120"/>
      <c r="K642" s="120"/>
      <c r="L642" s="120"/>
      <c r="M642" s="14"/>
      <c r="N642" s="14"/>
      <c r="O642" s="120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5">
      <c r="A643" s="14"/>
      <c r="B643" s="14"/>
      <c r="C643" s="14"/>
      <c r="D643" s="15"/>
      <c r="E643" s="25"/>
      <c r="F643" s="14"/>
      <c r="G643" s="14"/>
      <c r="H643" s="14"/>
      <c r="I643" s="14"/>
      <c r="J643" s="120"/>
      <c r="K643" s="120"/>
      <c r="L643" s="120"/>
      <c r="M643" s="14"/>
      <c r="N643" s="14"/>
      <c r="O643" s="120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5">
      <c r="A644" s="14"/>
      <c r="B644" s="14"/>
      <c r="C644" s="14"/>
      <c r="D644" s="15"/>
      <c r="E644" s="25"/>
      <c r="F644" s="14"/>
      <c r="G644" s="14"/>
      <c r="H644" s="14"/>
      <c r="I644" s="14"/>
      <c r="J644" s="120"/>
      <c r="K644" s="120"/>
      <c r="L644" s="120"/>
      <c r="M644" s="14"/>
      <c r="N644" s="14"/>
      <c r="O644" s="120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5">
      <c r="A645" s="14"/>
      <c r="B645" s="14"/>
      <c r="C645" s="14"/>
      <c r="D645" s="15"/>
      <c r="E645" s="25"/>
      <c r="F645" s="14"/>
      <c r="G645" s="14"/>
      <c r="H645" s="14"/>
      <c r="I645" s="14"/>
      <c r="J645" s="120"/>
      <c r="K645" s="120"/>
      <c r="L645" s="120"/>
      <c r="M645" s="14"/>
      <c r="N645" s="14"/>
      <c r="O645" s="120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5">
      <c r="A646" s="14"/>
      <c r="B646" s="14"/>
      <c r="C646" s="14"/>
      <c r="D646" s="15"/>
      <c r="E646" s="25"/>
      <c r="F646" s="14"/>
      <c r="G646" s="14"/>
      <c r="H646" s="14"/>
      <c r="I646" s="14"/>
      <c r="J646" s="120"/>
      <c r="K646" s="120"/>
      <c r="L646" s="120"/>
      <c r="M646" s="14"/>
      <c r="N646" s="14"/>
      <c r="O646" s="120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5">
      <c r="A647" s="14"/>
      <c r="B647" s="14"/>
      <c r="C647" s="14"/>
      <c r="D647" s="15"/>
      <c r="E647" s="25"/>
      <c r="F647" s="14"/>
      <c r="G647" s="14"/>
      <c r="H647" s="14"/>
      <c r="I647" s="14"/>
      <c r="J647" s="120"/>
      <c r="K647" s="120"/>
      <c r="L647" s="120"/>
      <c r="M647" s="14"/>
      <c r="N647" s="14"/>
      <c r="O647" s="120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5">
      <c r="A648" s="14"/>
      <c r="B648" s="14"/>
      <c r="C648" s="14"/>
      <c r="D648" s="15"/>
      <c r="E648" s="25"/>
      <c r="F648" s="14"/>
      <c r="G648" s="14"/>
      <c r="H648" s="14"/>
      <c r="I648" s="14"/>
      <c r="J648" s="120"/>
      <c r="K648" s="120"/>
      <c r="L648" s="120"/>
      <c r="M648" s="14"/>
      <c r="N648" s="14"/>
      <c r="O648" s="120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5">
      <c r="A649" s="14"/>
      <c r="B649" s="14"/>
      <c r="C649" s="14"/>
      <c r="D649" s="15"/>
      <c r="E649" s="25"/>
      <c r="F649" s="14"/>
      <c r="G649" s="14"/>
      <c r="H649" s="14"/>
      <c r="I649" s="14"/>
      <c r="J649" s="120"/>
      <c r="K649" s="120"/>
      <c r="L649" s="120"/>
      <c r="M649" s="14"/>
      <c r="N649" s="14"/>
      <c r="O649" s="120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5">
      <c r="A650" s="14"/>
      <c r="B650" s="14"/>
      <c r="C650" s="14"/>
      <c r="D650" s="15"/>
      <c r="E650" s="25"/>
      <c r="F650" s="14"/>
      <c r="G650" s="14"/>
      <c r="H650" s="14"/>
      <c r="I650" s="14"/>
      <c r="J650" s="120"/>
      <c r="K650" s="120"/>
      <c r="L650" s="120"/>
      <c r="M650" s="14"/>
      <c r="N650" s="14"/>
      <c r="O650" s="120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5">
      <c r="A651" s="14"/>
      <c r="B651" s="14"/>
      <c r="C651" s="14"/>
      <c r="D651" s="15"/>
      <c r="E651" s="25"/>
      <c r="F651" s="14"/>
      <c r="G651" s="14"/>
      <c r="H651" s="14"/>
      <c r="I651" s="14"/>
      <c r="J651" s="120"/>
      <c r="K651" s="120"/>
      <c r="L651" s="120"/>
      <c r="M651" s="14"/>
      <c r="N651" s="14"/>
      <c r="O651" s="120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5">
      <c r="A652" s="14"/>
      <c r="B652" s="14"/>
      <c r="C652" s="14"/>
      <c r="D652" s="15"/>
      <c r="E652" s="25"/>
      <c r="F652" s="14"/>
      <c r="G652" s="14"/>
      <c r="H652" s="14"/>
      <c r="I652" s="14"/>
      <c r="J652" s="120"/>
      <c r="K652" s="120"/>
      <c r="L652" s="120"/>
      <c r="M652" s="14"/>
      <c r="N652" s="14"/>
      <c r="O652" s="120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5">
      <c r="A653" s="14"/>
      <c r="B653" s="14"/>
      <c r="C653" s="14"/>
      <c r="D653" s="15"/>
      <c r="E653" s="25"/>
      <c r="F653" s="14"/>
      <c r="G653" s="14"/>
      <c r="H653" s="14"/>
      <c r="I653" s="14"/>
      <c r="J653" s="120"/>
      <c r="K653" s="120"/>
      <c r="L653" s="120"/>
      <c r="M653" s="14"/>
      <c r="N653" s="14"/>
      <c r="O653" s="120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5">
      <c r="A654" s="14"/>
      <c r="B654" s="14"/>
      <c r="C654" s="14"/>
      <c r="D654" s="15"/>
      <c r="E654" s="25"/>
      <c r="F654" s="14"/>
      <c r="G654" s="14"/>
      <c r="H654" s="14"/>
      <c r="I654" s="14"/>
      <c r="J654" s="120"/>
      <c r="K654" s="120"/>
      <c r="L654" s="120"/>
      <c r="M654" s="14"/>
      <c r="N654" s="14"/>
      <c r="O654" s="120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5">
      <c r="A655" s="14"/>
      <c r="B655" s="14"/>
      <c r="C655" s="14"/>
      <c r="D655" s="15"/>
      <c r="E655" s="25"/>
      <c r="F655" s="14"/>
      <c r="G655" s="14"/>
      <c r="H655" s="14"/>
      <c r="I655" s="14"/>
      <c r="J655" s="120"/>
      <c r="K655" s="120"/>
      <c r="L655" s="120"/>
      <c r="M655" s="14"/>
      <c r="N655" s="14"/>
      <c r="O655" s="120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5">
      <c r="A656" s="14"/>
      <c r="B656" s="14"/>
      <c r="C656" s="14"/>
      <c r="D656" s="15"/>
      <c r="E656" s="25"/>
      <c r="F656" s="14"/>
      <c r="G656" s="14"/>
      <c r="H656" s="14"/>
      <c r="I656" s="14"/>
      <c r="J656" s="120"/>
      <c r="K656" s="120"/>
      <c r="L656" s="120"/>
      <c r="M656" s="14"/>
      <c r="N656" s="14"/>
      <c r="O656" s="120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5">
      <c r="A657" s="14"/>
      <c r="B657" s="14"/>
      <c r="C657" s="14"/>
      <c r="D657" s="15"/>
      <c r="E657" s="25"/>
      <c r="F657" s="14"/>
      <c r="G657" s="14"/>
      <c r="H657" s="14"/>
      <c r="I657" s="14"/>
      <c r="J657" s="120"/>
      <c r="K657" s="120"/>
      <c r="L657" s="120"/>
      <c r="M657" s="14"/>
      <c r="N657" s="14"/>
      <c r="O657" s="120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5">
      <c r="A658" s="14"/>
      <c r="B658" s="14"/>
      <c r="C658" s="14"/>
      <c r="D658" s="15"/>
      <c r="E658" s="25"/>
      <c r="F658" s="14"/>
      <c r="G658" s="14"/>
      <c r="H658" s="14"/>
      <c r="I658" s="14"/>
      <c r="J658" s="120"/>
      <c r="K658" s="120"/>
      <c r="L658" s="120"/>
      <c r="M658" s="14"/>
      <c r="N658" s="14"/>
      <c r="O658" s="120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5">
      <c r="A659" s="14"/>
      <c r="B659" s="14"/>
      <c r="C659" s="14"/>
      <c r="D659" s="15"/>
      <c r="E659" s="25"/>
      <c r="F659" s="14"/>
      <c r="G659" s="14"/>
      <c r="H659" s="14"/>
      <c r="I659" s="14"/>
      <c r="J659" s="120"/>
      <c r="K659" s="120"/>
      <c r="L659" s="120"/>
      <c r="M659" s="14"/>
      <c r="N659" s="14"/>
      <c r="O659" s="120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5">
      <c r="A660" s="14"/>
      <c r="B660" s="14"/>
      <c r="C660" s="14"/>
      <c r="D660" s="15"/>
      <c r="E660" s="25"/>
      <c r="F660" s="14"/>
      <c r="G660" s="14"/>
      <c r="H660" s="14"/>
      <c r="I660" s="14"/>
      <c r="J660" s="120"/>
      <c r="K660" s="120"/>
      <c r="L660" s="120"/>
      <c r="M660" s="14"/>
      <c r="N660" s="14"/>
      <c r="O660" s="120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5">
      <c r="A661" s="14"/>
      <c r="B661" s="14"/>
      <c r="C661" s="14"/>
      <c r="D661" s="15"/>
      <c r="E661" s="25"/>
      <c r="F661" s="14"/>
      <c r="G661" s="14"/>
      <c r="H661" s="14"/>
      <c r="I661" s="14"/>
      <c r="J661" s="120"/>
      <c r="K661" s="120"/>
      <c r="L661" s="120"/>
      <c r="M661" s="14"/>
      <c r="N661" s="14"/>
      <c r="O661" s="120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5">
      <c r="A662" s="14"/>
      <c r="B662" s="14"/>
      <c r="C662" s="14"/>
      <c r="D662" s="15"/>
      <c r="E662" s="25"/>
      <c r="F662" s="14"/>
      <c r="G662" s="14"/>
      <c r="H662" s="14"/>
      <c r="I662" s="14"/>
      <c r="J662" s="120"/>
      <c r="K662" s="120"/>
      <c r="L662" s="120"/>
      <c r="M662" s="14"/>
      <c r="N662" s="14"/>
      <c r="O662" s="120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5">
      <c r="A663" s="14"/>
      <c r="B663" s="14"/>
      <c r="C663" s="14"/>
      <c r="D663" s="15"/>
      <c r="E663" s="25"/>
      <c r="F663" s="14"/>
      <c r="G663" s="14"/>
      <c r="H663" s="14"/>
      <c r="I663" s="14"/>
      <c r="J663" s="120"/>
      <c r="K663" s="120"/>
      <c r="L663" s="120"/>
      <c r="M663" s="14"/>
      <c r="N663" s="14"/>
      <c r="O663" s="120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5">
      <c r="A664" s="14"/>
      <c r="B664" s="14"/>
      <c r="C664" s="14"/>
      <c r="D664" s="15"/>
      <c r="E664" s="25"/>
      <c r="F664" s="14"/>
      <c r="G664" s="14"/>
      <c r="H664" s="14"/>
      <c r="I664" s="14"/>
      <c r="J664" s="120"/>
      <c r="K664" s="120"/>
      <c r="L664" s="120"/>
      <c r="M664" s="14"/>
      <c r="N664" s="14"/>
      <c r="O664" s="120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5">
      <c r="A665" s="14"/>
      <c r="B665" s="14"/>
      <c r="C665" s="14"/>
      <c r="D665" s="15"/>
      <c r="E665" s="25"/>
      <c r="F665" s="14"/>
      <c r="G665" s="14"/>
      <c r="H665" s="14"/>
      <c r="I665" s="14"/>
      <c r="J665" s="120"/>
      <c r="K665" s="120"/>
      <c r="L665" s="120"/>
      <c r="M665" s="14"/>
      <c r="N665" s="14"/>
      <c r="O665" s="120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5">
      <c r="A666" s="14"/>
      <c r="B666" s="14"/>
      <c r="C666" s="14"/>
      <c r="D666" s="15"/>
      <c r="E666" s="25"/>
      <c r="F666" s="14"/>
      <c r="G666" s="14"/>
      <c r="H666" s="14"/>
      <c r="I666" s="14"/>
      <c r="J666" s="120"/>
      <c r="K666" s="120"/>
      <c r="L666" s="120"/>
      <c r="M666" s="14"/>
      <c r="N666" s="14"/>
      <c r="O666" s="120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5">
      <c r="A667" s="14"/>
      <c r="B667" s="14"/>
      <c r="C667" s="14"/>
      <c r="D667" s="15"/>
      <c r="E667" s="25"/>
      <c r="F667" s="14"/>
      <c r="G667" s="14"/>
      <c r="H667" s="14"/>
      <c r="I667" s="14"/>
      <c r="J667" s="120"/>
      <c r="K667" s="120"/>
      <c r="L667" s="120"/>
      <c r="M667" s="14"/>
      <c r="N667" s="14"/>
      <c r="O667" s="120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5">
      <c r="A668" s="14"/>
      <c r="B668" s="14"/>
      <c r="C668" s="14"/>
      <c r="D668" s="15"/>
      <c r="E668" s="25"/>
      <c r="F668" s="14"/>
      <c r="G668" s="14"/>
      <c r="H668" s="14"/>
      <c r="I668" s="14"/>
      <c r="J668" s="120"/>
      <c r="K668" s="120"/>
      <c r="L668" s="120"/>
      <c r="M668" s="14"/>
      <c r="N668" s="14"/>
      <c r="O668" s="120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5">
      <c r="A669" s="14"/>
      <c r="B669" s="14"/>
      <c r="C669" s="14"/>
      <c r="D669" s="15"/>
      <c r="E669" s="25"/>
      <c r="F669" s="14"/>
      <c r="G669" s="14"/>
      <c r="H669" s="14"/>
      <c r="I669" s="14"/>
      <c r="J669" s="120"/>
      <c r="K669" s="120"/>
      <c r="L669" s="120"/>
      <c r="M669" s="14"/>
      <c r="N669" s="14"/>
      <c r="O669" s="120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5">
      <c r="A670" s="14"/>
      <c r="B670" s="14"/>
      <c r="C670" s="14"/>
      <c r="D670" s="15"/>
      <c r="E670" s="25"/>
      <c r="F670" s="14"/>
      <c r="G670" s="14"/>
      <c r="H670" s="14"/>
      <c r="I670" s="14"/>
      <c r="J670" s="120"/>
      <c r="K670" s="120"/>
      <c r="L670" s="120"/>
      <c r="M670" s="14"/>
      <c r="N670" s="14"/>
      <c r="O670" s="120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5">
      <c r="A671" s="14"/>
      <c r="B671" s="14"/>
      <c r="C671" s="14"/>
      <c r="D671" s="15"/>
      <c r="E671" s="25"/>
      <c r="F671" s="14"/>
      <c r="G671" s="14"/>
      <c r="H671" s="14"/>
      <c r="I671" s="14"/>
      <c r="J671" s="120"/>
      <c r="K671" s="120"/>
      <c r="L671" s="120"/>
      <c r="M671" s="14"/>
      <c r="N671" s="14"/>
      <c r="O671" s="120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5">
      <c r="A672" s="14"/>
      <c r="B672" s="14"/>
      <c r="C672" s="14"/>
      <c r="D672" s="15"/>
      <c r="E672" s="25"/>
      <c r="F672" s="14"/>
      <c r="G672" s="14"/>
      <c r="H672" s="14"/>
      <c r="I672" s="14"/>
      <c r="J672" s="120"/>
      <c r="K672" s="120"/>
      <c r="L672" s="120"/>
      <c r="M672" s="14"/>
      <c r="N672" s="14"/>
      <c r="O672" s="120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5">
      <c r="A673" s="14"/>
      <c r="B673" s="14"/>
      <c r="C673" s="14"/>
      <c r="D673" s="15"/>
      <c r="E673" s="25"/>
      <c r="F673" s="14"/>
      <c r="G673" s="14"/>
      <c r="H673" s="14"/>
      <c r="I673" s="14"/>
      <c r="J673" s="120"/>
      <c r="K673" s="120"/>
      <c r="L673" s="120"/>
      <c r="M673" s="14"/>
      <c r="N673" s="14"/>
      <c r="O673" s="120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5">
      <c r="A674" s="14"/>
      <c r="B674" s="14"/>
      <c r="C674" s="14"/>
      <c r="D674" s="15"/>
      <c r="E674" s="25"/>
      <c r="F674" s="14"/>
      <c r="G674" s="14"/>
      <c r="H674" s="14"/>
      <c r="I674" s="14"/>
      <c r="J674" s="120"/>
      <c r="K674" s="120"/>
      <c r="L674" s="120"/>
      <c r="M674" s="14"/>
      <c r="N674" s="14"/>
      <c r="O674" s="120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5">
      <c r="A675" s="14"/>
      <c r="B675" s="14"/>
      <c r="C675" s="14"/>
      <c r="D675" s="15"/>
      <c r="E675" s="25"/>
      <c r="F675" s="14"/>
      <c r="G675" s="14"/>
      <c r="H675" s="14"/>
      <c r="I675" s="14"/>
      <c r="J675" s="120"/>
      <c r="K675" s="120"/>
      <c r="L675" s="120"/>
      <c r="M675" s="14"/>
      <c r="N675" s="14"/>
      <c r="O675" s="120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5">
      <c r="A676" s="14"/>
      <c r="B676" s="14"/>
      <c r="C676" s="14"/>
      <c r="D676" s="15"/>
      <c r="E676" s="25"/>
      <c r="F676" s="14"/>
      <c r="G676" s="14"/>
      <c r="H676" s="14"/>
      <c r="I676" s="14"/>
      <c r="J676" s="120"/>
      <c r="K676" s="120"/>
      <c r="L676" s="120"/>
      <c r="M676" s="14"/>
      <c r="N676" s="14"/>
      <c r="O676" s="120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5">
      <c r="A677" s="14"/>
      <c r="B677" s="14"/>
      <c r="C677" s="14"/>
      <c r="D677" s="15"/>
      <c r="E677" s="25"/>
      <c r="F677" s="14"/>
      <c r="G677" s="14"/>
      <c r="H677" s="14"/>
      <c r="I677" s="14"/>
      <c r="J677" s="120"/>
      <c r="K677" s="120"/>
      <c r="L677" s="120"/>
      <c r="M677" s="14"/>
      <c r="N677" s="14"/>
      <c r="O677" s="120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5">
      <c r="A678" s="14"/>
      <c r="B678" s="14"/>
      <c r="C678" s="14"/>
      <c r="D678" s="15"/>
      <c r="E678" s="25"/>
      <c r="F678" s="14"/>
      <c r="G678" s="14"/>
      <c r="H678" s="14"/>
      <c r="I678" s="14"/>
      <c r="J678" s="120"/>
      <c r="K678" s="120"/>
      <c r="L678" s="120"/>
      <c r="M678" s="14"/>
      <c r="N678" s="14"/>
      <c r="O678" s="120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5">
      <c r="A679" s="14"/>
      <c r="B679" s="14"/>
      <c r="C679" s="14"/>
      <c r="D679" s="15"/>
      <c r="E679" s="25"/>
      <c r="F679" s="14"/>
      <c r="G679" s="14"/>
      <c r="H679" s="14"/>
      <c r="I679" s="14"/>
      <c r="J679" s="120"/>
      <c r="K679" s="120"/>
      <c r="L679" s="120"/>
      <c r="M679" s="14"/>
      <c r="N679" s="14"/>
      <c r="O679" s="120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5">
      <c r="A680" s="14"/>
      <c r="B680" s="14"/>
      <c r="C680" s="14"/>
      <c r="D680" s="15"/>
      <c r="E680" s="25"/>
      <c r="F680" s="14"/>
      <c r="G680" s="14"/>
      <c r="H680" s="14"/>
      <c r="I680" s="14"/>
      <c r="J680" s="120"/>
      <c r="K680" s="120"/>
      <c r="L680" s="120"/>
      <c r="M680" s="14"/>
      <c r="N680" s="14"/>
      <c r="O680" s="120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5">
      <c r="A681" s="14"/>
      <c r="B681" s="14"/>
      <c r="C681" s="14"/>
      <c r="D681" s="15"/>
      <c r="E681" s="25"/>
      <c r="F681" s="14"/>
      <c r="G681" s="14"/>
      <c r="H681" s="14"/>
      <c r="I681" s="14"/>
      <c r="J681" s="120"/>
      <c r="K681" s="120"/>
      <c r="L681" s="120"/>
      <c r="M681" s="14"/>
      <c r="N681" s="14"/>
      <c r="O681" s="120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5">
      <c r="A682" s="14"/>
      <c r="B682" s="14"/>
      <c r="C682" s="14"/>
      <c r="D682" s="15"/>
      <c r="E682" s="25"/>
      <c r="F682" s="14"/>
      <c r="G682" s="14"/>
      <c r="H682" s="14"/>
      <c r="I682" s="14"/>
      <c r="J682" s="120"/>
      <c r="K682" s="120"/>
      <c r="L682" s="120"/>
      <c r="M682" s="14"/>
      <c r="N682" s="14"/>
      <c r="O682" s="120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5">
      <c r="A683" s="14"/>
      <c r="B683" s="14"/>
      <c r="C683" s="14"/>
      <c r="D683" s="15"/>
      <c r="E683" s="25"/>
      <c r="F683" s="14"/>
      <c r="G683" s="14"/>
      <c r="H683" s="14"/>
      <c r="I683" s="14"/>
      <c r="J683" s="120"/>
      <c r="K683" s="120"/>
      <c r="L683" s="120"/>
      <c r="M683" s="14"/>
      <c r="N683" s="14"/>
      <c r="O683" s="120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5">
      <c r="A684" s="14"/>
      <c r="B684" s="14"/>
      <c r="C684" s="14"/>
      <c r="D684" s="15"/>
      <c r="E684" s="25"/>
      <c r="F684" s="14"/>
      <c r="G684" s="14"/>
      <c r="H684" s="14"/>
      <c r="I684" s="14"/>
      <c r="J684" s="120"/>
      <c r="K684" s="120"/>
      <c r="L684" s="120"/>
      <c r="M684" s="14"/>
      <c r="N684" s="14"/>
      <c r="O684" s="120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5">
      <c r="A685" s="14"/>
      <c r="B685" s="14"/>
      <c r="C685" s="14"/>
      <c r="D685" s="15"/>
      <c r="E685" s="25"/>
      <c r="F685" s="14"/>
      <c r="G685" s="14"/>
      <c r="H685" s="14"/>
      <c r="I685" s="14"/>
      <c r="J685" s="120"/>
      <c r="K685" s="120"/>
      <c r="L685" s="120"/>
      <c r="M685" s="14"/>
      <c r="N685" s="14"/>
      <c r="O685" s="120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5">
      <c r="A686" s="14"/>
      <c r="B686" s="14"/>
      <c r="C686" s="14"/>
      <c r="D686" s="15"/>
      <c r="E686" s="25"/>
      <c r="F686" s="14"/>
      <c r="G686" s="14"/>
      <c r="H686" s="14"/>
      <c r="I686" s="14"/>
      <c r="J686" s="120"/>
      <c r="K686" s="120"/>
      <c r="L686" s="120"/>
      <c r="M686" s="14"/>
      <c r="N686" s="14"/>
      <c r="O686" s="120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5">
      <c r="A687" s="14"/>
      <c r="B687" s="14"/>
      <c r="C687" s="14"/>
      <c r="D687" s="15"/>
      <c r="E687" s="25"/>
      <c r="F687" s="14"/>
      <c r="G687" s="14"/>
      <c r="H687" s="14"/>
      <c r="I687" s="14"/>
      <c r="J687" s="120"/>
      <c r="K687" s="120"/>
      <c r="L687" s="120"/>
      <c r="M687" s="14"/>
      <c r="N687" s="14"/>
      <c r="O687" s="120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5">
      <c r="A688" s="14"/>
      <c r="B688" s="14"/>
      <c r="C688" s="14"/>
      <c r="D688" s="15"/>
      <c r="E688" s="25"/>
      <c r="F688" s="14"/>
      <c r="G688" s="14"/>
      <c r="H688" s="14"/>
      <c r="I688" s="14"/>
      <c r="J688" s="120"/>
      <c r="K688" s="120"/>
      <c r="L688" s="120"/>
      <c r="M688" s="14"/>
      <c r="N688" s="14"/>
      <c r="O688" s="120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5">
      <c r="A689" s="14"/>
      <c r="B689" s="14"/>
      <c r="C689" s="14"/>
      <c r="D689" s="15"/>
      <c r="E689" s="25"/>
      <c r="F689" s="14"/>
      <c r="G689" s="14"/>
      <c r="H689" s="14"/>
      <c r="I689" s="14"/>
      <c r="J689" s="120"/>
      <c r="K689" s="120"/>
      <c r="L689" s="120"/>
      <c r="M689" s="14"/>
      <c r="N689" s="14"/>
      <c r="O689" s="120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5">
      <c r="A690" s="14"/>
      <c r="B690" s="14"/>
      <c r="C690" s="14"/>
      <c r="D690" s="15"/>
      <c r="E690" s="25"/>
      <c r="F690" s="14"/>
      <c r="G690" s="14"/>
      <c r="H690" s="14"/>
      <c r="I690" s="14"/>
      <c r="J690" s="120"/>
      <c r="K690" s="120"/>
      <c r="L690" s="120"/>
      <c r="M690" s="14"/>
      <c r="N690" s="14"/>
      <c r="O690" s="120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5">
      <c r="A691" s="14"/>
      <c r="B691" s="14"/>
      <c r="C691" s="14"/>
      <c r="D691" s="15"/>
      <c r="E691" s="25"/>
      <c r="F691" s="14"/>
      <c r="G691" s="14"/>
      <c r="H691" s="14"/>
      <c r="I691" s="14"/>
      <c r="J691" s="120"/>
      <c r="K691" s="120"/>
      <c r="L691" s="120"/>
      <c r="M691" s="14"/>
      <c r="N691" s="14"/>
      <c r="O691" s="120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5">
      <c r="A692" s="14"/>
      <c r="B692" s="14"/>
      <c r="C692" s="14"/>
      <c r="D692" s="15"/>
      <c r="E692" s="25"/>
      <c r="F692" s="14"/>
      <c r="G692" s="14"/>
      <c r="H692" s="14"/>
      <c r="I692" s="14"/>
      <c r="J692" s="120"/>
      <c r="K692" s="120"/>
      <c r="L692" s="120"/>
      <c r="M692" s="14"/>
      <c r="N692" s="14"/>
      <c r="O692" s="120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5">
      <c r="A693" s="14"/>
      <c r="B693" s="14"/>
      <c r="C693" s="14"/>
      <c r="D693" s="15"/>
      <c r="E693" s="25"/>
      <c r="F693" s="14"/>
      <c r="G693" s="14"/>
      <c r="H693" s="14"/>
      <c r="I693" s="14"/>
      <c r="J693" s="120"/>
      <c r="K693" s="120"/>
      <c r="L693" s="120"/>
      <c r="M693" s="14"/>
      <c r="N693" s="14"/>
      <c r="O693" s="120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5">
      <c r="A694" s="14"/>
      <c r="B694" s="14"/>
      <c r="C694" s="14"/>
      <c r="D694" s="15"/>
      <c r="E694" s="25"/>
      <c r="F694" s="14"/>
      <c r="G694" s="14"/>
      <c r="H694" s="14"/>
      <c r="I694" s="14"/>
      <c r="J694" s="120"/>
      <c r="K694" s="120"/>
      <c r="L694" s="120"/>
      <c r="M694" s="14"/>
      <c r="N694" s="14"/>
      <c r="O694" s="120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5">
      <c r="A695" s="14"/>
      <c r="B695" s="14"/>
      <c r="C695" s="14"/>
      <c r="D695" s="15"/>
      <c r="E695" s="25"/>
      <c r="F695" s="14"/>
      <c r="G695" s="14"/>
      <c r="H695" s="14"/>
      <c r="I695" s="14"/>
      <c r="J695" s="120"/>
      <c r="K695" s="120"/>
      <c r="L695" s="120"/>
      <c r="M695" s="14"/>
      <c r="N695" s="14"/>
      <c r="O695" s="120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5">
      <c r="A696" s="14"/>
      <c r="B696" s="14"/>
      <c r="C696" s="14"/>
      <c r="D696" s="15"/>
      <c r="E696" s="25"/>
      <c r="F696" s="14"/>
      <c r="G696" s="14"/>
      <c r="H696" s="14"/>
      <c r="I696" s="14"/>
      <c r="J696" s="120"/>
      <c r="K696" s="120"/>
      <c r="L696" s="120"/>
      <c r="M696" s="14"/>
      <c r="N696" s="14"/>
      <c r="O696" s="120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5">
      <c r="A697" s="14"/>
      <c r="B697" s="14"/>
      <c r="C697" s="14"/>
      <c r="D697" s="15"/>
      <c r="E697" s="25"/>
      <c r="F697" s="14"/>
      <c r="G697" s="14"/>
      <c r="H697" s="14"/>
      <c r="I697" s="14"/>
      <c r="J697" s="120"/>
      <c r="K697" s="120"/>
      <c r="L697" s="120"/>
      <c r="M697" s="14"/>
      <c r="N697" s="14"/>
      <c r="O697" s="120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5">
      <c r="A698" s="14"/>
      <c r="B698" s="14"/>
      <c r="C698" s="14"/>
      <c r="D698" s="15"/>
      <c r="E698" s="25"/>
      <c r="F698" s="14"/>
      <c r="G698" s="14"/>
      <c r="H698" s="14"/>
      <c r="I698" s="14"/>
      <c r="J698" s="120"/>
      <c r="K698" s="120"/>
      <c r="L698" s="120"/>
      <c r="M698" s="14"/>
      <c r="N698" s="14"/>
      <c r="O698" s="120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5">
      <c r="A699" s="14"/>
      <c r="B699" s="14"/>
      <c r="C699" s="14"/>
      <c r="D699" s="15"/>
      <c r="E699" s="25"/>
      <c r="F699" s="14"/>
      <c r="G699" s="14"/>
      <c r="H699" s="14"/>
      <c r="I699" s="14"/>
      <c r="J699" s="120"/>
      <c r="K699" s="120"/>
      <c r="L699" s="120"/>
      <c r="M699" s="14"/>
      <c r="N699" s="14"/>
      <c r="O699" s="120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5">
      <c r="A700" s="14"/>
      <c r="B700" s="14"/>
      <c r="C700" s="14"/>
      <c r="D700" s="15"/>
      <c r="E700" s="25"/>
      <c r="F700" s="14"/>
      <c r="G700" s="14"/>
      <c r="H700" s="14"/>
      <c r="I700" s="14"/>
      <c r="J700" s="120"/>
      <c r="K700" s="120"/>
      <c r="L700" s="120"/>
      <c r="M700" s="14"/>
      <c r="N700" s="14"/>
      <c r="O700" s="120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5">
      <c r="A701" s="14"/>
      <c r="B701" s="14"/>
      <c r="C701" s="14"/>
      <c r="D701" s="15"/>
      <c r="E701" s="25"/>
      <c r="F701" s="14"/>
      <c r="G701" s="14"/>
      <c r="H701" s="14"/>
      <c r="I701" s="14"/>
      <c r="J701" s="120"/>
      <c r="K701" s="120"/>
      <c r="L701" s="120"/>
      <c r="M701" s="14"/>
      <c r="N701" s="14"/>
      <c r="O701" s="120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5">
      <c r="A702" s="14"/>
      <c r="B702" s="14"/>
      <c r="C702" s="14"/>
      <c r="D702" s="15"/>
      <c r="E702" s="25"/>
      <c r="F702" s="14"/>
      <c r="G702" s="14"/>
      <c r="H702" s="14"/>
      <c r="I702" s="14"/>
      <c r="J702" s="120"/>
      <c r="K702" s="120"/>
      <c r="L702" s="120"/>
      <c r="M702" s="14"/>
      <c r="N702" s="14"/>
      <c r="O702" s="120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5">
      <c r="A703" s="14"/>
      <c r="B703" s="14"/>
      <c r="C703" s="14"/>
      <c r="D703" s="15"/>
      <c r="E703" s="25"/>
      <c r="F703" s="14"/>
      <c r="G703" s="14"/>
      <c r="H703" s="14"/>
      <c r="I703" s="14"/>
      <c r="J703" s="120"/>
      <c r="K703" s="120"/>
      <c r="L703" s="120"/>
      <c r="M703" s="14"/>
      <c r="N703" s="14"/>
      <c r="O703" s="120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5">
      <c r="A704" s="14"/>
      <c r="B704" s="14"/>
      <c r="C704" s="14"/>
      <c r="D704" s="15"/>
      <c r="E704" s="25"/>
      <c r="F704" s="14"/>
      <c r="G704" s="14"/>
      <c r="H704" s="14"/>
      <c r="I704" s="14"/>
      <c r="J704" s="120"/>
      <c r="K704" s="120"/>
      <c r="L704" s="120"/>
      <c r="M704" s="14"/>
      <c r="N704" s="14"/>
      <c r="O704" s="120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5">
      <c r="A705" s="14"/>
      <c r="B705" s="14"/>
      <c r="C705" s="14"/>
      <c r="D705" s="15"/>
      <c r="E705" s="25"/>
      <c r="F705" s="14"/>
      <c r="G705" s="14"/>
      <c r="H705" s="14"/>
      <c r="I705" s="14"/>
      <c r="J705" s="120"/>
      <c r="K705" s="120"/>
      <c r="L705" s="120"/>
      <c r="M705" s="14"/>
      <c r="N705" s="14"/>
      <c r="O705" s="120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5">
      <c r="A706" s="14"/>
      <c r="B706" s="14"/>
      <c r="C706" s="14"/>
      <c r="D706" s="15"/>
      <c r="E706" s="25"/>
      <c r="F706" s="14"/>
      <c r="G706" s="14"/>
      <c r="H706" s="14"/>
      <c r="I706" s="14"/>
      <c r="J706" s="120"/>
      <c r="K706" s="120"/>
      <c r="L706" s="120"/>
      <c r="M706" s="14"/>
      <c r="N706" s="14"/>
      <c r="O706" s="120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5">
      <c r="A707" s="14"/>
      <c r="B707" s="14"/>
      <c r="C707" s="14"/>
      <c r="D707" s="15"/>
      <c r="E707" s="25"/>
      <c r="F707" s="14"/>
      <c r="G707" s="14"/>
      <c r="H707" s="14"/>
      <c r="I707" s="14"/>
      <c r="J707" s="120"/>
      <c r="K707" s="120"/>
      <c r="L707" s="120"/>
      <c r="M707" s="14"/>
      <c r="N707" s="14"/>
      <c r="O707" s="120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5">
      <c r="A708" s="14"/>
      <c r="B708" s="14"/>
      <c r="C708" s="14"/>
      <c r="D708" s="15"/>
      <c r="E708" s="25"/>
      <c r="F708" s="14"/>
      <c r="G708" s="14"/>
      <c r="H708" s="14"/>
      <c r="I708" s="14"/>
      <c r="J708" s="120"/>
      <c r="K708" s="120"/>
      <c r="L708" s="120"/>
      <c r="M708" s="14"/>
      <c r="N708" s="14"/>
      <c r="O708" s="120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5">
      <c r="A709" s="14"/>
      <c r="B709" s="14"/>
      <c r="C709" s="14"/>
      <c r="D709" s="15"/>
      <c r="E709" s="25"/>
      <c r="F709" s="14"/>
      <c r="G709" s="14"/>
      <c r="H709" s="14"/>
      <c r="I709" s="14"/>
      <c r="J709" s="120"/>
      <c r="K709" s="120"/>
      <c r="L709" s="120"/>
      <c r="M709" s="14"/>
      <c r="N709" s="14"/>
      <c r="O709" s="120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5">
      <c r="A710" s="14"/>
      <c r="B710" s="14"/>
      <c r="C710" s="14"/>
      <c r="D710" s="15"/>
      <c r="E710" s="25"/>
      <c r="F710" s="14"/>
      <c r="G710" s="14"/>
      <c r="H710" s="14"/>
      <c r="I710" s="14"/>
      <c r="J710" s="120"/>
      <c r="K710" s="120"/>
      <c r="L710" s="120"/>
      <c r="M710" s="14"/>
      <c r="N710" s="14"/>
      <c r="O710" s="120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5">
      <c r="A711" s="14"/>
      <c r="B711" s="14"/>
      <c r="C711" s="14"/>
      <c r="D711" s="15"/>
      <c r="E711" s="25"/>
      <c r="F711" s="14"/>
      <c r="G711" s="14"/>
      <c r="H711" s="14"/>
      <c r="I711" s="14"/>
      <c r="J711" s="120"/>
      <c r="K711" s="120"/>
      <c r="L711" s="120"/>
      <c r="M711" s="14"/>
      <c r="N711" s="14"/>
      <c r="O711" s="120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5">
      <c r="A712" s="14"/>
      <c r="B712" s="14"/>
      <c r="C712" s="14"/>
      <c r="D712" s="15"/>
      <c r="E712" s="25"/>
      <c r="F712" s="14"/>
      <c r="G712" s="14"/>
      <c r="H712" s="14"/>
      <c r="I712" s="14"/>
      <c r="J712" s="120"/>
      <c r="K712" s="120"/>
      <c r="L712" s="120"/>
      <c r="M712" s="14"/>
      <c r="N712" s="14"/>
      <c r="O712" s="120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5">
      <c r="A713" s="14"/>
      <c r="B713" s="14"/>
      <c r="C713" s="14"/>
      <c r="D713" s="15"/>
      <c r="E713" s="25"/>
      <c r="F713" s="14"/>
      <c r="G713" s="14"/>
      <c r="H713" s="14"/>
      <c r="I713" s="14"/>
      <c r="J713" s="120"/>
      <c r="K713" s="120"/>
      <c r="L713" s="120"/>
      <c r="M713" s="14"/>
      <c r="N713" s="14"/>
      <c r="O713" s="120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5">
      <c r="A714" s="14"/>
      <c r="B714" s="14"/>
      <c r="C714" s="14"/>
      <c r="D714" s="15"/>
      <c r="E714" s="25"/>
      <c r="F714" s="14"/>
      <c r="G714" s="14"/>
      <c r="H714" s="14"/>
      <c r="I714" s="14"/>
      <c r="J714" s="120"/>
      <c r="K714" s="120"/>
      <c r="L714" s="120"/>
      <c r="M714" s="14"/>
      <c r="N714" s="14"/>
      <c r="O714" s="120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5">
      <c r="A715" s="14"/>
      <c r="B715" s="14"/>
      <c r="C715" s="14"/>
      <c r="D715" s="15"/>
      <c r="E715" s="25"/>
      <c r="F715" s="14"/>
      <c r="G715" s="14"/>
      <c r="H715" s="14"/>
      <c r="I715" s="14"/>
      <c r="J715" s="120"/>
      <c r="K715" s="120"/>
      <c r="L715" s="120"/>
      <c r="M715" s="14"/>
      <c r="N715" s="14"/>
      <c r="O715" s="120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5">
      <c r="A716" s="14"/>
      <c r="B716" s="14"/>
      <c r="C716" s="14"/>
      <c r="D716" s="15"/>
      <c r="E716" s="25"/>
      <c r="F716" s="14"/>
      <c r="G716" s="14"/>
      <c r="H716" s="14"/>
      <c r="I716" s="14"/>
      <c r="J716" s="120"/>
      <c r="K716" s="120"/>
      <c r="L716" s="120"/>
      <c r="M716" s="14"/>
      <c r="N716" s="14"/>
      <c r="O716" s="120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5">
      <c r="A717" s="14"/>
      <c r="B717" s="14"/>
      <c r="C717" s="14"/>
      <c r="D717" s="15"/>
      <c r="E717" s="25"/>
      <c r="F717" s="14"/>
      <c r="G717" s="14"/>
      <c r="H717" s="14"/>
      <c r="I717" s="14"/>
      <c r="J717" s="120"/>
      <c r="K717" s="120"/>
      <c r="L717" s="120"/>
      <c r="M717" s="14"/>
      <c r="N717" s="14"/>
      <c r="O717" s="120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5">
      <c r="A718" s="14"/>
      <c r="B718" s="14"/>
      <c r="C718" s="14"/>
      <c r="D718" s="15"/>
      <c r="E718" s="25"/>
      <c r="F718" s="14"/>
      <c r="G718" s="14"/>
      <c r="H718" s="14"/>
      <c r="I718" s="14"/>
      <c r="J718" s="120"/>
      <c r="K718" s="120"/>
      <c r="L718" s="120"/>
      <c r="M718" s="14"/>
      <c r="N718" s="14"/>
      <c r="O718" s="120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5">
      <c r="A719" s="14"/>
      <c r="B719" s="14"/>
      <c r="C719" s="14"/>
      <c r="D719" s="15"/>
      <c r="E719" s="25"/>
      <c r="F719" s="14"/>
      <c r="G719" s="14"/>
      <c r="H719" s="14"/>
      <c r="I719" s="14"/>
      <c r="J719" s="120"/>
      <c r="K719" s="120"/>
      <c r="L719" s="120"/>
      <c r="M719" s="14"/>
      <c r="N719" s="14"/>
      <c r="O719" s="120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5">
      <c r="A720" s="14"/>
      <c r="B720" s="14"/>
      <c r="C720" s="14"/>
      <c r="D720" s="15"/>
      <c r="E720" s="25"/>
      <c r="F720" s="14"/>
      <c r="G720" s="14"/>
      <c r="H720" s="14"/>
      <c r="I720" s="14"/>
      <c r="J720" s="120"/>
      <c r="K720" s="120"/>
      <c r="L720" s="120"/>
      <c r="M720" s="14"/>
      <c r="N720" s="14"/>
      <c r="O720" s="120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5">
      <c r="A721" s="14"/>
      <c r="B721" s="14"/>
      <c r="C721" s="14"/>
      <c r="D721" s="15"/>
      <c r="E721" s="25"/>
      <c r="F721" s="14"/>
      <c r="G721" s="14"/>
      <c r="H721" s="14"/>
      <c r="I721" s="14"/>
      <c r="J721" s="120"/>
      <c r="K721" s="120"/>
      <c r="L721" s="120"/>
      <c r="M721" s="14"/>
      <c r="N721" s="14"/>
      <c r="O721" s="120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5">
      <c r="A722" s="14"/>
      <c r="B722" s="14"/>
      <c r="C722" s="14"/>
      <c r="D722" s="15"/>
      <c r="E722" s="25"/>
      <c r="F722" s="14"/>
      <c r="G722" s="14"/>
      <c r="H722" s="14"/>
      <c r="I722" s="14"/>
      <c r="J722" s="120"/>
      <c r="K722" s="120"/>
      <c r="L722" s="120"/>
      <c r="M722" s="14"/>
      <c r="N722" s="14"/>
      <c r="O722" s="120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5">
      <c r="A723" s="14"/>
      <c r="B723" s="14"/>
      <c r="C723" s="14"/>
      <c r="D723" s="15"/>
      <c r="E723" s="25"/>
      <c r="F723" s="14"/>
      <c r="G723" s="14"/>
      <c r="H723" s="14"/>
      <c r="I723" s="14"/>
      <c r="J723" s="120"/>
      <c r="K723" s="120"/>
      <c r="L723" s="120"/>
      <c r="M723" s="14"/>
      <c r="N723" s="14"/>
      <c r="O723" s="120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5">
      <c r="A724" s="14"/>
      <c r="B724" s="14"/>
      <c r="C724" s="14"/>
      <c r="D724" s="15"/>
      <c r="E724" s="25"/>
      <c r="F724" s="14"/>
      <c r="G724" s="14"/>
      <c r="H724" s="14"/>
      <c r="I724" s="14"/>
      <c r="J724" s="120"/>
      <c r="K724" s="120"/>
      <c r="L724" s="120"/>
      <c r="M724" s="14"/>
      <c r="N724" s="14"/>
      <c r="O724" s="120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5">
      <c r="A725" s="14"/>
      <c r="B725" s="14"/>
      <c r="C725" s="14"/>
      <c r="D725" s="15"/>
      <c r="E725" s="25"/>
      <c r="F725" s="14"/>
      <c r="G725" s="14"/>
      <c r="H725" s="14"/>
      <c r="I725" s="14"/>
      <c r="J725" s="120"/>
      <c r="K725" s="120"/>
      <c r="L725" s="120"/>
      <c r="M725" s="14"/>
      <c r="N725" s="14"/>
      <c r="O725" s="120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5">
      <c r="A726" s="14"/>
      <c r="B726" s="14"/>
      <c r="C726" s="14"/>
      <c r="D726" s="15"/>
      <c r="E726" s="25"/>
      <c r="F726" s="14"/>
      <c r="G726" s="14"/>
      <c r="H726" s="14"/>
      <c r="I726" s="14"/>
      <c r="J726" s="120"/>
      <c r="K726" s="120"/>
      <c r="L726" s="120"/>
      <c r="M726" s="14"/>
      <c r="N726" s="14"/>
      <c r="O726" s="120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5">
      <c r="A727" s="14"/>
      <c r="B727" s="14"/>
      <c r="C727" s="14"/>
      <c r="D727" s="15"/>
      <c r="E727" s="25"/>
      <c r="F727" s="14"/>
      <c r="G727" s="14"/>
      <c r="H727" s="14"/>
      <c r="I727" s="14"/>
      <c r="J727" s="120"/>
      <c r="K727" s="120"/>
      <c r="L727" s="120"/>
      <c r="M727" s="14"/>
      <c r="N727" s="14"/>
      <c r="O727" s="120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5">
      <c r="A728" s="14"/>
      <c r="B728" s="14"/>
      <c r="C728" s="14"/>
      <c r="D728" s="15"/>
      <c r="E728" s="25"/>
      <c r="F728" s="14"/>
      <c r="G728" s="14"/>
      <c r="H728" s="14"/>
      <c r="I728" s="14"/>
      <c r="J728" s="120"/>
      <c r="K728" s="120"/>
      <c r="L728" s="120"/>
      <c r="M728" s="14"/>
      <c r="N728" s="14"/>
      <c r="O728" s="120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5">
      <c r="A729" s="14"/>
      <c r="B729" s="14"/>
      <c r="C729" s="14"/>
      <c r="D729" s="15"/>
      <c r="E729" s="25"/>
      <c r="F729" s="14"/>
      <c r="G729" s="14"/>
      <c r="H729" s="14"/>
      <c r="I729" s="14"/>
      <c r="J729" s="120"/>
      <c r="K729" s="120"/>
      <c r="L729" s="120"/>
      <c r="M729" s="14"/>
      <c r="N729" s="14"/>
      <c r="O729" s="120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5">
      <c r="A730" s="14"/>
      <c r="B730" s="14"/>
      <c r="C730" s="14"/>
      <c r="D730" s="15"/>
      <c r="E730" s="25"/>
      <c r="F730" s="14"/>
      <c r="G730" s="14"/>
      <c r="H730" s="14"/>
      <c r="I730" s="14"/>
      <c r="J730" s="120"/>
      <c r="K730" s="120"/>
      <c r="L730" s="120"/>
      <c r="M730" s="14"/>
      <c r="N730" s="14"/>
      <c r="O730" s="120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5">
      <c r="A731" s="14"/>
      <c r="B731" s="14"/>
      <c r="C731" s="14"/>
      <c r="D731" s="15"/>
      <c r="E731" s="25"/>
      <c r="F731" s="14"/>
      <c r="G731" s="14"/>
      <c r="H731" s="14"/>
      <c r="I731" s="14"/>
      <c r="J731" s="120"/>
      <c r="K731" s="120"/>
      <c r="L731" s="120"/>
      <c r="M731" s="14"/>
      <c r="N731" s="14"/>
      <c r="O731" s="120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5">
      <c r="A732" s="14"/>
      <c r="B732" s="14"/>
      <c r="C732" s="14"/>
      <c r="D732" s="15"/>
      <c r="E732" s="25"/>
      <c r="F732" s="14"/>
      <c r="G732" s="14"/>
      <c r="H732" s="14"/>
      <c r="I732" s="14"/>
      <c r="J732" s="120"/>
      <c r="K732" s="120"/>
      <c r="L732" s="120"/>
      <c r="M732" s="14"/>
      <c r="N732" s="14"/>
      <c r="O732" s="120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5">
      <c r="A733" s="14"/>
      <c r="B733" s="14"/>
      <c r="C733" s="14"/>
      <c r="D733" s="15"/>
      <c r="E733" s="25"/>
      <c r="F733" s="14"/>
      <c r="G733" s="14"/>
      <c r="H733" s="14"/>
      <c r="I733" s="14"/>
      <c r="J733" s="120"/>
      <c r="K733" s="120"/>
      <c r="L733" s="120"/>
      <c r="M733" s="14"/>
      <c r="N733" s="14"/>
      <c r="O733" s="120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5">
      <c r="A734" s="14"/>
      <c r="B734" s="14"/>
      <c r="C734" s="14"/>
      <c r="D734" s="15"/>
      <c r="E734" s="25"/>
      <c r="F734" s="14"/>
      <c r="G734" s="14"/>
      <c r="H734" s="14"/>
      <c r="I734" s="14"/>
      <c r="J734" s="120"/>
      <c r="K734" s="120"/>
      <c r="L734" s="120"/>
      <c r="M734" s="14"/>
      <c r="N734" s="14"/>
      <c r="O734" s="120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5">
      <c r="A735" s="14"/>
      <c r="B735" s="14"/>
      <c r="C735" s="14"/>
      <c r="D735" s="15"/>
      <c r="E735" s="25"/>
      <c r="F735" s="14"/>
      <c r="G735" s="14"/>
      <c r="H735" s="14"/>
      <c r="I735" s="14"/>
      <c r="J735" s="120"/>
      <c r="K735" s="120"/>
      <c r="L735" s="120"/>
      <c r="M735" s="14"/>
      <c r="N735" s="14"/>
      <c r="O735" s="120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5">
      <c r="A736" s="14"/>
      <c r="B736" s="14"/>
      <c r="C736" s="14"/>
      <c r="D736" s="15"/>
      <c r="E736" s="25"/>
      <c r="F736" s="14"/>
      <c r="G736" s="14"/>
      <c r="H736" s="14"/>
      <c r="I736" s="14"/>
      <c r="J736" s="120"/>
      <c r="K736" s="120"/>
      <c r="L736" s="120"/>
      <c r="M736" s="14"/>
      <c r="N736" s="14"/>
      <c r="O736" s="120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5">
      <c r="A737" s="14"/>
      <c r="B737" s="14"/>
      <c r="C737" s="14"/>
      <c r="D737" s="15"/>
      <c r="E737" s="25"/>
      <c r="F737" s="14"/>
      <c r="G737" s="14"/>
      <c r="H737" s="14"/>
      <c r="I737" s="14"/>
      <c r="J737" s="120"/>
      <c r="K737" s="120"/>
      <c r="L737" s="120"/>
      <c r="M737" s="14"/>
      <c r="N737" s="14"/>
      <c r="O737" s="120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5">
      <c r="A738" s="14"/>
      <c r="B738" s="14"/>
      <c r="C738" s="14"/>
      <c r="D738" s="15"/>
      <c r="E738" s="25"/>
      <c r="F738" s="14"/>
      <c r="G738" s="14"/>
      <c r="H738" s="14"/>
      <c r="I738" s="14"/>
      <c r="J738" s="120"/>
      <c r="K738" s="120"/>
      <c r="L738" s="120"/>
      <c r="M738" s="14"/>
      <c r="N738" s="14"/>
      <c r="O738" s="120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5">
      <c r="A739" s="14"/>
      <c r="B739" s="14"/>
      <c r="C739" s="14"/>
      <c r="D739" s="15"/>
      <c r="E739" s="25"/>
      <c r="F739" s="14"/>
      <c r="G739" s="14"/>
      <c r="H739" s="14"/>
      <c r="I739" s="14"/>
      <c r="J739" s="120"/>
      <c r="K739" s="120"/>
      <c r="L739" s="120"/>
      <c r="M739" s="14"/>
      <c r="N739" s="14"/>
      <c r="O739" s="120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5">
      <c r="A740" s="14"/>
      <c r="B740" s="14"/>
      <c r="C740" s="14"/>
      <c r="D740" s="15"/>
      <c r="E740" s="25"/>
      <c r="F740" s="14"/>
      <c r="G740" s="14"/>
      <c r="H740" s="14"/>
      <c r="I740" s="14"/>
      <c r="J740" s="120"/>
      <c r="K740" s="120"/>
      <c r="L740" s="120"/>
      <c r="M740" s="14"/>
      <c r="N740" s="14"/>
      <c r="O740" s="120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5">
      <c r="A741" s="14"/>
      <c r="B741" s="14"/>
      <c r="C741" s="14"/>
      <c r="D741" s="15"/>
      <c r="E741" s="25"/>
      <c r="F741" s="14"/>
      <c r="G741" s="14"/>
      <c r="H741" s="14"/>
      <c r="I741" s="14"/>
      <c r="J741" s="120"/>
      <c r="K741" s="120"/>
      <c r="L741" s="120"/>
      <c r="M741" s="14"/>
      <c r="N741" s="14"/>
      <c r="O741" s="120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5">
      <c r="A742" s="14"/>
      <c r="B742" s="14"/>
      <c r="C742" s="14"/>
      <c r="D742" s="15"/>
      <c r="E742" s="25"/>
      <c r="F742" s="14"/>
      <c r="G742" s="14"/>
      <c r="H742" s="14"/>
      <c r="I742" s="14"/>
      <c r="J742" s="120"/>
      <c r="K742" s="120"/>
      <c r="L742" s="120"/>
      <c r="M742" s="14"/>
      <c r="N742" s="14"/>
      <c r="O742" s="120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5">
      <c r="A743" s="14"/>
      <c r="B743" s="14"/>
      <c r="C743" s="14"/>
      <c r="D743" s="15"/>
      <c r="E743" s="25"/>
      <c r="F743" s="14"/>
      <c r="G743" s="14"/>
      <c r="H743" s="14"/>
      <c r="I743" s="14"/>
      <c r="J743" s="120"/>
      <c r="K743" s="120"/>
      <c r="L743" s="120"/>
      <c r="M743" s="14"/>
      <c r="N743" s="14"/>
      <c r="O743" s="120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5">
      <c r="A744" s="14"/>
      <c r="B744" s="14"/>
      <c r="C744" s="14"/>
      <c r="D744" s="15"/>
      <c r="E744" s="25"/>
      <c r="F744" s="14"/>
      <c r="G744" s="14"/>
      <c r="H744" s="14"/>
      <c r="I744" s="14"/>
      <c r="J744" s="120"/>
      <c r="K744" s="120"/>
      <c r="L744" s="120"/>
      <c r="M744" s="14"/>
      <c r="N744" s="14"/>
      <c r="O744" s="120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5">
      <c r="A745" s="14"/>
      <c r="B745" s="14"/>
      <c r="C745" s="14"/>
      <c r="D745" s="15"/>
      <c r="E745" s="25"/>
      <c r="F745" s="14"/>
      <c r="G745" s="14"/>
      <c r="H745" s="14"/>
      <c r="I745" s="14"/>
      <c r="J745" s="120"/>
      <c r="K745" s="120"/>
      <c r="L745" s="120"/>
      <c r="M745" s="14"/>
      <c r="N745" s="14"/>
      <c r="O745" s="120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5">
      <c r="A746" s="14"/>
      <c r="B746" s="14"/>
      <c r="C746" s="14"/>
      <c r="D746" s="15"/>
      <c r="E746" s="25"/>
      <c r="F746" s="14"/>
      <c r="G746" s="14"/>
      <c r="H746" s="14"/>
      <c r="I746" s="14"/>
      <c r="J746" s="120"/>
      <c r="K746" s="120"/>
      <c r="L746" s="120"/>
      <c r="M746" s="14"/>
      <c r="N746" s="14"/>
      <c r="O746" s="120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5">
      <c r="A747" s="14"/>
      <c r="B747" s="14"/>
      <c r="C747" s="14"/>
      <c r="D747" s="15"/>
      <c r="E747" s="25"/>
      <c r="F747" s="14"/>
      <c r="G747" s="14"/>
      <c r="H747" s="14"/>
      <c r="I747" s="14"/>
      <c r="J747" s="120"/>
      <c r="K747" s="120"/>
      <c r="L747" s="120"/>
      <c r="M747" s="14"/>
      <c r="N747" s="14"/>
      <c r="O747" s="120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5">
      <c r="A748" s="14"/>
      <c r="B748" s="14"/>
      <c r="C748" s="14"/>
      <c r="D748" s="15"/>
      <c r="E748" s="25"/>
      <c r="F748" s="14"/>
      <c r="G748" s="14"/>
      <c r="H748" s="14"/>
      <c r="I748" s="14"/>
      <c r="J748" s="120"/>
      <c r="K748" s="120"/>
      <c r="L748" s="120"/>
      <c r="M748" s="14"/>
      <c r="N748" s="14"/>
      <c r="O748" s="120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5">
      <c r="A749" s="14"/>
      <c r="B749" s="14"/>
      <c r="C749" s="14"/>
      <c r="D749" s="15"/>
      <c r="E749" s="25"/>
      <c r="F749" s="14"/>
      <c r="G749" s="14"/>
      <c r="H749" s="14"/>
      <c r="I749" s="14"/>
      <c r="J749" s="120"/>
      <c r="K749" s="120"/>
      <c r="L749" s="120"/>
      <c r="M749" s="14"/>
      <c r="N749" s="14"/>
      <c r="O749" s="120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5">
      <c r="A750" s="14"/>
      <c r="B750" s="14"/>
      <c r="C750" s="14"/>
      <c r="D750" s="15"/>
      <c r="E750" s="25"/>
      <c r="F750" s="14"/>
      <c r="G750" s="14"/>
      <c r="H750" s="14"/>
      <c r="I750" s="14"/>
      <c r="J750" s="120"/>
      <c r="K750" s="120"/>
      <c r="L750" s="120"/>
      <c r="M750" s="14"/>
      <c r="N750" s="14"/>
      <c r="O750" s="120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5">
      <c r="A751" s="14"/>
      <c r="B751" s="14"/>
      <c r="C751" s="14"/>
      <c r="D751" s="15"/>
      <c r="E751" s="25"/>
      <c r="F751" s="14"/>
      <c r="G751" s="14"/>
      <c r="H751" s="14"/>
      <c r="I751" s="14"/>
      <c r="J751" s="120"/>
      <c r="K751" s="120"/>
      <c r="L751" s="120"/>
      <c r="M751" s="14"/>
      <c r="N751" s="14"/>
      <c r="O751" s="120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5">
      <c r="A752" s="14"/>
      <c r="B752" s="14"/>
      <c r="C752" s="14"/>
      <c r="D752" s="15"/>
      <c r="E752" s="25"/>
      <c r="F752" s="14"/>
      <c r="G752" s="14"/>
      <c r="H752" s="14"/>
      <c r="I752" s="14"/>
      <c r="J752" s="120"/>
      <c r="K752" s="120"/>
      <c r="L752" s="120"/>
      <c r="M752" s="14"/>
      <c r="N752" s="14"/>
      <c r="O752" s="120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5">
      <c r="A753" s="14"/>
      <c r="B753" s="14"/>
      <c r="C753" s="14"/>
      <c r="D753" s="15"/>
      <c r="E753" s="25"/>
      <c r="F753" s="14"/>
      <c r="G753" s="14"/>
      <c r="H753" s="14"/>
      <c r="I753" s="14"/>
      <c r="J753" s="120"/>
      <c r="K753" s="120"/>
      <c r="L753" s="120"/>
      <c r="M753" s="14"/>
      <c r="N753" s="14"/>
      <c r="O753" s="120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5">
      <c r="A754" s="14"/>
      <c r="B754" s="14"/>
      <c r="C754" s="14"/>
      <c r="D754" s="15"/>
      <c r="E754" s="25"/>
      <c r="F754" s="14"/>
      <c r="G754" s="14"/>
      <c r="H754" s="14"/>
      <c r="I754" s="14"/>
      <c r="J754" s="120"/>
      <c r="K754" s="120"/>
      <c r="L754" s="120"/>
      <c r="M754" s="14"/>
      <c r="N754" s="14"/>
      <c r="O754" s="120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5">
      <c r="A755" s="14"/>
      <c r="B755" s="14"/>
      <c r="C755" s="14"/>
      <c r="D755" s="15"/>
      <c r="E755" s="25"/>
      <c r="F755" s="14"/>
      <c r="G755" s="14"/>
      <c r="H755" s="14"/>
      <c r="I755" s="14"/>
      <c r="J755" s="120"/>
      <c r="K755" s="120"/>
      <c r="L755" s="120"/>
      <c r="M755" s="14"/>
      <c r="N755" s="14"/>
      <c r="O755" s="120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5">
      <c r="A756" s="14"/>
      <c r="B756" s="14"/>
      <c r="C756" s="14"/>
      <c r="D756" s="15"/>
      <c r="E756" s="25"/>
      <c r="F756" s="14"/>
      <c r="G756" s="14"/>
      <c r="H756" s="14"/>
      <c r="I756" s="14"/>
      <c r="J756" s="120"/>
      <c r="K756" s="120"/>
      <c r="L756" s="120"/>
      <c r="M756" s="14"/>
      <c r="N756" s="14"/>
      <c r="O756" s="120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5">
      <c r="A757" s="14"/>
      <c r="B757" s="14"/>
      <c r="C757" s="14"/>
      <c r="D757" s="15"/>
      <c r="E757" s="25"/>
      <c r="F757" s="14"/>
      <c r="G757" s="14"/>
      <c r="H757" s="14"/>
      <c r="I757" s="14"/>
      <c r="J757" s="120"/>
      <c r="K757" s="120"/>
      <c r="L757" s="120"/>
      <c r="M757" s="14"/>
      <c r="N757" s="14"/>
      <c r="O757" s="120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5">
      <c r="A758" s="14"/>
      <c r="B758" s="14"/>
      <c r="C758" s="14"/>
      <c r="D758" s="15"/>
      <c r="E758" s="25"/>
      <c r="F758" s="14"/>
      <c r="G758" s="14"/>
      <c r="H758" s="14"/>
      <c r="I758" s="14"/>
      <c r="J758" s="120"/>
      <c r="K758" s="120"/>
      <c r="L758" s="120"/>
      <c r="M758" s="14"/>
      <c r="N758" s="14"/>
      <c r="O758" s="120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5">
      <c r="A759" s="14"/>
      <c r="B759" s="14"/>
      <c r="C759" s="14"/>
      <c r="D759" s="15"/>
      <c r="E759" s="25"/>
      <c r="F759" s="14"/>
      <c r="G759" s="14"/>
      <c r="H759" s="14"/>
      <c r="I759" s="14"/>
      <c r="J759" s="120"/>
      <c r="K759" s="120"/>
      <c r="L759" s="120"/>
      <c r="M759" s="14"/>
      <c r="N759" s="14"/>
      <c r="O759" s="120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5">
      <c r="A760" s="14"/>
      <c r="B760" s="14"/>
      <c r="C760" s="14"/>
      <c r="D760" s="15"/>
      <c r="E760" s="25"/>
      <c r="F760" s="14"/>
      <c r="G760" s="14"/>
      <c r="H760" s="14"/>
      <c r="I760" s="14"/>
      <c r="J760" s="120"/>
      <c r="K760" s="120"/>
      <c r="L760" s="120"/>
      <c r="M760" s="14"/>
      <c r="N760" s="14"/>
      <c r="O760" s="120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5">
      <c r="A761" s="14"/>
      <c r="B761" s="14"/>
      <c r="C761" s="14"/>
      <c r="D761" s="15"/>
      <c r="E761" s="25"/>
      <c r="F761" s="14"/>
      <c r="G761" s="14"/>
      <c r="H761" s="14"/>
      <c r="I761" s="14"/>
      <c r="J761" s="120"/>
      <c r="K761" s="120"/>
      <c r="L761" s="120"/>
      <c r="M761" s="14"/>
      <c r="N761" s="14"/>
      <c r="O761" s="120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5">
      <c r="A762" s="14"/>
      <c r="B762" s="14"/>
      <c r="C762" s="14"/>
      <c r="D762" s="15"/>
      <c r="E762" s="25"/>
      <c r="F762" s="14"/>
      <c r="G762" s="14"/>
      <c r="H762" s="14"/>
      <c r="I762" s="14"/>
      <c r="J762" s="120"/>
      <c r="K762" s="120"/>
      <c r="L762" s="120"/>
      <c r="M762" s="14"/>
      <c r="N762" s="14"/>
      <c r="O762" s="120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5">
      <c r="A763" s="14"/>
      <c r="B763" s="14"/>
      <c r="C763" s="14"/>
      <c r="D763" s="15"/>
      <c r="E763" s="25"/>
      <c r="F763" s="14"/>
      <c r="G763" s="14"/>
      <c r="H763" s="14"/>
      <c r="I763" s="14"/>
      <c r="J763" s="120"/>
      <c r="K763" s="120"/>
      <c r="L763" s="120"/>
      <c r="M763" s="14"/>
      <c r="N763" s="14"/>
      <c r="O763" s="120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5">
      <c r="A764" s="14"/>
      <c r="B764" s="14"/>
      <c r="C764" s="14"/>
      <c r="D764" s="15"/>
      <c r="E764" s="25"/>
      <c r="F764" s="14"/>
      <c r="G764" s="14"/>
      <c r="H764" s="14"/>
      <c r="I764" s="14"/>
      <c r="J764" s="120"/>
      <c r="K764" s="120"/>
      <c r="L764" s="120"/>
      <c r="M764" s="14"/>
      <c r="N764" s="14"/>
      <c r="O764" s="120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5">
      <c r="A765" s="14"/>
      <c r="B765" s="14"/>
      <c r="C765" s="14"/>
      <c r="D765" s="15"/>
      <c r="E765" s="25"/>
      <c r="F765" s="14"/>
      <c r="G765" s="14"/>
      <c r="H765" s="14"/>
      <c r="I765" s="14"/>
      <c r="J765" s="120"/>
      <c r="K765" s="120"/>
      <c r="L765" s="120"/>
      <c r="M765" s="14"/>
      <c r="N765" s="14"/>
      <c r="O765" s="120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5">
      <c r="A766" s="14"/>
      <c r="B766" s="14"/>
      <c r="C766" s="14"/>
      <c r="D766" s="15"/>
      <c r="E766" s="25"/>
      <c r="F766" s="14"/>
      <c r="G766" s="14"/>
      <c r="H766" s="14"/>
      <c r="I766" s="14"/>
      <c r="J766" s="120"/>
      <c r="K766" s="120"/>
      <c r="L766" s="120"/>
      <c r="M766" s="14"/>
      <c r="N766" s="14"/>
      <c r="O766" s="120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5">
      <c r="A767" s="14"/>
      <c r="B767" s="14"/>
      <c r="C767" s="14"/>
      <c r="D767" s="15"/>
      <c r="E767" s="25"/>
      <c r="F767" s="14"/>
      <c r="G767" s="14"/>
      <c r="H767" s="14"/>
      <c r="I767" s="14"/>
      <c r="J767" s="120"/>
      <c r="K767" s="120"/>
      <c r="L767" s="120"/>
      <c r="M767" s="14"/>
      <c r="N767" s="14"/>
      <c r="O767" s="120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5">
      <c r="A768" s="14"/>
      <c r="B768" s="14"/>
      <c r="C768" s="14"/>
      <c r="D768" s="15"/>
      <c r="E768" s="25"/>
      <c r="F768" s="14"/>
      <c r="G768" s="14"/>
      <c r="H768" s="14"/>
      <c r="I768" s="14"/>
      <c r="J768" s="120"/>
      <c r="K768" s="120"/>
      <c r="L768" s="120"/>
      <c r="M768" s="14"/>
      <c r="N768" s="14"/>
      <c r="O768" s="120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5">
      <c r="A769" s="14"/>
      <c r="B769" s="14"/>
      <c r="C769" s="14"/>
      <c r="D769" s="15"/>
      <c r="E769" s="25"/>
      <c r="F769" s="14"/>
      <c r="G769" s="14"/>
      <c r="H769" s="14"/>
      <c r="I769" s="14"/>
      <c r="J769" s="120"/>
      <c r="K769" s="120"/>
      <c r="L769" s="120"/>
      <c r="M769" s="14"/>
      <c r="N769" s="14"/>
      <c r="O769" s="120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5">
      <c r="A770" s="14"/>
      <c r="B770" s="14"/>
      <c r="C770" s="14"/>
      <c r="D770" s="15"/>
      <c r="E770" s="25"/>
      <c r="F770" s="14"/>
      <c r="G770" s="14"/>
      <c r="H770" s="14"/>
      <c r="I770" s="14"/>
      <c r="J770" s="120"/>
      <c r="K770" s="120"/>
      <c r="L770" s="120"/>
      <c r="M770" s="14"/>
      <c r="N770" s="14"/>
      <c r="O770" s="120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5">
      <c r="A771" s="14"/>
      <c r="B771" s="14"/>
      <c r="C771" s="14"/>
      <c r="D771" s="15"/>
      <c r="E771" s="25"/>
      <c r="F771" s="14"/>
      <c r="G771" s="14"/>
      <c r="H771" s="14"/>
      <c r="I771" s="14"/>
      <c r="J771" s="120"/>
      <c r="K771" s="120"/>
      <c r="L771" s="120"/>
      <c r="M771" s="14"/>
      <c r="N771" s="14"/>
      <c r="O771" s="120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5">
      <c r="A772" s="14"/>
      <c r="B772" s="14"/>
      <c r="C772" s="14"/>
      <c r="D772" s="15"/>
      <c r="E772" s="25"/>
      <c r="F772" s="14"/>
      <c r="G772" s="14"/>
      <c r="H772" s="14"/>
      <c r="I772" s="14"/>
      <c r="J772" s="120"/>
      <c r="K772" s="120"/>
      <c r="L772" s="120"/>
      <c r="M772" s="14"/>
      <c r="N772" s="14"/>
      <c r="O772" s="120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5">
      <c r="A773" s="14"/>
      <c r="B773" s="14"/>
      <c r="C773" s="14"/>
      <c r="D773" s="15"/>
      <c r="E773" s="25"/>
      <c r="F773" s="14"/>
      <c r="G773" s="14"/>
      <c r="H773" s="14"/>
      <c r="I773" s="14"/>
      <c r="J773" s="120"/>
      <c r="K773" s="120"/>
      <c r="L773" s="120"/>
      <c r="M773" s="14"/>
      <c r="N773" s="14"/>
      <c r="O773" s="120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5">
      <c r="A774" s="14"/>
      <c r="B774" s="14"/>
      <c r="C774" s="14"/>
      <c r="D774" s="15"/>
      <c r="E774" s="25"/>
      <c r="F774" s="14"/>
      <c r="G774" s="14"/>
      <c r="H774" s="14"/>
      <c r="I774" s="14"/>
      <c r="J774" s="120"/>
      <c r="K774" s="120"/>
      <c r="L774" s="120"/>
      <c r="M774" s="14"/>
      <c r="N774" s="14"/>
      <c r="O774" s="120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5">
      <c r="A775" s="14"/>
      <c r="B775" s="14"/>
      <c r="C775" s="14"/>
      <c r="D775" s="15"/>
      <c r="E775" s="25"/>
      <c r="F775" s="14"/>
      <c r="G775" s="14"/>
      <c r="H775" s="14"/>
      <c r="I775" s="14"/>
      <c r="J775" s="120"/>
      <c r="K775" s="120"/>
      <c r="L775" s="120"/>
      <c r="M775" s="14"/>
      <c r="N775" s="14"/>
      <c r="O775" s="120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5">
      <c r="A776" s="14"/>
      <c r="B776" s="14"/>
      <c r="C776" s="14"/>
      <c r="D776" s="15"/>
      <c r="E776" s="25"/>
      <c r="F776" s="14"/>
      <c r="G776" s="14"/>
      <c r="H776" s="14"/>
      <c r="I776" s="14"/>
      <c r="J776" s="120"/>
      <c r="K776" s="120"/>
      <c r="L776" s="120"/>
      <c r="M776" s="14"/>
      <c r="N776" s="14"/>
      <c r="O776" s="120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5">
      <c r="A777" s="14"/>
      <c r="B777" s="14"/>
      <c r="C777" s="14"/>
      <c r="D777" s="15"/>
      <c r="E777" s="25"/>
      <c r="F777" s="14"/>
      <c r="G777" s="14"/>
      <c r="H777" s="14"/>
      <c r="I777" s="14"/>
      <c r="J777" s="120"/>
      <c r="K777" s="120"/>
      <c r="L777" s="120"/>
      <c r="M777" s="14"/>
      <c r="N777" s="14"/>
      <c r="O777" s="120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5">
      <c r="A778" s="14"/>
      <c r="B778" s="14"/>
      <c r="C778" s="14"/>
      <c r="D778" s="15"/>
      <c r="E778" s="25"/>
      <c r="F778" s="14"/>
      <c r="G778" s="14"/>
      <c r="H778" s="14"/>
      <c r="I778" s="14"/>
      <c r="J778" s="120"/>
      <c r="K778" s="120"/>
      <c r="L778" s="120"/>
      <c r="M778" s="14"/>
      <c r="N778" s="14"/>
      <c r="O778" s="120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5">
      <c r="A779" s="14"/>
      <c r="B779" s="14"/>
      <c r="C779" s="14"/>
      <c r="D779" s="15"/>
      <c r="E779" s="25"/>
      <c r="F779" s="14"/>
      <c r="G779" s="14"/>
      <c r="H779" s="14"/>
      <c r="I779" s="14"/>
      <c r="J779" s="120"/>
      <c r="K779" s="120"/>
      <c r="L779" s="120"/>
      <c r="M779" s="14"/>
      <c r="N779" s="14"/>
      <c r="O779" s="120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5">
      <c r="A780" s="14"/>
      <c r="B780" s="14"/>
      <c r="C780" s="14"/>
      <c r="D780" s="15"/>
      <c r="E780" s="25"/>
      <c r="F780" s="14"/>
      <c r="G780" s="14"/>
      <c r="H780" s="14"/>
      <c r="I780" s="14"/>
      <c r="J780" s="120"/>
      <c r="K780" s="120"/>
      <c r="L780" s="120"/>
      <c r="M780" s="14"/>
      <c r="N780" s="14"/>
      <c r="O780" s="120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5">
      <c r="A781" s="14"/>
      <c r="B781" s="14"/>
      <c r="C781" s="14"/>
      <c r="D781" s="15"/>
      <c r="E781" s="25"/>
      <c r="F781" s="14"/>
      <c r="G781" s="14"/>
      <c r="H781" s="14"/>
      <c r="I781" s="14"/>
      <c r="J781" s="120"/>
      <c r="K781" s="120"/>
      <c r="L781" s="120"/>
      <c r="M781" s="14"/>
      <c r="N781" s="14"/>
      <c r="O781" s="120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5">
      <c r="A782" s="14"/>
      <c r="B782" s="14"/>
      <c r="C782" s="14"/>
      <c r="D782" s="15"/>
      <c r="E782" s="25"/>
      <c r="F782" s="14"/>
      <c r="G782" s="14"/>
      <c r="H782" s="14"/>
      <c r="I782" s="14"/>
      <c r="J782" s="120"/>
      <c r="K782" s="120"/>
      <c r="L782" s="120"/>
      <c r="M782" s="14"/>
      <c r="N782" s="14"/>
      <c r="O782" s="120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5">
      <c r="A783" s="14"/>
      <c r="B783" s="14"/>
      <c r="C783" s="14"/>
      <c r="D783" s="15"/>
      <c r="E783" s="25"/>
      <c r="F783" s="14"/>
      <c r="G783" s="14"/>
      <c r="H783" s="14"/>
      <c r="I783" s="14"/>
      <c r="J783" s="120"/>
      <c r="K783" s="120"/>
      <c r="L783" s="120"/>
      <c r="M783" s="14"/>
      <c r="N783" s="14"/>
      <c r="O783" s="120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5">
      <c r="A784" s="14"/>
      <c r="B784" s="14"/>
      <c r="C784" s="14"/>
      <c r="D784" s="15"/>
      <c r="E784" s="25"/>
      <c r="F784" s="14"/>
      <c r="G784" s="14"/>
      <c r="H784" s="14"/>
      <c r="I784" s="14"/>
      <c r="J784" s="120"/>
      <c r="K784" s="120"/>
      <c r="L784" s="120"/>
      <c r="M784" s="14"/>
      <c r="N784" s="14"/>
      <c r="O784" s="120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5">
      <c r="A785" s="14"/>
      <c r="B785" s="14"/>
      <c r="C785" s="14"/>
      <c r="D785" s="15"/>
      <c r="E785" s="25"/>
      <c r="F785" s="14"/>
      <c r="G785" s="14"/>
      <c r="H785" s="14"/>
      <c r="I785" s="14"/>
      <c r="J785" s="120"/>
      <c r="K785" s="120"/>
      <c r="L785" s="120"/>
      <c r="M785" s="14"/>
      <c r="N785" s="14"/>
      <c r="O785" s="120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5">
      <c r="A786" s="14"/>
      <c r="B786" s="14"/>
      <c r="C786" s="14"/>
      <c r="D786" s="15"/>
      <c r="E786" s="25"/>
      <c r="F786" s="14"/>
      <c r="G786" s="14"/>
      <c r="H786" s="14"/>
      <c r="I786" s="14"/>
      <c r="J786" s="120"/>
      <c r="K786" s="120"/>
      <c r="L786" s="120"/>
      <c r="M786" s="14"/>
      <c r="N786" s="14"/>
      <c r="O786" s="120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5">
      <c r="A787" s="14"/>
      <c r="B787" s="14"/>
      <c r="C787" s="14"/>
      <c r="D787" s="15"/>
      <c r="E787" s="25"/>
      <c r="F787" s="14"/>
      <c r="G787" s="14"/>
      <c r="H787" s="14"/>
      <c r="I787" s="14"/>
      <c r="J787" s="120"/>
      <c r="K787" s="120"/>
      <c r="L787" s="120"/>
      <c r="M787" s="14"/>
      <c r="N787" s="14"/>
      <c r="O787" s="120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5">
      <c r="A788" s="14"/>
      <c r="B788" s="14"/>
      <c r="C788" s="14"/>
      <c r="D788" s="15"/>
      <c r="E788" s="25"/>
      <c r="F788" s="14"/>
      <c r="G788" s="14"/>
      <c r="H788" s="14"/>
      <c r="I788" s="14"/>
      <c r="J788" s="120"/>
      <c r="K788" s="120"/>
      <c r="L788" s="120"/>
      <c r="M788" s="14"/>
      <c r="N788" s="14"/>
      <c r="O788" s="120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5">
      <c r="A789" s="14"/>
      <c r="B789" s="14"/>
      <c r="C789" s="14"/>
      <c r="D789" s="15"/>
      <c r="E789" s="25"/>
      <c r="F789" s="14"/>
      <c r="G789" s="14"/>
      <c r="H789" s="14"/>
      <c r="I789" s="14"/>
      <c r="J789" s="120"/>
      <c r="K789" s="120"/>
      <c r="L789" s="120"/>
      <c r="M789" s="14"/>
      <c r="N789" s="14"/>
      <c r="O789" s="120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5">
      <c r="A790" s="14"/>
      <c r="B790" s="14"/>
      <c r="C790" s="14"/>
      <c r="D790" s="15"/>
      <c r="E790" s="25"/>
      <c r="F790" s="14"/>
      <c r="G790" s="14"/>
      <c r="H790" s="14"/>
      <c r="I790" s="14"/>
      <c r="J790" s="120"/>
      <c r="K790" s="120"/>
      <c r="L790" s="120"/>
      <c r="M790" s="14"/>
      <c r="N790" s="14"/>
      <c r="O790" s="120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5">
      <c r="A791" s="14"/>
      <c r="B791" s="14"/>
      <c r="C791" s="14"/>
      <c r="D791" s="15"/>
      <c r="E791" s="25"/>
      <c r="F791" s="14"/>
      <c r="G791" s="14"/>
      <c r="H791" s="14"/>
      <c r="I791" s="14"/>
      <c r="J791" s="120"/>
      <c r="K791" s="120"/>
      <c r="L791" s="120"/>
      <c r="M791" s="14"/>
      <c r="N791" s="14"/>
      <c r="O791" s="120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5">
      <c r="A792" s="14"/>
      <c r="B792" s="14"/>
      <c r="C792" s="14"/>
      <c r="D792" s="15"/>
      <c r="E792" s="25"/>
      <c r="F792" s="14"/>
      <c r="G792" s="14"/>
      <c r="H792" s="14"/>
      <c r="I792" s="14"/>
      <c r="J792" s="120"/>
      <c r="K792" s="120"/>
      <c r="L792" s="120"/>
      <c r="M792" s="14"/>
      <c r="N792" s="14"/>
      <c r="O792" s="120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5">
      <c r="A793" s="14"/>
      <c r="B793" s="14"/>
      <c r="C793" s="14"/>
      <c r="D793" s="15"/>
      <c r="E793" s="25"/>
      <c r="F793" s="14"/>
      <c r="G793" s="14"/>
      <c r="H793" s="14"/>
      <c r="I793" s="14"/>
      <c r="J793" s="120"/>
      <c r="K793" s="120"/>
      <c r="L793" s="120"/>
      <c r="M793" s="14"/>
      <c r="N793" s="14"/>
      <c r="O793" s="120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5">
      <c r="A794" s="14"/>
      <c r="B794" s="14"/>
      <c r="C794" s="14"/>
      <c r="D794" s="15"/>
      <c r="E794" s="25"/>
      <c r="F794" s="14"/>
      <c r="G794" s="14"/>
      <c r="H794" s="14"/>
      <c r="I794" s="14"/>
      <c r="J794" s="120"/>
      <c r="K794" s="120"/>
      <c r="L794" s="120"/>
      <c r="M794" s="14"/>
      <c r="N794" s="14"/>
      <c r="O794" s="120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5">
      <c r="A795" s="14"/>
      <c r="B795" s="14"/>
      <c r="C795" s="14"/>
      <c r="D795" s="15"/>
      <c r="E795" s="25"/>
      <c r="F795" s="14"/>
      <c r="G795" s="14"/>
      <c r="H795" s="14"/>
      <c r="I795" s="14"/>
      <c r="J795" s="120"/>
      <c r="K795" s="120"/>
      <c r="L795" s="120"/>
      <c r="M795" s="14"/>
      <c r="N795" s="14"/>
      <c r="O795" s="120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5">
      <c r="A796" s="14"/>
      <c r="B796" s="14"/>
      <c r="C796" s="14"/>
      <c r="D796" s="15"/>
      <c r="E796" s="25"/>
      <c r="F796" s="14"/>
      <c r="G796" s="14"/>
      <c r="H796" s="14"/>
      <c r="I796" s="14"/>
      <c r="J796" s="120"/>
      <c r="K796" s="120"/>
      <c r="L796" s="120"/>
      <c r="M796" s="14"/>
      <c r="N796" s="14"/>
      <c r="O796" s="120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5">
      <c r="A797" s="14"/>
      <c r="B797" s="14"/>
      <c r="C797" s="14"/>
      <c r="D797" s="15"/>
      <c r="E797" s="25"/>
      <c r="F797" s="14"/>
      <c r="G797" s="14"/>
      <c r="H797" s="14"/>
      <c r="I797" s="14"/>
      <c r="J797" s="120"/>
      <c r="K797" s="120"/>
      <c r="L797" s="120"/>
      <c r="M797" s="14"/>
      <c r="N797" s="14"/>
      <c r="O797" s="120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5">
      <c r="A798" s="14"/>
      <c r="B798" s="14"/>
      <c r="C798" s="14"/>
      <c r="D798" s="15"/>
      <c r="E798" s="25"/>
      <c r="F798" s="14"/>
      <c r="G798" s="14"/>
      <c r="H798" s="14"/>
      <c r="I798" s="14"/>
      <c r="J798" s="120"/>
      <c r="K798" s="120"/>
      <c r="L798" s="120"/>
      <c r="M798" s="14"/>
      <c r="N798" s="14"/>
      <c r="O798" s="120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5">
      <c r="A799" s="14"/>
      <c r="B799" s="14"/>
      <c r="C799" s="14"/>
      <c r="D799" s="15"/>
      <c r="E799" s="25"/>
      <c r="F799" s="14"/>
      <c r="G799" s="14"/>
      <c r="H799" s="14"/>
      <c r="I799" s="14"/>
      <c r="J799" s="120"/>
      <c r="K799" s="120"/>
      <c r="L799" s="120"/>
      <c r="M799" s="14"/>
      <c r="N799" s="14"/>
      <c r="O799" s="120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5">
      <c r="A800" s="14"/>
      <c r="B800" s="14"/>
      <c r="C800" s="14"/>
      <c r="D800" s="15"/>
      <c r="E800" s="25"/>
      <c r="F800" s="14"/>
      <c r="G800" s="14"/>
      <c r="H800" s="14"/>
      <c r="I800" s="14"/>
      <c r="J800" s="120"/>
      <c r="K800" s="120"/>
      <c r="L800" s="120"/>
      <c r="M800" s="14"/>
      <c r="N800" s="14"/>
      <c r="O800" s="120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5">
      <c r="A801" s="14"/>
      <c r="B801" s="14"/>
      <c r="C801" s="14"/>
      <c r="D801" s="15"/>
      <c r="E801" s="25"/>
      <c r="F801" s="14"/>
      <c r="G801" s="14"/>
      <c r="H801" s="14"/>
      <c r="I801" s="14"/>
      <c r="J801" s="120"/>
      <c r="K801" s="120"/>
      <c r="L801" s="120"/>
      <c r="M801" s="14"/>
      <c r="N801" s="14"/>
      <c r="O801" s="120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5">
      <c r="A802" s="14"/>
      <c r="B802" s="14"/>
      <c r="C802" s="14"/>
      <c r="D802" s="15"/>
      <c r="E802" s="25"/>
      <c r="F802" s="14"/>
      <c r="G802" s="14"/>
      <c r="H802" s="14"/>
      <c r="I802" s="14"/>
      <c r="J802" s="120"/>
      <c r="K802" s="120"/>
      <c r="L802" s="120"/>
      <c r="M802" s="14"/>
      <c r="N802" s="14"/>
      <c r="O802" s="120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5">
      <c r="A803" s="14"/>
      <c r="B803" s="14"/>
      <c r="C803" s="14"/>
      <c r="D803" s="15"/>
      <c r="E803" s="25"/>
      <c r="F803" s="14"/>
      <c r="G803" s="14"/>
      <c r="H803" s="14"/>
      <c r="I803" s="14"/>
      <c r="J803" s="120"/>
      <c r="K803" s="120"/>
      <c r="L803" s="120"/>
      <c r="M803" s="14"/>
      <c r="N803" s="14"/>
      <c r="O803" s="120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5">
      <c r="A804" s="14"/>
      <c r="B804" s="14"/>
      <c r="C804" s="14"/>
      <c r="D804" s="15"/>
      <c r="E804" s="25"/>
      <c r="F804" s="14"/>
      <c r="G804" s="14"/>
      <c r="H804" s="14"/>
      <c r="I804" s="14"/>
      <c r="J804" s="120"/>
      <c r="K804" s="120"/>
      <c r="L804" s="120"/>
      <c r="M804" s="14"/>
      <c r="N804" s="14"/>
      <c r="O804" s="120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5">
      <c r="A805" s="14"/>
      <c r="B805" s="14"/>
      <c r="C805" s="14"/>
      <c r="D805" s="15"/>
      <c r="E805" s="25"/>
      <c r="F805" s="14"/>
      <c r="G805" s="14"/>
      <c r="H805" s="14"/>
      <c r="I805" s="14"/>
      <c r="J805" s="120"/>
      <c r="K805" s="120"/>
      <c r="L805" s="120"/>
      <c r="M805" s="14"/>
      <c r="N805" s="14"/>
      <c r="O805" s="120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5">
      <c r="A806" s="14"/>
      <c r="B806" s="14"/>
      <c r="C806" s="14"/>
      <c r="D806" s="15"/>
      <c r="E806" s="25"/>
      <c r="F806" s="14"/>
      <c r="G806" s="14"/>
      <c r="H806" s="14"/>
      <c r="I806" s="14"/>
      <c r="J806" s="120"/>
      <c r="K806" s="120"/>
      <c r="L806" s="120"/>
      <c r="M806" s="14"/>
      <c r="N806" s="14"/>
      <c r="O806" s="120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5">
      <c r="A807" s="14"/>
      <c r="B807" s="14"/>
      <c r="C807" s="14"/>
      <c r="D807" s="15"/>
      <c r="E807" s="25"/>
      <c r="F807" s="14"/>
      <c r="G807" s="14"/>
      <c r="H807" s="14"/>
      <c r="I807" s="14"/>
      <c r="J807" s="120"/>
      <c r="K807" s="120"/>
      <c r="L807" s="120"/>
      <c r="M807" s="14"/>
      <c r="N807" s="14"/>
      <c r="O807" s="120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5">
      <c r="A808" s="14"/>
      <c r="B808" s="14"/>
      <c r="C808" s="14"/>
      <c r="D808" s="15"/>
      <c r="E808" s="25"/>
      <c r="F808" s="14"/>
      <c r="G808" s="14"/>
      <c r="H808" s="14"/>
      <c r="I808" s="14"/>
      <c r="J808" s="120"/>
      <c r="K808" s="120"/>
      <c r="L808" s="120"/>
      <c r="M808" s="14"/>
      <c r="N808" s="14"/>
      <c r="O808" s="120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5">
      <c r="A809" s="14"/>
      <c r="B809" s="14"/>
      <c r="C809" s="14"/>
      <c r="D809" s="15"/>
      <c r="E809" s="25"/>
      <c r="F809" s="14"/>
      <c r="G809" s="14"/>
      <c r="H809" s="14"/>
      <c r="I809" s="14"/>
      <c r="J809" s="120"/>
      <c r="K809" s="120"/>
      <c r="L809" s="120"/>
      <c r="M809" s="14"/>
      <c r="N809" s="14"/>
      <c r="O809" s="120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5">
      <c r="A810" s="14"/>
      <c r="B810" s="14"/>
      <c r="C810" s="14"/>
      <c r="D810" s="15"/>
      <c r="E810" s="25"/>
      <c r="F810" s="14"/>
      <c r="G810" s="14"/>
      <c r="H810" s="14"/>
      <c r="I810" s="14"/>
      <c r="J810" s="120"/>
      <c r="K810" s="120"/>
      <c r="L810" s="120"/>
      <c r="M810" s="14"/>
      <c r="N810" s="14"/>
      <c r="O810" s="120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5">
      <c r="A811" s="14"/>
      <c r="B811" s="14"/>
      <c r="C811" s="14"/>
      <c r="D811" s="15"/>
      <c r="E811" s="25"/>
      <c r="F811" s="14"/>
      <c r="G811" s="14"/>
      <c r="H811" s="14"/>
      <c r="I811" s="14"/>
      <c r="J811" s="120"/>
      <c r="K811" s="120"/>
      <c r="L811" s="120"/>
      <c r="M811" s="14"/>
      <c r="N811" s="14"/>
      <c r="O811" s="120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5">
      <c r="A812" s="14"/>
      <c r="B812" s="14"/>
      <c r="C812" s="14"/>
      <c r="D812" s="15"/>
      <c r="E812" s="25"/>
      <c r="F812" s="14"/>
      <c r="G812" s="14"/>
      <c r="H812" s="14"/>
      <c r="I812" s="14"/>
      <c r="J812" s="120"/>
      <c r="K812" s="120"/>
      <c r="L812" s="120"/>
      <c r="M812" s="14"/>
      <c r="N812" s="14"/>
      <c r="O812" s="120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5">
      <c r="A813" s="14"/>
      <c r="B813" s="14"/>
      <c r="C813" s="14"/>
      <c r="D813" s="15"/>
      <c r="E813" s="25"/>
      <c r="F813" s="14"/>
      <c r="G813" s="14"/>
      <c r="H813" s="14"/>
      <c r="I813" s="14"/>
      <c r="J813" s="120"/>
      <c r="K813" s="120"/>
      <c r="L813" s="120"/>
      <c r="M813" s="14"/>
      <c r="N813" s="14"/>
      <c r="O813" s="120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5">
      <c r="A814" s="14"/>
      <c r="B814" s="14"/>
      <c r="C814" s="14"/>
      <c r="D814" s="15"/>
      <c r="E814" s="25"/>
      <c r="F814" s="14"/>
      <c r="G814" s="14"/>
      <c r="H814" s="14"/>
      <c r="I814" s="14"/>
      <c r="J814" s="120"/>
      <c r="K814" s="120"/>
      <c r="L814" s="120"/>
      <c r="M814" s="14"/>
      <c r="N814" s="14"/>
      <c r="O814" s="120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5">
      <c r="A815" s="14"/>
      <c r="B815" s="14"/>
      <c r="C815" s="14"/>
      <c r="D815" s="15"/>
      <c r="E815" s="25"/>
      <c r="F815" s="14"/>
      <c r="G815" s="14"/>
      <c r="H815" s="14"/>
      <c r="I815" s="14"/>
      <c r="J815" s="120"/>
      <c r="K815" s="120"/>
      <c r="L815" s="120"/>
      <c r="M815" s="14"/>
      <c r="N815" s="14"/>
      <c r="O815" s="120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5">
      <c r="A816" s="14"/>
      <c r="B816" s="14"/>
      <c r="C816" s="14"/>
      <c r="D816" s="15"/>
      <c r="E816" s="25"/>
      <c r="F816" s="14"/>
      <c r="G816" s="14"/>
      <c r="H816" s="14"/>
      <c r="I816" s="14"/>
      <c r="J816" s="120"/>
      <c r="K816" s="120"/>
      <c r="L816" s="120"/>
      <c r="M816" s="14"/>
      <c r="N816" s="14"/>
      <c r="O816" s="120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5">
      <c r="A817" s="14"/>
      <c r="B817" s="14"/>
      <c r="C817" s="14"/>
      <c r="D817" s="15"/>
      <c r="E817" s="25"/>
      <c r="F817" s="14"/>
      <c r="G817" s="14"/>
      <c r="H817" s="14"/>
      <c r="I817" s="14"/>
      <c r="J817" s="120"/>
      <c r="K817" s="120"/>
      <c r="L817" s="120"/>
      <c r="M817" s="14"/>
      <c r="N817" s="14"/>
      <c r="O817" s="120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5">
      <c r="A818" s="14"/>
      <c r="B818" s="14"/>
      <c r="C818" s="14"/>
      <c r="D818" s="15"/>
      <c r="E818" s="25"/>
      <c r="F818" s="14"/>
      <c r="G818" s="14"/>
      <c r="H818" s="14"/>
      <c r="I818" s="14"/>
      <c r="J818" s="120"/>
      <c r="K818" s="120"/>
      <c r="L818" s="120"/>
      <c r="M818" s="14"/>
      <c r="N818" s="14"/>
      <c r="O818" s="120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5">
      <c r="A819" s="14"/>
      <c r="B819" s="14"/>
      <c r="C819" s="14"/>
      <c r="D819" s="15"/>
      <c r="E819" s="25"/>
      <c r="F819" s="14"/>
      <c r="G819" s="14"/>
      <c r="H819" s="14"/>
      <c r="I819" s="14"/>
      <c r="J819" s="120"/>
      <c r="K819" s="120"/>
      <c r="L819" s="120"/>
      <c r="M819" s="14"/>
      <c r="N819" s="14"/>
      <c r="O819" s="120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5">
      <c r="A820" s="14"/>
      <c r="B820" s="14"/>
      <c r="C820" s="14"/>
      <c r="D820" s="15"/>
      <c r="E820" s="25"/>
      <c r="F820" s="14"/>
      <c r="G820" s="14"/>
      <c r="H820" s="14"/>
      <c r="I820" s="14"/>
      <c r="J820" s="120"/>
      <c r="K820" s="120"/>
      <c r="L820" s="120"/>
      <c r="M820" s="14"/>
      <c r="N820" s="14"/>
      <c r="O820" s="120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5">
      <c r="A821" s="14"/>
      <c r="B821" s="14"/>
      <c r="C821" s="14"/>
      <c r="D821" s="15"/>
      <c r="E821" s="25"/>
      <c r="F821" s="14"/>
      <c r="G821" s="14"/>
      <c r="H821" s="14"/>
      <c r="I821" s="14"/>
      <c r="J821" s="120"/>
      <c r="K821" s="120"/>
      <c r="L821" s="120"/>
      <c r="M821" s="14"/>
      <c r="N821" s="14"/>
      <c r="O821" s="120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5">
      <c r="A822" s="14"/>
      <c r="B822" s="14"/>
      <c r="C822" s="14"/>
      <c r="D822" s="15"/>
      <c r="E822" s="25"/>
      <c r="F822" s="14"/>
      <c r="G822" s="14"/>
      <c r="H822" s="14"/>
      <c r="I822" s="14"/>
      <c r="J822" s="120"/>
      <c r="K822" s="120"/>
      <c r="L822" s="120"/>
      <c r="M822" s="14"/>
      <c r="N822" s="14"/>
      <c r="O822" s="120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5">
      <c r="A823" s="14"/>
      <c r="B823" s="14"/>
      <c r="C823" s="14"/>
      <c r="D823" s="15"/>
      <c r="E823" s="25"/>
      <c r="F823" s="14"/>
      <c r="G823" s="14"/>
      <c r="H823" s="14"/>
      <c r="I823" s="14"/>
      <c r="J823" s="120"/>
      <c r="K823" s="120"/>
      <c r="L823" s="120"/>
      <c r="M823" s="14"/>
      <c r="N823" s="14"/>
      <c r="O823" s="120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5">
      <c r="A824" s="14"/>
      <c r="B824" s="14"/>
      <c r="C824" s="14"/>
      <c r="D824" s="15"/>
      <c r="E824" s="25"/>
      <c r="F824" s="14"/>
      <c r="G824" s="14"/>
      <c r="H824" s="14"/>
      <c r="I824" s="14"/>
      <c r="J824" s="120"/>
      <c r="K824" s="120"/>
      <c r="L824" s="120"/>
      <c r="M824" s="14"/>
      <c r="N824" s="14"/>
      <c r="O824" s="120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5">
      <c r="A825" s="14"/>
      <c r="B825" s="14"/>
      <c r="C825" s="14"/>
      <c r="D825" s="15"/>
      <c r="E825" s="25"/>
      <c r="F825" s="14"/>
      <c r="G825" s="14"/>
      <c r="H825" s="14"/>
      <c r="I825" s="14"/>
      <c r="J825" s="120"/>
      <c r="K825" s="120"/>
      <c r="L825" s="120"/>
      <c r="M825" s="14"/>
      <c r="N825" s="14"/>
      <c r="O825" s="120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5">
      <c r="A826" s="14"/>
      <c r="B826" s="14"/>
      <c r="C826" s="14"/>
      <c r="D826" s="15"/>
      <c r="E826" s="25"/>
      <c r="F826" s="14"/>
      <c r="G826" s="14"/>
      <c r="H826" s="14"/>
      <c r="I826" s="14"/>
      <c r="J826" s="120"/>
      <c r="K826" s="120"/>
      <c r="L826" s="120"/>
      <c r="M826" s="14"/>
      <c r="N826" s="14"/>
      <c r="O826" s="120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5">
      <c r="A827" s="14"/>
      <c r="B827" s="14"/>
      <c r="C827" s="14"/>
      <c r="D827" s="15"/>
      <c r="E827" s="25"/>
      <c r="F827" s="14"/>
      <c r="G827" s="14"/>
      <c r="H827" s="14"/>
      <c r="I827" s="14"/>
      <c r="J827" s="120"/>
      <c r="K827" s="120"/>
      <c r="L827" s="120"/>
      <c r="M827" s="14"/>
      <c r="N827" s="14"/>
      <c r="O827" s="120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5">
      <c r="A828" s="14"/>
      <c r="B828" s="14"/>
      <c r="C828" s="14"/>
      <c r="D828" s="15"/>
      <c r="E828" s="25"/>
      <c r="F828" s="14"/>
      <c r="G828" s="14"/>
      <c r="H828" s="14"/>
      <c r="I828" s="14"/>
      <c r="J828" s="120"/>
      <c r="K828" s="120"/>
      <c r="L828" s="120"/>
      <c r="M828" s="14"/>
      <c r="N828" s="14"/>
      <c r="O828" s="120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5">
      <c r="A829" s="14"/>
      <c r="B829" s="14"/>
      <c r="C829" s="14"/>
      <c r="D829" s="15"/>
      <c r="E829" s="25"/>
      <c r="F829" s="14"/>
      <c r="G829" s="14"/>
      <c r="H829" s="14"/>
      <c r="I829" s="14"/>
      <c r="J829" s="120"/>
      <c r="K829" s="120"/>
      <c r="L829" s="120"/>
      <c r="M829" s="14"/>
      <c r="N829" s="14"/>
      <c r="O829" s="120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5">
      <c r="A830" s="14"/>
      <c r="B830" s="14"/>
      <c r="C830" s="14"/>
      <c r="D830" s="15"/>
      <c r="E830" s="25"/>
      <c r="F830" s="14"/>
      <c r="G830" s="14"/>
      <c r="H830" s="14"/>
      <c r="I830" s="14"/>
      <c r="J830" s="120"/>
      <c r="K830" s="120"/>
      <c r="L830" s="120"/>
      <c r="M830" s="14"/>
      <c r="N830" s="14"/>
      <c r="O830" s="120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5">
      <c r="A831" s="14"/>
      <c r="B831" s="14"/>
      <c r="C831" s="14"/>
      <c r="D831" s="15"/>
      <c r="E831" s="25"/>
      <c r="F831" s="14"/>
      <c r="G831" s="14"/>
      <c r="H831" s="14"/>
      <c r="I831" s="14"/>
      <c r="J831" s="120"/>
      <c r="K831" s="120"/>
      <c r="L831" s="120"/>
      <c r="M831" s="14"/>
      <c r="N831" s="14"/>
      <c r="O831" s="120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5">
      <c r="A832" s="14"/>
      <c r="B832" s="14"/>
      <c r="C832" s="14"/>
      <c r="D832" s="15"/>
      <c r="E832" s="25"/>
      <c r="F832" s="14"/>
      <c r="G832" s="14"/>
      <c r="H832" s="14"/>
      <c r="I832" s="14"/>
      <c r="J832" s="120"/>
      <c r="K832" s="120"/>
      <c r="L832" s="120"/>
      <c r="M832" s="14"/>
      <c r="N832" s="14"/>
      <c r="O832" s="120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5">
      <c r="A833" s="14"/>
      <c r="B833" s="14"/>
      <c r="C833" s="14"/>
      <c r="D833" s="15"/>
      <c r="E833" s="25"/>
      <c r="F833" s="14"/>
      <c r="G833" s="14"/>
      <c r="H833" s="14"/>
      <c r="I833" s="14"/>
      <c r="J833" s="120"/>
      <c r="K833" s="120"/>
      <c r="L833" s="120"/>
      <c r="M833" s="14"/>
      <c r="N833" s="14"/>
      <c r="O833" s="120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5">
      <c r="A834" s="14"/>
      <c r="B834" s="14"/>
      <c r="C834" s="14"/>
      <c r="D834" s="15"/>
      <c r="E834" s="25"/>
      <c r="F834" s="14"/>
      <c r="G834" s="14"/>
      <c r="H834" s="14"/>
      <c r="I834" s="14"/>
      <c r="J834" s="120"/>
      <c r="K834" s="120"/>
      <c r="L834" s="120"/>
      <c r="M834" s="14"/>
      <c r="N834" s="14"/>
      <c r="O834" s="120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5">
      <c r="A835" s="14"/>
      <c r="B835" s="14"/>
      <c r="C835" s="14"/>
      <c r="D835" s="15"/>
      <c r="E835" s="25"/>
      <c r="F835" s="14"/>
      <c r="G835" s="14"/>
      <c r="H835" s="14"/>
      <c r="I835" s="14"/>
      <c r="J835" s="120"/>
      <c r="K835" s="120"/>
      <c r="L835" s="120"/>
      <c r="M835" s="14"/>
      <c r="N835" s="14"/>
      <c r="O835" s="120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5">
      <c r="A836" s="14"/>
      <c r="B836" s="14"/>
      <c r="C836" s="14"/>
      <c r="D836" s="15"/>
      <c r="E836" s="25"/>
      <c r="F836" s="14"/>
      <c r="G836" s="14"/>
      <c r="H836" s="14"/>
      <c r="I836" s="14"/>
      <c r="J836" s="120"/>
      <c r="K836" s="120"/>
      <c r="L836" s="120"/>
      <c r="M836" s="14"/>
      <c r="N836" s="14"/>
      <c r="O836" s="120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5">
      <c r="A837" s="14"/>
      <c r="B837" s="14"/>
      <c r="C837" s="14"/>
      <c r="D837" s="15"/>
      <c r="E837" s="25"/>
      <c r="F837" s="14"/>
      <c r="G837" s="14"/>
      <c r="H837" s="14"/>
      <c r="I837" s="14"/>
      <c r="J837" s="120"/>
      <c r="K837" s="120"/>
      <c r="L837" s="120"/>
      <c r="M837" s="14"/>
      <c r="N837" s="14"/>
      <c r="O837" s="120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5">
      <c r="A838" s="14"/>
      <c r="B838" s="14"/>
      <c r="C838" s="14"/>
      <c r="D838" s="15"/>
      <c r="E838" s="25"/>
      <c r="F838" s="14"/>
      <c r="G838" s="14"/>
      <c r="H838" s="14"/>
      <c r="I838" s="14"/>
      <c r="J838" s="120"/>
      <c r="K838" s="120"/>
      <c r="L838" s="120"/>
      <c r="M838" s="14"/>
      <c r="N838" s="14"/>
      <c r="O838" s="120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5">
      <c r="A839" s="14"/>
      <c r="B839" s="14"/>
      <c r="C839" s="14"/>
      <c r="D839" s="15"/>
      <c r="E839" s="25"/>
      <c r="F839" s="14"/>
      <c r="G839" s="14"/>
      <c r="H839" s="14"/>
      <c r="I839" s="14"/>
      <c r="J839" s="120"/>
      <c r="K839" s="120"/>
      <c r="L839" s="120"/>
      <c r="M839" s="14"/>
      <c r="N839" s="14"/>
      <c r="O839" s="120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5">
      <c r="A840" s="14"/>
      <c r="B840" s="14"/>
      <c r="C840" s="14"/>
      <c r="D840" s="15"/>
      <c r="E840" s="25"/>
      <c r="F840" s="14"/>
      <c r="G840" s="14"/>
      <c r="H840" s="14"/>
      <c r="I840" s="14"/>
      <c r="J840" s="120"/>
      <c r="K840" s="120"/>
      <c r="L840" s="120"/>
      <c r="M840" s="14"/>
      <c r="N840" s="14"/>
      <c r="O840" s="120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5">
      <c r="A841" s="14"/>
      <c r="B841" s="14"/>
      <c r="C841" s="14"/>
      <c r="D841" s="15"/>
      <c r="E841" s="25"/>
      <c r="F841" s="14"/>
      <c r="G841" s="14"/>
      <c r="H841" s="14"/>
      <c r="I841" s="14"/>
      <c r="J841" s="120"/>
      <c r="K841" s="120"/>
      <c r="L841" s="120"/>
      <c r="M841" s="14"/>
      <c r="N841" s="14"/>
      <c r="O841" s="120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5">
      <c r="A842" s="14"/>
      <c r="B842" s="14"/>
      <c r="C842" s="14"/>
      <c r="D842" s="15"/>
      <c r="E842" s="25"/>
      <c r="F842" s="14"/>
      <c r="G842" s="14"/>
      <c r="H842" s="14"/>
      <c r="I842" s="14"/>
      <c r="J842" s="120"/>
      <c r="K842" s="120"/>
      <c r="L842" s="120"/>
      <c r="M842" s="14"/>
      <c r="N842" s="14"/>
      <c r="O842" s="120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5">
      <c r="A843" s="14"/>
      <c r="B843" s="14"/>
      <c r="C843" s="14"/>
      <c r="D843" s="15"/>
      <c r="E843" s="25"/>
      <c r="F843" s="14"/>
      <c r="G843" s="14"/>
      <c r="H843" s="14"/>
      <c r="I843" s="14"/>
      <c r="J843" s="120"/>
      <c r="K843" s="120"/>
      <c r="L843" s="120"/>
      <c r="M843" s="14"/>
      <c r="N843" s="14"/>
      <c r="O843" s="120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5">
      <c r="A844" s="14"/>
      <c r="B844" s="14"/>
      <c r="C844" s="14"/>
      <c r="D844" s="15"/>
      <c r="E844" s="25"/>
      <c r="F844" s="14"/>
      <c r="G844" s="14"/>
      <c r="H844" s="14"/>
      <c r="I844" s="14"/>
      <c r="J844" s="120"/>
      <c r="K844" s="120"/>
      <c r="L844" s="120"/>
      <c r="M844" s="14"/>
      <c r="N844" s="14"/>
      <c r="O844" s="120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5">
      <c r="A845" s="14"/>
      <c r="B845" s="14"/>
      <c r="C845" s="14"/>
      <c r="D845" s="15"/>
      <c r="E845" s="25"/>
      <c r="F845" s="14"/>
      <c r="G845" s="14"/>
      <c r="H845" s="14"/>
      <c r="I845" s="14"/>
      <c r="J845" s="120"/>
      <c r="K845" s="120"/>
      <c r="L845" s="120"/>
      <c r="M845" s="14"/>
      <c r="N845" s="14"/>
      <c r="O845" s="120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5">
      <c r="A846" s="14"/>
      <c r="B846" s="14"/>
      <c r="C846" s="14"/>
      <c r="D846" s="15"/>
      <c r="E846" s="25"/>
      <c r="F846" s="14"/>
      <c r="G846" s="14"/>
      <c r="H846" s="14"/>
      <c r="I846" s="14"/>
      <c r="J846" s="120"/>
      <c r="K846" s="120"/>
      <c r="L846" s="120"/>
      <c r="M846" s="14"/>
      <c r="N846" s="14"/>
      <c r="O846" s="120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5">
      <c r="A847" s="14"/>
      <c r="B847" s="14"/>
      <c r="C847" s="14"/>
      <c r="D847" s="15"/>
      <c r="E847" s="25"/>
      <c r="F847" s="14"/>
      <c r="G847" s="14"/>
      <c r="H847" s="14"/>
      <c r="I847" s="14"/>
      <c r="J847" s="120"/>
      <c r="K847" s="120"/>
      <c r="L847" s="120"/>
      <c r="M847" s="14"/>
      <c r="N847" s="14"/>
      <c r="O847" s="120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5">
      <c r="A848" s="14"/>
      <c r="B848" s="14"/>
      <c r="C848" s="14"/>
      <c r="D848" s="15"/>
      <c r="E848" s="25"/>
      <c r="F848" s="14"/>
      <c r="G848" s="14"/>
      <c r="H848" s="14"/>
      <c r="I848" s="14"/>
      <c r="J848" s="120"/>
      <c r="K848" s="120"/>
      <c r="L848" s="120"/>
      <c r="M848" s="14"/>
      <c r="N848" s="14"/>
      <c r="O848" s="120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5">
      <c r="A849" s="14"/>
      <c r="B849" s="14"/>
      <c r="C849" s="14"/>
      <c r="D849" s="15"/>
      <c r="E849" s="25"/>
      <c r="F849" s="14"/>
      <c r="G849" s="14"/>
      <c r="H849" s="14"/>
      <c r="I849" s="14"/>
      <c r="J849" s="120"/>
      <c r="K849" s="120"/>
      <c r="L849" s="120"/>
      <c r="M849" s="14"/>
      <c r="N849" s="14"/>
      <c r="O849" s="120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5">
      <c r="A850" s="14"/>
      <c r="B850" s="14"/>
      <c r="C850" s="14"/>
      <c r="D850" s="15"/>
      <c r="E850" s="25"/>
      <c r="F850" s="14"/>
      <c r="G850" s="14"/>
      <c r="H850" s="14"/>
      <c r="I850" s="14"/>
      <c r="J850" s="120"/>
      <c r="K850" s="120"/>
      <c r="L850" s="120"/>
      <c r="M850" s="14"/>
      <c r="N850" s="14"/>
      <c r="O850" s="120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5">
      <c r="A851" s="14"/>
      <c r="B851" s="14"/>
      <c r="C851" s="14"/>
      <c r="D851" s="15"/>
      <c r="E851" s="25"/>
      <c r="F851" s="14"/>
      <c r="G851" s="14"/>
      <c r="H851" s="14"/>
      <c r="I851" s="14"/>
      <c r="J851" s="120"/>
      <c r="K851" s="120"/>
      <c r="L851" s="120"/>
      <c r="M851" s="14"/>
      <c r="N851" s="14"/>
      <c r="O851" s="120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5">
      <c r="A852" s="14"/>
      <c r="B852" s="14"/>
      <c r="C852" s="14"/>
      <c r="D852" s="15"/>
      <c r="E852" s="25"/>
      <c r="F852" s="14"/>
      <c r="G852" s="14"/>
      <c r="H852" s="14"/>
      <c r="I852" s="14"/>
      <c r="J852" s="120"/>
      <c r="K852" s="120"/>
      <c r="L852" s="120"/>
      <c r="M852" s="14"/>
      <c r="N852" s="14"/>
      <c r="O852" s="120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5">
      <c r="A853" s="14"/>
      <c r="B853" s="14"/>
      <c r="C853" s="14"/>
      <c r="D853" s="15"/>
      <c r="E853" s="25"/>
      <c r="F853" s="14"/>
      <c r="G853" s="14"/>
      <c r="H853" s="14"/>
      <c r="I853" s="14"/>
      <c r="J853" s="120"/>
      <c r="K853" s="120"/>
      <c r="L853" s="120"/>
      <c r="M853" s="14"/>
      <c r="N853" s="14"/>
      <c r="O853" s="120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5">
      <c r="A854" s="14"/>
      <c r="B854" s="14"/>
      <c r="C854" s="14"/>
      <c r="D854" s="15"/>
      <c r="E854" s="25"/>
      <c r="F854" s="14"/>
      <c r="G854" s="14"/>
      <c r="H854" s="14"/>
      <c r="I854" s="14"/>
      <c r="J854" s="120"/>
      <c r="K854" s="120"/>
      <c r="L854" s="120"/>
      <c r="M854" s="14"/>
      <c r="N854" s="14"/>
      <c r="O854" s="120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5">
      <c r="A855" s="14"/>
      <c r="B855" s="14"/>
      <c r="C855" s="14"/>
      <c r="D855" s="15"/>
      <c r="E855" s="25"/>
      <c r="F855" s="14"/>
      <c r="G855" s="14"/>
      <c r="H855" s="14"/>
      <c r="I855" s="14"/>
      <c r="J855" s="120"/>
      <c r="K855" s="120"/>
      <c r="L855" s="120"/>
      <c r="M855" s="14"/>
      <c r="N855" s="14"/>
      <c r="O855" s="120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5">
      <c r="A856" s="14"/>
      <c r="B856" s="14"/>
      <c r="C856" s="14"/>
      <c r="D856" s="15"/>
      <c r="E856" s="25"/>
      <c r="F856" s="14"/>
      <c r="G856" s="14"/>
      <c r="H856" s="14"/>
      <c r="I856" s="14"/>
      <c r="J856" s="120"/>
      <c r="K856" s="120"/>
      <c r="L856" s="120"/>
      <c r="M856" s="14"/>
      <c r="N856" s="14"/>
      <c r="O856" s="120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5">
      <c r="A857" s="14"/>
      <c r="B857" s="14"/>
      <c r="C857" s="14"/>
      <c r="D857" s="15"/>
      <c r="E857" s="25"/>
      <c r="F857" s="14"/>
      <c r="G857" s="14"/>
      <c r="H857" s="14"/>
      <c r="I857" s="14"/>
      <c r="J857" s="120"/>
      <c r="K857" s="120"/>
      <c r="L857" s="120"/>
      <c r="M857" s="14"/>
      <c r="N857" s="14"/>
      <c r="O857" s="120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5">
      <c r="A858" s="14"/>
      <c r="B858" s="14"/>
      <c r="C858" s="14"/>
      <c r="D858" s="15"/>
      <c r="E858" s="25"/>
      <c r="F858" s="14"/>
      <c r="G858" s="14"/>
      <c r="H858" s="14"/>
      <c r="I858" s="14"/>
      <c r="J858" s="120"/>
      <c r="K858" s="120"/>
      <c r="L858" s="120"/>
      <c r="M858" s="14"/>
      <c r="N858" s="14"/>
      <c r="O858" s="120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5">
      <c r="A859" s="14"/>
      <c r="B859" s="14"/>
      <c r="C859" s="14"/>
      <c r="D859" s="15"/>
      <c r="E859" s="25"/>
      <c r="F859" s="14"/>
      <c r="G859" s="14"/>
      <c r="H859" s="14"/>
      <c r="I859" s="14"/>
      <c r="J859" s="120"/>
      <c r="K859" s="120"/>
      <c r="L859" s="120"/>
      <c r="M859" s="14"/>
      <c r="N859" s="14"/>
      <c r="O859" s="120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5">
      <c r="A860" s="14"/>
      <c r="B860" s="14"/>
      <c r="C860" s="14"/>
      <c r="D860" s="15"/>
      <c r="E860" s="25"/>
      <c r="F860" s="14"/>
      <c r="G860" s="14"/>
      <c r="H860" s="14"/>
      <c r="I860" s="14"/>
      <c r="J860" s="120"/>
      <c r="K860" s="120"/>
      <c r="L860" s="120"/>
      <c r="M860" s="14"/>
      <c r="N860" s="14"/>
      <c r="O860" s="120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5">
      <c r="A861" s="14"/>
      <c r="B861" s="14"/>
      <c r="C861" s="14"/>
      <c r="D861" s="15"/>
      <c r="E861" s="25"/>
      <c r="F861" s="14"/>
      <c r="G861" s="14"/>
      <c r="H861" s="14"/>
      <c r="I861" s="14"/>
      <c r="J861" s="120"/>
      <c r="K861" s="120"/>
      <c r="L861" s="120"/>
      <c r="M861" s="14"/>
      <c r="N861" s="14"/>
      <c r="O861" s="120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5">
      <c r="A862" s="14"/>
      <c r="B862" s="14"/>
      <c r="C862" s="14"/>
      <c r="D862" s="15"/>
      <c r="E862" s="25"/>
      <c r="F862" s="14"/>
      <c r="G862" s="14"/>
      <c r="H862" s="14"/>
      <c r="I862" s="14"/>
      <c r="J862" s="120"/>
      <c r="K862" s="120"/>
      <c r="L862" s="120"/>
      <c r="M862" s="14"/>
      <c r="N862" s="14"/>
      <c r="O862" s="120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5">
      <c r="A863" s="14"/>
      <c r="B863" s="14"/>
      <c r="C863" s="14"/>
      <c r="D863" s="15"/>
      <c r="E863" s="25"/>
      <c r="F863" s="14"/>
      <c r="G863" s="14"/>
      <c r="H863" s="14"/>
      <c r="I863" s="14"/>
      <c r="J863" s="120"/>
      <c r="K863" s="120"/>
      <c r="L863" s="120"/>
      <c r="M863" s="14"/>
      <c r="N863" s="14"/>
      <c r="O863" s="120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5">
      <c r="A864" s="14"/>
      <c r="B864" s="14"/>
      <c r="C864" s="14"/>
      <c r="D864" s="15"/>
      <c r="E864" s="25"/>
      <c r="F864" s="14"/>
      <c r="G864" s="14"/>
      <c r="H864" s="14"/>
      <c r="I864" s="14"/>
      <c r="J864" s="120"/>
      <c r="K864" s="120"/>
      <c r="L864" s="120"/>
      <c r="M864" s="14"/>
      <c r="N864" s="14"/>
      <c r="O864" s="120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5">
      <c r="A865" s="14"/>
      <c r="B865" s="14"/>
      <c r="C865" s="14"/>
      <c r="D865" s="15"/>
      <c r="E865" s="25"/>
      <c r="F865" s="14"/>
      <c r="G865" s="14"/>
      <c r="H865" s="14"/>
      <c r="I865" s="14"/>
      <c r="J865" s="120"/>
      <c r="K865" s="120"/>
      <c r="L865" s="120"/>
      <c r="M865" s="14"/>
      <c r="N865" s="14"/>
      <c r="O865" s="120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5">
      <c r="A866" s="14"/>
      <c r="B866" s="14"/>
      <c r="C866" s="14"/>
      <c r="D866" s="15"/>
      <c r="E866" s="25"/>
      <c r="F866" s="14"/>
      <c r="G866" s="14"/>
      <c r="H866" s="14"/>
      <c r="I866" s="14"/>
      <c r="J866" s="120"/>
      <c r="K866" s="120"/>
      <c r="L866" s="120"/>
      <c r="M866" s="14"/>
      <c r="N866" s="14"/>
      <c r="O866" s="120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5">
      <c r="A867" s="14"/>
      <c r="B867" s="14"/>
      <c r="C867" s="14"/>
      <c r="D867" s="15"/>
      <c r="E867" s="25"/>
      <c r="F867" s="14"/>
      <c r="G867" s="14"/>
      <c r="H867" s="14"/>
      <c r="I867" s="14"/>
      <c r="J867" s="120"/>
      <c r="K867" s="120"/>
      <c r="L867" s="120"/>
      <c r="M867" s="14"/>
      <c r="N867" s="14"/>
      <c r="O867" s="120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5">
      <c r="A868" s="14"/>
      <c r="B868" s="14"/>
      <c r="C868" s="14"/>
      <c r="D868" s="15"/>
      <c r="E868" s="25"/>
      <c r="F868" s="14"/>
      <c r="G868" s="14"/>
      <c r="H868" s="14"/>
      <c r="I868" s="14"/>
      <c r="J868" s="120"/>
      <c r="K868" s="120"/>
      <c r="L868" s="120"/>
      <c r="M868" s="14"/>
      <c r="N868" s="14"/>
      <c r="O868" s="120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5">
      <c r="A869" s="14"/>
      <c r="B869" s="14"/>
      <c r="C869" s="14"/>
      <c r="D869" s="15"/>
      <c r="E869" s="25"/>
      <c r="F869" s="14"/>
      <c r="G869" s="14"/>
      <c r="H869" s="14"/>
      <c r="I869" s="14"/>
      <c r="J869" s="120"/>
      <c r="K869" s="120"/>
      <c r="L869" s="120"/>
      <c r="M869" s="14"/>
      <c r="N869" s="14"/>
      <c r="O869" s="120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5">
      <c r="A870" s="14"/>
      <c r="B870" s="14"/>
      <c r="C870" s="14"/>
      <c r="D870" s="15"/>
      <c r="E870" s="25"/>
      <c r="F870" s="14"/>
      <c r="G870" s="14"/>
      <c r="H870" s="14"/>
      <c r="I870" s="14"/>
      <c r="J870" s="120"/>
      <c r="K870" s="120"/>
      <c r="L870" s="120"/>
      <c r="M870" s="14"/>
      <c r="N870" s="14"/>
      <c r="O870" s="120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5">
      <c r="A871" s="14"/>
      <c r="B871" s="14"/>
      <c r="C871" s="14"/>
      <c r="D871" s="15"/>
      <c r="E871" s="25"/>
      <c r="F871" s="14"/>
      <c r="G871" s="14"/>
      <c r="H871" s="14"/>
      <c r="I871" s="14"/>
      <c r="J871" s="120"/>
      <c r="K871" s="120"/>
      <c r="L871" s="120"/>
      <c r="M871" s="14"/>
      <c r="N871" s="14"/>
      <c r="O871" s="120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5">
      <c r="A872" s="14"/>
      <c r="B872" s="14"/>
      <c r="C872" s="14"/>
      <c r="D872" s="15"/>
      <c r="E872" s="25"/>
      <c r="F872" s="14"/>
      <c r="G872" s="14"/>
      <c r="H872" s="14"/>
      <c r="I872" s="14"/>
      <c r="J872" s="120"/>
      <c r="K872" s="120"/>
      <c r="L872" s="120"/>
      <c r="M872" s="14"/>
      <c r="N872" s="14"/>
      <c r="O872" s="120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5">
      <c r="A873" s="14"/>
      <c r="B873" s="14"/>
      <c r="C873" s="14"/>
      <c r="D873" s="15"/>
      <c r="E873" s="25"/>
      <c r="F873" s="14"/>
      <c r="G873" s="14"/>
      <c r="H873" s="14"/>
      <c r="I873" s="14"/>
      <c r="J873" s="120"/>
      <c r="K873" s="120"/>
      <c r="L873" s="120"/>
      <c r="M873" s="14"/>
      <c r="N873" s="14"/>
      <c r="O873" s="120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5">
      <c r="A874" s="14"/>
      <c r="B874" s="14"/>
      <c r="C874" s="14"/>
      <c r="D874" s="15"/>
      <c r="E874" s="25"/>
      <c r="F874" s="14"/>
      <c r="G874" s="14"/>
      <c r="H874" s="14"/>
      <c r="I874" s="14"/>
      <c r="J874" s="120"/>
      <c r="K874" s="120"/>
      <c r="L874" s="120"/>
      <c r="M874" s="14"/>
      <c r="N874" s="14"/>
      <c r="O874" s="120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5">
      <c r="A875" s="14"/>
      <c r="B875" s="14"/>
      <c r="C875" s="14"/>
      <c r="D875" s="15"/>
      <c r="E875" s="25"/>
      <c r="F875" s="14"/>
      <c r="G875" s="14"/>
      <c r="H875" s="14"/>
      <c r="I875" s="14"/>
      <c r="J875" s="120"/>
      <c r="K875" s="120"/>
      <c r="L875" s="120"/>
      <c r="M875" s="14"/>
      <c r="N875" s="14"/>
      <c r="O875" s="120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5">
      <c r="A876" s="14"/>
      <c r="B876" s="14"/>
      <c r="C876" s="14"/>
      <c r="D876" s="15"/>
      <c r="E876" s="25"/>
      <c r="F876" s="14"/>
      <c r="G876" s="14"/>
      <c r="H876" s="14"/>
      <c r="I876" s="14"/>
      <c r="J876" s="120"/>
      <c r="K876" s="120"/>
      <c r="L876" s="120"/>
      <c r="M876" s="14"/>
      <c r="N876" s="14"/>
      <c r="O876" s="120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5">
      <c r="A877" s="14"/>
      <c r="B877" s="14"/>
      <c r="C877" s="14"/>
      <c r="D877" s="15"/>
      <c r="E877" s="25"/>
      <c r="F877" s="14"/>
      <c r="G877" s="14"/>
      <c r="H877" s="14"/>
      <c r="I877" s="14"/>
      <c r="J877" s="120"/>
      <c r="K877" s="120"/>
      <c r="L877" s="120"/>
      <c r="M877" s="14"/>
      <c r="N877" s="14"/>
      <c r="O877" s="120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5">
      <c r="A878" s="14"/>
      <c r="B878" s="14"/>
      <c r="C878" s="14"/>
      <c r="D878" s="15"/>
      <c r="E878" s="25"/>
      <c r="F878" s="14"/>
      <c r="G878" s="14"/>
      <c r="H878" s="14"/>
      <c r="I878" s="14"/>
      <c r="J878" s="120"/>
      <c r="K878" s="120"/>
      <c r="L878" s="120"/>
      <c r="M878" s="14"/>
      <c r="N878" s="14"/>
      <c r="O878" s="120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5">
      <c r="A879" s="14"/>
      <c r="B879" s="14"/>
      <c r="C879" s="14"/>
      <c r="D879" s="15"/>
      <c r="E879" s="25"/>
      <c r="F879" s="14"/>
      <c r="G879" s="14"/>
      <c r="H879" s="14"/>
      <c r="I879" s="14"/>
      <c r="J879" s="120"/>
      <c r="K879" s="120"/>
      <c r="L879" s="120"/>
      <c r="M879" s="14"/>
      <c r="N879" s="14"/>
      <c r="O879" s="120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5">
      <c r="A880" s="14"/>
      <c r="B880" s="14"/>
      <c r="C880" s="14"/>
      <c r="D880" s="15"/>
      <c r="E880" s="25"/>
      <c r="F880" s="14"/>
      <c r="G880" s="14"/>
      <c r="H880" s="14"/>
      <c r="I880" s="14"/>
      <c r="J880" s="120"/>
      <c r="K880" s="120"/>
      <c r="L880" s="120"/>
      <c r="M880" s="14"/>
      <c r="N880" s="14"/>
      <c r="O880" s="120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5">
      <c r="A881" s="14"/>
      <c r="B881" s="14"/>
      <c r="C881" s="14"/>
      <c r="D881" s="15"/>
      <c r="E881" s="25"/>
      <c r="F881" s="14"/>
      <c r="G881" s="14"/>
      <c r="H881" s="14"/>
      <c r="I881" s="14"/>
      <c r="J881" s="120"/>
      <c r="K881" s="120"/>
      <c r="L881" s="120"/>
      <c r="M881" s="14"/>
      <c r="N881" s="14"/>
      <c r="O881" s="120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5">
      <c r="A882" s="14"/>
      <c r="B882" s="14"/>
      <c r="C882" s="14"/>
      <c r="D882" s="15"/>
      <c r="E882" s="25"/>
      <c r="F882" s="14"/>
      <c r="G882" s="14"/>
      <c r="H882" s="14"/>
      <c r="I882" s="14"/>
      <c r="J882" s="120"/>
      <c r="K882" s="120"/>
      <c r="L882" s="120"/>
      <c r="M882" s="14"/>
      <c r="N882" s="14"/>
      <c r="O882" s="120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5">
      <c r="A883" s="14"/>
      <c r="B883" s="14"/>
      <c r="C883" s="14"/>
      <c r="D883" s="15"/>
      <c r="E883" s="25"/>
      <c r="F883" s="14"/>
      <c r="G883" s="14"/>
      <c r="H883" s="14"/>
      <c r="I883" s="14"/>
      <c r="J883" s="120"/>
      <c r="K883" s="120"/>
      <c r="L883" s="120"/>
      <c r="M883" s="14"/>
      <c r="N883" s="14"/>
      <c r="O883" s="120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5">
      <c r="A884" s="14"/>
      <c r="B884" s="14"/>
      <c r="C884" s="14"/>
      <c r="D884" s="15"/>
      <c r="E884" s="25"/>
      <c r="F884" s="14"/>
      <c r="G884" s="14"/>
      <c r="H884" s="14"/>
      <c r="I884" s="14"/>
      <c r="J884" s="120"/>
      <c r="K884" s="120"/>
      <c r="L884" s="120"/>
      <c r="M884" s="14"/>
      <c r="N884" s="14"/>
      <c r="O884" s="120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5">
      <c r="A885" s="14"/>
      <c r="B885" s="14"/>
      <c r="C885" s="14"/>
      <c r="D885" s="15"/>
      <c r="E885" s="25"/>
      <c r="F885" s="14"/>
      <c r="G885" s="14"/>
      <c r="H885" s="14"/>
      <c r="I885" s="14"/>
      <c r="J885" s="120"/>
      <c r="K885" s="120"/>
      <c r="L885" s="120"/>
      <c r="M885" s="14"/>
      <c r="N885" s="14"/>
      <c r="O885" s="120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5">
      <c r="A886" s="14"/>
      <c r="B886" s="14"/>
      <c r="C886" s="14"/>
      <c r="D886" s="15"/>
      <c r="E886" s="25"/>
      <c r="F886" s="14"/>
      <c r="G886" s="14"/>
      <c r="H886" s="14"/>
      <c r="I886" s="14"/>
      <c r="J886" s="120"/>
      <c r="K886" s="120"/>
      <c r="L886" s="120"/>
      <c r="M886" s="14"/>
      <c r="N886" s="14"/>
      <c r="O886" s="120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5">
      <c r="A887" s="14"/>
      <c r="B887" s="14"/>
      <c r="C887" s="14"/>
      <c r="D887" s="15"/>
      <c r="E887" s="25"/>
      <c r="F887" s="14"/>
      <c r="G887" s="14"/>
      <c r="H887" s="14"/>
      <c r="I887" s="14"/>
      <c r="J887" s="120"/>
      <c r="K887" s="120"/>
      <c r="L887" s="120"/>
      <c r="M887" s="14"/>
      <c r="N887" s="14"/>
      <c r="O887" s="120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5">
      <c r="A888" s="14"/>
      <c r="B888" s="14"/>
      <c r="C888" s="14"/>
      <c r="D888" s="15"/>
      <c r="E888" s="25"/>
      <c r="F888" s="14"/>
      <c r="G888" s="14"/>
      <c r="H888" s="14"/>
      <c r="I888" s="14"/>
      <c r="J888" s="120"/>
      <c r="K888" s="120"/>
      <c r="L888" s="120"/>
      <c r="M888" s="14"/>
      <c r="N888" s="14"/>
      <c r="O888" s="120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5">
      <c r="A889" s="14"/>
      <c r="B889" s="14"/>
      <c r="C889" s="14"/>
      <c r="D889" s="15"/>
      <c r="E889" s="25"/>
      <c r="F889" s="14"/>
      <c r="G889" s="14"/>
      <c r="H889" s="14"/>
      <c r="I889" s="14"/>
      <c r="J889" s="120"/>
      <c r="K889" s="120"/>
      <c r="L889" s="120"/>
      <c r="M889" s="14"/>
      <c r="N889" s="14"/>
      <c r="O889" s="120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5">
      <c r="A890" s="14"/>
      <c r="B890" s="14"/>
      <c r="C890" s="14"/>
      <c r="D890" s="15"/>
      <c r="E890" s="25"/>
      <c r="F890" s="14"/>
      <c r="G890" s="14"/>
      <c r="H890" s="14"/>
      <c r="I890" s="14"/>
      <c r="J890" s="120"/>
      <c r="K890" s="120"/>
      <c r="L890" s="120"/>
      <c r="M890" s="14"/>
      <c r="N890" s="14"/>
      <c r="O890" s="120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5">
      <c r="A891" s="14"/>
      <c r="B891" s="14"/>
      <c r="C891" s="14"/>
      <c r="D891" s="15"/>
      <c r="E891" s="25"/>
      <c r="F891" s="14"/>
      <c r="G891" s="14"/>
      <c r="H891" s="14"/>
      <c r="I891" s="14"/>
      <c r="J891" s="120"/>
      <c r="K891" s="120"/>
      <c r="L891" s="120"/>
      <c r="M891" s="14"/>
      <c r="N891" s="14"/>
      <c r="O891" s="120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5">
      <c r="A892" s="14"/>
      <c r="B892" s="14"/>
      <c r="C892" s="14"/>
      <c r="D892" s="15"/>
      <c r="E892" s="25"/>
      <c r="F892" s="14"/>
      <c r="G892" s="14"/>
      <c r="H892" s="14"/>
      <c r="I892" s="14"/>
      <c r="J892" s="120"/>
      <c r="K892" s="120"/>
      <c r="L892" s="120"/>
      <c r="M892" s="14"/>
      <c r="N892" s="14"/>
      <c r="O892" s="120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5">
      <c r="A893" s="14"/>
      <c r="B893" s="14"/>
      <c r="C893" s="14"/>
      <c r="D893" s="15"/>
      <c r="E893" s="25"/>
      <c r="F893" s="14"/>
      <c r="G893" s="14"/>
      <c r="H893" s="14"/>
      <c r="I893" s="14"/>
      <c r="J893" s="120"/>
      <c r="K893" s="120"/>
      <c r="L893" s="120"/>
      <c r="M893" s="14"/>
      <c r="N893" s="14"/>
      <c r="O893" s="120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5">
      <c r="A894" s="14"/>
      <c r="B894" s="14"/>
      <c r="C894" s="14"/>
      <c r="D894" s="15"/>
      <c r="E894" s="25"/>
      <c r="F894" s="14"/>
      <c r="G894" s="14"/>
      <c r="H894" s="14"/>
      <c r="I894" s="14"/>
      <c r="J894" s="120"/>
      <c r="K894" s="120"/>
      <c r="L894" s="120"/>
      <c r="M894" s="14"/>
      <c r="N894" s="14"/>
      <c r="O894" s="120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5">
      <c r="A895" s="14"/>
      <c r="B895" s="14"/>
      <c r="C895" s="14"/>
      <c r="D895" s="15"/>
      <c r="E895" s="25"/>
      <c r="F895" s="14"/>
      <c r="G895" s="14"/>
      <c r="H895" s="14"/>
      <c r="I895" s="14"/>
      <c r="J895" s="120"/>
      <c r="K895" s="120"/>
      <c r="L895" s="120"/>
      <c r="M895" s="14"/>
      <c r="N895" s="14"/>
      <c r="O895" s="120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5">
      <c r="A896" s="14"/>
      <c r="B896" s="14"/>
      <c r="C896" s="14"/>
      <c r="D896" s="15"/>
      <c r="E896" s="25"/>
      <c r="F896" s="14"/>
      <c r="G896" s="14"/>
      <c r="H896" s="14"/>
      <c r="I896" s="14"/>
      <c r="J896" s="120"/>
      <c r="K896" s="120"/>
      <c r="L896" s="120"/>
      <c r="M896" s="14"/>
      <c r="N896" s="14"/>
      <c r="O896" s="120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5">
      <c r="A897" s="14"/>
      <c r="B897" s="14"/>
      <c r="C897" s="14"/>
      <c r="D897" s="15"/>
      <c r="E897" s="25"/>
      <c r="F897" s="14"/>
      <c r="G897" s="14"/>
      <c r="H897" s="14"/>
      <c r="I897" s="14"/>
      <c r="J897" s="120"/>
      <c r="K897" s="120"/>
      <c r="L897" s="120"/>
      <c r="M897" s="14"/>
      <c r="N897" s="14"/>
      <c r="O897" s="120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5">
      <c r="A898" s="14"/>
      <c r="B898" s="14"/>
      <c r="C898" s="14"/>
      <c r="D898" s="15"/>
      <c r="E898" s="25"/>
      <c r="F898" s="14"/>
      <c r="G898" s="14"/>
      <c r="H898" s="14"/>
      <c r="I898" s="14"/>
      <c r="J898" s="120"/>
      <c r="K898" s="120"/>
      <c r="L898" s="120"/>
      <c r="M898" s="14"/>
      <c r="N898" s="14"/>
      <c r="O898" s="120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5">
      <c r="A899" s="14"/>
      <c r="B899" s="14"/>
      <c r="C899" s="14"/>
      <c r="D899" s="15"/>
      <c r="E899" s="25"/>
      <c r="F899" s="14"/>
      <c r="G899" s="14"/>
      <c r="H899" s="14"/>
      <c r="I899" s="14"/>
      <c r="J899" s="120"/>
      <c r="K899" s="120"/>
      <c r="L899" s="120"/>
      <c r="M899" s="14"/>
      <c r="N899" s="14"/>
      <c r="O899" s="120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5">
      <c r="A900" s="14"/>
      <c r="B900" s="14"/>
      <c r="C900" s="14"/>
      <c r="D900" s="15"/>
      <c r="E900" s="25"/>
      <c r="F900" s="14"/>
      <c r="G900" s="14"/>
      <c r="H900" s="14"/>
      <c r="I900" s="14"/>
      <c r="J900" s="120"/>
      <c r="K900" s="120"/>
      <c r="L900" s="120"/>
      <c r="M900" s="14"/>
      <c r="N900" s="14"/>
      <c r="O900" s="120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5">
      <c r="A901" s="14"/>
      <c r="B901" s="14"/>
      <c r="C901" s="14"/>
      <c r="D901" s="15"/>
      <c r="E901" s="25"/>
      <c r="F901" s="14"/>
      <c r="G901" s="14"/>
      <c r="H901" s="14"/>
      <c r="I901" s="14"/>
      <c r="J901" s="120"/>
      <c r="K901" s="120"/>
      <c r="L901" s="120"/>
      <c r="M901" s="14"/>
      <c r="N901" s="14"/>
      <c r="O901" s="120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5">
      <c r="A902" s="14"/>
      <c r="B902" s="14"/>
      <c r="C902" s="14"/>
      <c r="D902" s="15"/>
      <c r="E902" s="25"/>
      <c r="F902" s="14"/>
      <c r="G902" s="14"/>
      <c r="H902" s="14"/>
      <c r="I902" s="14"/>
      <c r="J902" s="120"/>
      <c r="K902" s="120"/>
      <c r="L902" s="120"/>
      <c r="M902" s="14"/>
      <c r="N902" s="14"/>
      <c r="O902" s="120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5">
      <c r="A903" s="14"/>
      <c r="B903" s="14"/>
      <c r="C903" s="14"/>
      <c r="D903" s="15"/>
      <c r="E903" s="25"/>
      <c r="F903" s="14"/>
      <c r="G903" s="14"/>
      <c r="H903" s="14"/>
      <c r="I903" s="14"/>
      <c r="J903" s="120"/>
      <c r="K903" s="120"/>
      <c r="L903" s="120"/>
      <c r="M903" s="14"/>
      <c r="N903" s="14"/>
      <c r="O903" s="120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5">
      <c r="A904" s="14"/>
      <c r="B904" s="14"/>
      <c r="C904" s="14"/>
      <c r="D904" s="15"/>
      <c r="E904" s="25"/>
      <c r="F904" s="14"/>
      <c r="G904" s="14"/>
      <c r="H904" s="14"/>
      <c r="I904" s="14"/>
      <c r="J904" s="120"/>
      <c r="K904" s="120"/>
      <c r="L904" s="120"/>
      <c r="M904" s="14"/>
      <c r="N904" s="14"/>
      <c r="O904" s="120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5">
      <c r="A905" s="14"/>
      <c r="B905" s="14"/>
      <c r="C905" s="14"/>
      <c r="D905" s="15"/>
      <c r="E905" s="25"/>
      <c r="F905" s="14"/>
      <c r="G905" s="14"/>
      <c r="H905" s="14"/>
      <c r="I905" s="14"/>
      <c r="J905" s="120"/>
      <c r="K905" s="120"/>
      <c r="L905" s="120"/>
      <c r="M905" s="14"/>
      <c r="N905" s="14"/>
      <c r="O905" s="120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5">
      <c r="A906" s="14"/>
      <c r="B906" s="14"/>
      <c r="C906" s="14"/>
      <c r="D906" s="15"/>
      <c r="E906" s="25"/>
      <c r="F906" s="14"/>
      <c r="G906" s="14"/>
      <c r="H906" s="14"/>
      <c r="I906" s="14"/>
      <c r="J906" s="120"/>
      <c r="K906" s="120"/>
      <c r="L906" s="120"/>
      <c r="M906" s="14"/>
      <c r="N906" s="14"/>
      <c r="O906" s="120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5">
      <c r="A907" s="14"/>
      <c r="B907" s="14"/>
      <c r="C907" s="14"/>
      <c r="D907" s="15"/>
      <c r="E907" s="25"/>
      <c r="F907" s="14"/>
      <c r="G907" s="14"/>
      <c r="H907" s="14"/>
      <c r="I907" s="14"/>
      <c r="J907" s="120"/>
      <c r="K907" s="120"/>
      <c r="L907" s="120"/>
      <c r="M907" s="14"/>
      <c r="N907" s="14"/>
      <c r="O907" s="120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5">
      <c r="A908" s="14"/>
      <c r="B908" s="14"/>
      <c r="C908" s="14"/>
      <c r="D908" s="15"/>
      <c r="E908" s="25"/>
      <c r="F908" s="14"/>
      <c r="G908" s="14"/>
      <c r="H908" s="14"/>
      <c r="I908" s="14"/>
      <c r="J908" s="120"/>
      <c r="K908" s="120"/>
      <c r="L908" s="120"/>
      <c r="M908" s="14"/>
      <c r="N908" s="14"/>
      <c r="O908" s="120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5">
      <c r="A909" s="14"/>
      <c r="B909" s="14"/>
      <c r="C909" s="14"/>
      <c r="D909" s="15"/>
      <c r="E909" s="25"/>
      <c r="F909" s="14"/>
      <c r="G909" s="14"/>
      <c r="H909" s="14"/>
      <c r="I909" s="14"/>
      <c r="J909" s="120"/>
      <c r="K909" s="120"/>
      <c r="L909" s="120"/>
      <c r="M909" s="14"/>
      <c r="N909" s="14"/>
      <c r="O909" s="120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5">
      <c r="A910" s="14"/>
      <c r="B910" s="14"/>
      <c r="C910" s="14"/>
      <c r="D910" s="15"/>
      <c r="E910" s="25"/>
      <c r="F910" s="14"/>
      <c r="G910" s="14"/>
      <c r="H910" s="14"/>
      <c r="I910" s="14"/>
      <c r="J910" s="120"/>
      <c r="K910" s="120"/>
      <c r="L910" s="120"/>
      <c r="M910" s="14"/>
      <c r="N910" s="14"/>
      <c r="O910" s="120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5">
      <c r="A911" s="14"/>
      <c r="B911" s="14"/>
      <c r="C911" s="14"/>
      <c r="D911" s="15"/>
      <c r="E911" s="25"/>
      <c r="F911" s="14"/>
      <c r="G911" s="14"/>
      <c r="H911" s="14"/>
      <c r="I911" s="14"/>
      <c r="J911" s="120"/>
      <c r="K911" s="120"/>
      <c r="L911" s="120"/>
      <c r="M911" s="14"/>
      <c r="N911" s="14"/>
      <c r="O911" s="120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5">
      <c r="A912" s="14"/>
      <c r="B912" s="14"/>
      <c r="C912" s="14"/>
      <c r="D912" s="15"/>
      <c r="E912" s="25"/>
      <c r="F912" s="14"/>
      <c r="G912" s="14"/>
      <c r="H912" s="14"/>
      <c r="I912" s="14"/>
      <c r="J912" s="120"/>
      <c r="K912" s="120"/>
      <c r="L912" s="120"/>
      <c r="M912" s="14"/>
      <c r="N912" s="14"/>
      <c r="O912" s="120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5">
      <c r="A913" s="14"/>
      <c r="B913" s="14"/>
      <c r="C913" s="14"/>
      <c r="D913" s="15"/>
      <c r="E913" s="25"/>
      <c r="F913" s="14"/>
      <c r="G913" s="14"/>
      <c r="H913" s="14"/>
      <c r="I913" s="14"/>
      <c r="J913" s="120"/>
      <c r="K913" s="120"/>
      <c r="L913" s="120"/>
      <c r="M913" s="14"/>
      <c r="N913" s="14"/>
      <c r="O913" s="120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5">
      <c r="A914" s="14"/>
      <c r="B914" s="14"/>
      <c r="C914" s="14"/>
      <c r="D914" s="15"/>
      <c r="E914" s="25"/>
      <c r="F914" s="14"/>
      <c r="G914" s="14"/>
      <c r="H914" s="14"/>
      <c r="I914" s="14"/>
      <c r="J914" s="120"/>
      <c r="K914" s="120"/>
      <c r="L914" s="120"/>
      <c r="M914" s="14"/>
      <c r="N914" s="14"/>
      <c r="O914" s="120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5">
      <c r="A915" s="14"/>
      <c r="B915" s="14"/>
      <c r="C915" s="14"/>
      <c r="D915" s="15"/>
      <c r="E915" s="25"/>
      <c r="F915" s="14"/>
      <c r="G915" s="14"/>
      <c r="H915" s="14"/>
      <c r="I915" s="14"/>
      <c r="J915" s="120"/>
      <c r="K915" s="120"/>
      <c r="L915" s="120"/>
      <c r="M915" s="14"/>
      <c r="N915" s="14"/>
      <c r="O915" s="120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5">
      <c r="A916" s="14"/>
      <c r="B916" s="14"/>
      <c r="C916" s="14"/>
      <c r="D916" s="15"/>
      <c r="E916" s="25"/>
      <c r="F916" s="14"/>
      <c r="G916" s="14"/>
      <c r="H916" s="14"/>
      <c r="I916" s="14"/>
      <c r="J916" s="120"/>
      <c r="K916" s="120"/>
      <c r="L916" s="120"/>
      <c r="M916" s="14"/>
      <c r="N916" s="14"/>
      <c r="O916" s="120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5">
      <c r="A917" s="14"/>
      <c r="B917" s="14"/>
      <c r="C917" s="14"/>
      <c r="D917" s="15"/>
      <c r="E917" s="25"/>
      <c r="F917" s="14"/>
      <c r="G917" s="14"/>
      <c r="H917" s="14"/>
      <c r="I917" s="14"/>
      <c r="J917" s="120"/>
      <c r="K917" s="120"/>
      <c r="L917" s="120"/>
      <c r="M917" s="14"/>
      <c r="N917" s="14"/>
      <c r="O917" s="120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5">
      <c r="A918" s="14"/>
      <c r="B918" s="14"/>
      <c r="C918" s="14"/>
      <c r="D918" s="15"/>
      <c r="E918" s="25"/>
      <c r="F918" s="14"/>
      <c r="G918" s="14"/>
      <c r="H918" s="14"/>
      <c r="I918" s="14"/>
      <c r="J918" s="120"/>
      <c r="K918" s="120"/>
      <c r="L918" s="120"/>
      <c r="M918" s="14"/>
      <c r="N918" s="14"/>
      <c r="O918" s="120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5">
      <c r="A919" s="14"/>
      <c r="B919" s="14"/>
      <c r="C919" s="14"/>
      <c r="D919" s="15"/>
      <c r="E919" s="25"/>
      <c r="F919" s="14"/>
      <c r="G919" s="14"/>
      <c r="H919" s="14"/>
      <c r="I919" s="14"/>
      <c r="J919" s="120"/>
      <c r="K919" s="120"/>
      <c r="L919" s="120"/>
      <c r="M919" s="14"/>
      <c r="N919" s="14"/>
      <c r="O919" s="120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5">
      <c r="A920" s="14"/>
      <c r="B920" s="14"/>
      <c r="C920" s="14"/>
      <c r="D920" s="15"/>
      <c r="E920" s="25"/>
      <c r="F920" s="14"/>
      <c r="G920" s="14"/>
      <c r="H920" s="14"/>
      <c r="I920" s="14"/>
      <c r="J920" s="120"/>
      <c r="K920" s="120"/>
      <c r="L920" s="120"/>
      <c r="M920" s="14"/>
      <c r="N920" s="14"/>
      <c r="O920" s="120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5">
      <c r="A921" s="14"/>
      <c r="B921" s="14"/>
      <c r="C921" s="14"/>
      <c r="D921" s="15"/>
      <c r="E921" s="25"/>
      <c r="F921" s="14"/>
      <c r="G921" s="14"/>
      <c r="H921" s="14"/>
      <c r="I921" s="14"/>
      <c r="J921" s="120"/>
      <c r="K921" s="120"/>
      <c r="L921" s="120"/>
      <c r="M921" s="14"/>
      <c r="N921" s="14"/>
      <c r="O921" s="120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5">
      <c r="A922" s="14"/>
      <c r="B922" s="14"/>
      <c r="C922" s="14"/>
      <c r="D922" s="15"/>
      <c r="E922" s="25"/>
      <c r="F922" s="14"/>
      <c r="G922" s="14"/>
      <c r="H922" s="14"/>
      <c r="I922" s="14"/>
      <c r="J922" s="120"/>
      <c r="K922" s="120"/>
      <c r="L922" s="120"/>
      <c r="M922" s="14"/>
      <c r="N922" s="14"/>
      <c r="O922" s="120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5">
      <c r="A923" s="14"/>
      <c r="B923" s="14"/>
      <c r="C923" s="14"/>
      <c r="D923" s="15"/>
      <c r="E923" s="25"/>
      <c r="F923" s="14"/>
      <c r="G923" s="14"/>
      <c r="H923" s="14"/>
      <c r="I923" s="14"/>
      <c r="J923" s="120"/>
      <c r="K923" s="120"/>
      <c r="L923" s="120"/>
      <c r="M923" s="14"/>
      <c r="N923" s="14"/>
      <c r="O923" s="120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5">
      <c r="A924" s="14"/>
      <c r="B924" s="14"/>
      <c r="C924" s="14"/>
      <c r="D924" s="15"/>
      <c r="E924" s="25"/>
      <c r="F924" s="14"/>
      <c r="G924" s="14"/>
      <c r="H924" s="14"/>
      <c r="I924" s="14"/>
      <c r="J924" s="120"/>
      <c r="K924" s="120"/>
      <c r="L924" s="120"/>
      <c r="M924" s="14"/>
      <c r="N924" s="14"/>
      <c r="O924" s="120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5">
      <c r="A925" s="14"/>
      <c r="B925" s="14"/>
      <c r="C925" s="14"/>
      <c r="D925" s="15"/>
      <c r="E925" s="25"/>
      <c r="F925" s="14"/>
      <c r="G925" s="14"/>
      <c r="H925" s="14"/>
      <c r="I925" s="14"/>
      <c r="J925" s="120"/>
      <c r="K925" s="120"/>
      <c r="L925" s="120"/>
      <c r="M925" s="14"/>
      <c r="N925" s="14"/>
      <c r="O925" s="120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5">
      <c r="A926" s="14"/>
      <c r="B926" s="14"/>
      <c r="C926" s="14"/>
      <c r="D926" s="15"/>
      <c r="E926" s="25"/>
      <c r="F926" s="14"/>
      <c r="G926" s="14"/>
      <c r="H926" s="14"/>
      <c r="I926" s="14"/>
      <c r="J926" s="120"/>
      <c r="K926" s="120"/>
      <c r="L926" s="120"/>
      <c r="M926" s="14"/>
      <c r="N926" s="14"/>
      <c r="O926" s="120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5">
      <c r="A927" s="14"/>
      <c r="B927" s="14"/>
      <c r="C927" s="14"/>
      <c r="D927" s="15"/>
      <c r="E927" s="25"/>
      <c r="F927" s="14"/>
      <c r="G927" s="14"/>
      <c r="H927" s="14"/>
      <c r="I927" s="14"/>
      <c r="J927" s="120"/>
      <c r="K927" s="120"/>
      <c r="L927" s="120"/>
      <c r="M927" s="14"/>
      <c r="N927" s="14"/>
      <c r="O927" s="120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5">
      <c r="A928" s="14"/>
      <c r="B928" s="14"/>
      <c r="C928" s="14"/>
      <c r="D928" s="15"/>
      <c r="E928" s="25"/>
      <c r="F928" s="14"/>
      <c r="G928" s="14"/>
      <c r="H928" s="14"/>
      <c r="I928" s="14"/>
      <c r="J928" s="120"/>
      <c r="K928" s="120"/>
      <c r="L928" s="120"/>
      <c r="M928" s="14"/>
      <c r="N928" s="14"/>
      <c r="O928" s="120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5">
      <c r="A929" s="14"/>
      <c r="B929" s="14"/>
      <c r="C929" s="14"/>
      <c r="D929" s="15"/>
      <c r="E929" s="25"/>
      <c r="F929" s="14"/>
      <c r="G929" s="14"/>
      <c r="H929" s="14"/>
      <c r="I929" s="14"/>
      <c r="J929" s="120"/>
      <c r="K929" s="120"/>
      <c r="L929" s="120"/>
      <c r="M929" s="14"/>
      <c r="N929" s="14"/>
      <c r="O929" s="120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5">
      <c r="A930" s="14"/>
      <c r="B930" s="14"/>
      <c r="C930" s="14"/>
      <c r="D930" s="15"/>
      <c r="E930" s="25"/>
      <c r="F930" s="14"/>
      <c r="G930" s="14"/>
      <c r="H930" s="14"/>
      <c r="I930" s="14"/>
      <c r="J930" s="120"/>
      <c r="K930" s="120"/>
      <c r="L930" s="120"/>
      <c r="M930" s="14"/>
      <c r="N930" s="14"/>
      <c r="O930" s="120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5">
      <c r="A931" s="14"/>
      <c r="B931" s="14"/>
      <c r="C931" s="14"/>
      <c r="D931" s="15"/>
      <c r="E931" s="25"/>
      <c r="F931" s="14"/>
      <c r="G931" s="14"/>
      <c r="H931" s="14"/>
      <c r="I931" s="14"/>
      <c r="J931" s="120"/>
      <c r="K931" s="120"/>
      <c r="L931" s="120"/>
      <c r="M931" s="14"/>
      <c r="N931" s="14"/>
      <c r="O931" s="120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5">
      <c r="A932" s="14"/>
      <c r="B932" s="14"/>
      <c r="C932" s="14"/>
      <c r="D932" s="15"/>
      <c r="E932" s="25"/>
      <c r="F932" s="14"/>
      <c r="G932" s="14"/>
      <c r="H932" s="14"/>
      <c r="I932" s="14"/>
      <c r="J932" s="120"/>
      <c r="K932" s="120"/>
      <c r="L932" s="120"/>
      <c r="M932" s="14"/>
      <c r="N932" s="14"/>
      <c r="O932" s="120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5">
      <c r="A933" s="14"/>
      <c r="B933" s="14"/>
      <c r="C933" s="14"/>
      <c r="D933" s="15"/>
      <c r="E933" s="25"/>
      <c r="F933" s="14"/>
      <c r="G933" s="14"/>
      <c r="H933" s="14"/>
      <c r="I933" s="14"/>
      <c r="J933" s="120"/>
      <c r="K933" s="120"/>
      <c r="L933" s="120"/>
      <c r="M933" s="14"/>
      <c r="N933" s="14"/>
      <c r="O933" s="120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5">
      <c r="A934" s="14"/>
      <c r="B934" s="14"/>
      <c r="C934" s="14"/>
      <c r="D934" s="15"/>
      <c r="E934" s="25"/>
      <c r="F934" s="14"/>
      <c r="G934" s="14"/>
      <c r="H934" s="14"/>
      <c r="I934" s="14"/>
      <c r="J934" s="120"/>
      <c r="K934" s="120"/>
      <c r="L934" s="120"/>
      <c r="M934" s="14"/>
      <c r="N934" s="14"/>
      <c r="O934" s="120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5">
      <c r="A935" s="14"/>
      <c r="B935" s="14"/>
      <c r="C935" s="14"/>
      <c r="D935" s="15"/>
      <c r="E935" s="25"/>
      <c r="F935" s="14"/>
      <c r="G935" s="14"/>
      <c r="H935" s="14"/>
      <c r="I935" s="14"/>
      <c r="J935" s="120"/>
      <c r="K935" s="120"/>
      <c r="L935" s="120"/>
      <c r="M935" s="14"/>
      <c r="N935" s="14"/>
      <c r="O935" s="120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5">
      <c r="A936" s="14"/>
      <c r="B936" s="14"/>
      <c r="C936" s="14"/>
      <c r="D936" s="15"/>
      <c r="E936" s="25"/>
      <c r="F936" s="14"/>
      <c r="G936" s="14"/>
      <c r="H936" s="14"/>
      <c r="I936" s="14"/>
      <c r="J936" s="120"/>
      <c r="K936" s="120"/>
      <c r="L936" s="120"/>
      <c r="M936" s="14"/>
      <c r="N936" s="14"/>
      <c r="O936" s="120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5">
      <c r="A937" s="14"/>
      <c r="B937" s="14"/>
      <c r="C937" s="14"/>
      <c r="D937" s="15"/>
      <c r="E937" s="25"/>
      <c r="F937" s="14"/>
      <c r="G937" s="14"/>
      <c r="H937" s="14"/>
      <c r="I937" s="14"/>
      <c r="J937" s="120"/>
      <c r="K937" s="120"/>
      <c r="L937" s="120"/>
      <c r="M937" s="14"/>
      <c r="N937" s="14"/>
      <c r="O937" s="120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5">
      <c r="A938" s="14"/>
      <c r="B938" s="14"/>
      <c r="C938" s="14"/>
      <c r="D938" s="15"/>
      <c r="E938" s="25"/>
      <c r="F938" s="14"/>
      <c r="G938" s="14"/>
      <c r="H938" s="14"/>
      <c r="I938" s="14"/>
      <c r="J938" s="120"/>
      <c r="K938" s="120"/>
      <c r="L938" s="120"/>
      <c r="M938" s="14"/>
      <c r="N938" s="14"/>
      <c r="O938" s="120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5">
      <c r="A939" s="14"/>
      <c r="B939" s="14"/>
      <c r="C939" s="14"/>
      <c r="D939" s="15"/>
      <c r="E939" s="25"/>
      <c r="F939" s="14"/>
      <c r="G939" s="14"/>
      <c r="H939" s="14"/>
      <c r="I939" s="14"/>
      <c r="J939" s="120"/>
      <c r="K939" s="120"/>
      <c r="L939" s="120"/>
      <c r="M939" s="14"/>
      <c r="N939" s="14"/>
      <c r="O939" s="120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5">
      <c r="A940" s="14"/>
      <c r="B940" s="14"/>
      <c r="C940" s="14"/>
      <c r="D940" s="15"/>
      <c r="E940" s="25"/>
      <c r="F940" s="14"/>
      <c r="G940" s="14"/>
      <c r="H940" s="14"/>
      <c r="I940" s="14"/>
      <c r="J940" s="120"/>
      <c r="K940" s="120"/>
      <c r="L940" s="120"/>
      <c r="M940" s="14"/>
      <c r="N940" s="14"/>
      <c r="O940" s="120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5">
      <c r="A941" s="14"/>
      <c r="B941" s="14"/>
      <c r="C941" s="14"/>
      <c r="D941" s="15"/>
      <c r="E941" s="25"/>
      <c r="F941" s="14"/>
      <c r="G941" s="14"/>
      <c r="H941" s="14"/>
      <c r="I941" s="14"/>
      <c r="J941" s="120"/>
      <c r="K941" s="120"/>
      <c r="L941" s="120"/>
      <c r="M941" s="14"/>
      <c r="N941" s="14"/>
      <c r="O941" s="120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5">
      <c r="A942" s="14"/>
      <c r="B942" s="14"/>
      <c r="C942" s="14"/>
      <c r="D942" s="15"/>
      <c r="E942" s="25"/>
      <c r="F942" s="14"/>
      <c r="G942" s="14"/>
      <c r="H942" s="14"/>
      <c r="I942" s="14"/>
      <c r="J942" s="120"/>
      <c r="K942" s="120"/>
      <c r="L942" s="120"/>
      <c r="M942" s="14"/>
      <c r="N942" s="14"/>
      <c r="O942" s="120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5">
      <c r="A943" s="14"/>
      <c r="B943" s="14"/>
      <c r="C943" s="14"/>
      <c r="D943" s="15"/>
      <c r="E943" s="25"/>
      <c r="F943" s="14"/>
      <c r="G943" s="14"/>
      <c r="H943" s="14"/>
      <c r="I943" s="14"/>
      <c r="J943" s="120"/>
      <c r="K943" s="120"/>
      <c r="L943" s="120"/>
      <c r="M943" s="14"/>
      <c r="N943" s="14"/>
      <c r="O943" s="120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5">
      <c r="A944" s="14"/>
      <c r="B944" s="14"/>
      <c r="C944" s="14"/>
      <c r="D944" s="15"/>
      <c r="E944" s="25"/>
      <c r="F944" s="14"/>
      <c r="G944" s="14"/>
      <c r="H944" s="14"/>
      <c r="I944" s="14"/>
      <c r="J944" s="120"/>
      <c r="K944" s="120"/>
      <c r="L944" s="120"/>
      <c r="M944" s="14"/>
      <c r="N944" s="14"/>
      <c r="O944" s="120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5">
      <c r="A945" s="14"/>
      <c r="B945" s="14"/>
      <c r="C945" s="14"/>
      <c r="D945" s="15"/>
      <c r="E945" s="25"/>
      <c r="F945" s="14"/>
      <c r="G945" s="14"/>
      <c r="H945" s="14"/>
      <c r="I945" s="14"/>
      <c r="J945" s="120"/>
      <c r="K945" s="120"/>
      <c r="L945" s="120"/>
      <c r="M945" s="14"/>
      <c r="N945" s="14"/>
      <c r="O945" s="120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5">
      <c r="A946" s="14"/>
      <c r="B946" s="14"/>
      <c r="C946" s="14"/>
      <c r="D946" s="15"/>
      <c r="E946" s="25"/>
      <c r="F946" s="14"/>
      <c r="G946" s="14"/>
      <c r="H946" s="14"/>
      <c r="I946" s="14"/>
      <c r="J946" s="120"/>
      <c r="K946" s="120"/>
      <c r="L946" s="120"/>
      <c r="M946" s="14"/>
      <c r="N946" s="14"/>
      <c r="O946" s="120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5">
      <c r="A947" s="14"/>
      <c r="B947" s="14"/>
      <c r="C947" s="14"/>
      <c r="D947" s="15"/>
      <c r="E947" s="25"/>
      <c r="F947" s="14"/>
      <c r="G947" s="14"/>
      <c r="H947" s="14"/>
      <c r="I947" s="14"/>
      <c r="J947" s="120"/>
      <c r="K947" s="120"/>
      <c r="L947" s="120"/>
      <c r="M947" s="14"/>
      <c r="N947" s="14"/>
      <c r="O947" s="120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5">
      <c r="A948" s="14"/>
      <c r="B948" s="14"/>
      <c r="C948" s="14"/>
      <c r="D948" s="15"/>
      <c r="E948" s="25"/>
      <c r="F948" s="14"/>
      <c r="G948" s="14"/>
      <c r="H948" s="14"/>
      <c r="I948" s="14"/>
      <c r="J948" s="120"/>
      <c r="K948" s="120"/>
      <c r="L948" s="120"/>
      <c r="M948" s="14"/>
      <c r="N948" s="14"/>
      <c r="O948" s="120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5">
      <c r="A949" s="14"/>
      <c r="B949" s="14"/>
      <c r="C949" s="14"/>
      <c r="D949" s="15"/>
      <c r="E949" s="25"/>
      <c r="F949" s="14"/>
      <c r="G949" s="14"/>
      <c r="H949" s="14"/>
      <c r="I949" s="14"/>
      <c r="J949" s="120"/>
      <c r="K949" s="120"/>
      <c r="L949" s="120"/>
      <c r="M949" s="14"/>
      <c r="N949" s="14"/>
      <c r="O949" s="120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5">
      <c r="A950" s="14"/>
      <c r="B950" s="14"/>
      <c r="C950" s="14"/>
      <c r="D950" s="15"/>
      <c r="E950" s="25"/>
      <c r="F950" s="14"/>
      <c r="G950" s="14"/>
      <c r="H950" s="14"/>
      <c r="I950" s="14"/>
      <c r="J950" s="120"/>
      <c r="K950" s="120"/>
      <c r="L950" s="120"/>
      <c r="M950" s="14"/>
      <c r="N950" s="14"/>
      <c r="O950" s="120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5">
      <c r="A951" s="14"/>
      <c r="B951" s="14"/>
      <c r="C951" s="14"/>
      <c r="D951" s="15"/>
      <c r="E951" s="25"/>
      <c r="F951" s="14"/>
      <c r="G951" s="14"/>
      <c r="H951" s="14"/>
      <c r="I951" s="14"/>
      <c r="J951" s="120"/>
      <c r="K951" s="120"/>
      <c r="L951" s="120"/>
      <c r="M951" s="14"/>
      <c r="N951" s="14"/>
      <c r="O951" s="120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5">
      <c r="A952" s="14"/>
      <c r="B952" s="14"/>
      <c r="C952" s="14"/>
      <c r="D952" s="15"/>
      <c r="E952" s="25"/>
      <c r="F952" s="14"/>
      <c r="G952" s="14"/>
      <c r="H952" s="14"/>
      <c r="I952" s="14"/>
      <c r="J952" s="120"/>
      <c r="K952" s="120"/>
      <c r="L952" s="120"/>
      <c r="M952" s="14"/>
      <c r="N952" s="14"/>
      <c r="O952" s="120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5">
      <c r="A953" s="14"/>
      <c r="B953" s="14"/>
      <c r="C953" s="14"/>
      <c r="D953" s="15"/>
      <c r="E953" s="25"/>
      <c r="F953" s="14"/>
      <c r="G953" s="14"/>
      <c r="H953" s="14"/>
      <c r="I953" s="14"/>
      <c r="J953" s="120"/>
      <c r="K953" s="120"/>
      <c r="L953" s="120"/>
      <c r="M953" s="14"/>
      <c r="N953" s="14"/>
      <c r="O953" s="120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5">
      <c r="A954" s="14"/>
      <c r="B954" s="14"/>
      <c r="C954" s="14"/>
      <c r="D954" s="15"/>
      <c r="E954" s="25"/>
      <c r="F954" s="14"/>
      <c r="G954" s="14"/>
      <c r="H954" s="14"/>
      <c r="I954" s="14"/>
      <c r="J954" s="120"/>
      <c r="K954" s="120"/>
      <c r="L954" s="120"/>
      <c r="M954" s="14"/>
      <c r="N954" s="14"/>
      <c r="O954" s="120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5">
      <c r="A955" s="14"/>
      <c r="B955" s="14"/>
      <c r="C955" s="14"/>
      <c r="D955" s="15"/>
      <c r="E955" s="25"/>
      <c r="F955" s="14"/>
      <c r="G955" s="14"/>
      <c r="H955" s="14"/>
      <c r="I955" s="14"/>
      <c r="J955" s="120"/>
      <c r="K955" s="120"/>
      <c r="L955" s="120"/>
      <c r="M955" s="14"/>
      <c r="N955" s="14"/>
      <c r="O955" s="120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5">
      <c r="A956" s="14"/>
      <c r="B956" s="14"/>
      <c r="C956" s="14"/>
      <c r="D956" s="15"/>
      <c r="E956" s="25"/>
      <c r="F956" s="14"/>
      <c r="G956" s="14"/>
      <c r="H956" s="14"/>
      <c r="I956" s="14"/>
      <c r="J956" s="120"/>
      <c r="K956" s="120"/>
      <c r="L956" s="120"/>
      <c r="M956" s="14"/>
      <c r="N956" s="14"/>
      <c r="O956" s="120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5">
      <c r="A957" s="14"/>
      <c r="B957" s="14"/>
      <c r="C957" s="14"/>
      <c r="D957" s="15"/>
      <c r="E957" s="25"/>
      <c r="F957" s="14"/>
      <c r="G957" s="14"/>
      <c r="H957" s="14"/>
      <c r="I957" s="14"/>
      <c r="J957" s="120"/>
      <c r="K957" s="120"/>
      <c r="L957" s="120"/>
      <c r="M957" s="14"/>
      <c r="N957" s="14"/>
      <c r="O957" s="120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5">
      <c r="A958" s="14"/>
      <c r="B958" s="14"/>
      <c r="C958" s="14"/>
      <c r="D958" s="15"/>
      <c r="E958" s="25"/>
      <c r="F958" s="14"/>
      <c r="G958" s="14"/>
      <c r="H958" s="14"/>
      <c r="I958" s="14"/>
      <c r="J958" s="120"/>
      <c r="K958" s="120"/>
      <c r="L958" s="120"/>
      <c r="M958" s="14"/>
      <c r="N958" s="14"/>
      <c r="O958" s="120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5">
      <c r="A959" s="14"/>
      <c r="B959" s="14"/>
      <c r="C959" s="14"/>
      <c r="D959" s="15"/>
      <c r="E959" s="25"/>
      <c r="F959" s="14"/>
      <c r="G959" s="14"/>
      <c r="H959" s="14"/>
      <c r="I959" s="14"/>
      <c r="J959" s="120"/>
      <c r="K959" s="120"/>
      <c r="L959" s="120"/>
      <c r="M959" s="14"/>
      <c r="N959" s="14"/>
      <c r="O959" s="120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5">
      <c r="A960" s="14"/>
      <c r="B960" s="14"/>
      <c r="C960" s="14"/>
      <c r="D960" s="15"/>
      <c r="E960" s="25"/>
      <c r="F960" s="14"/>
      <c r="G960" s="14"/>
      <c r="H960" s="14"/>
      <c r="I960" s="14"/>
      <c r="J960" s="120"/>
      <c r="K960" s="120"/>
      <c r="L960" s="120"/>
      <c r="M960" s="14"/>
      <c r="N960" s="14"/>
      <c r="O960" s="120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5">
      <c r="A961" s="14"/>
      <c r="B961" s="14"/>
      <c r="C961" s="14"/>
      <c r="D961" s="15"/>
      <c r="E961" s="25"/>
      <c r="F961" s="14"/>
      <c r="G961" s="14"/>
      <c r="H961" s="14"/>
      <c r="I961" s="14"/>
      <c r="J961" s="120"/>
      <c r="K961" s="120"/>
      <c r="L961" s="120"/>
      <c r="M961" s="14"/>
      <c r="N961" s="14"/>
      <c r="O961" s="120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5">
      <c r="A962" s="14"/>
      <c r="B962" s="14"/>
      <c r="C962" s="14"/>
      <c r="D962" s="15"/>
      <c r="E962" s="25"/>
      <c r="F962" s="14"/>
      <c r="G962" s="14"/>
      <c r="H962" s="14"/>
      <c r="I962" s="14"/>
      <c r="J962" s="120"/>
      <c r="K962" s="120"/>
      <c r="L962" s="120"/>
      <c r="M962" s="14"/>
      <c r="N962" s="14"/>
      <c r="O962" s="120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5">
      <c r="A963" s="14"/>
      <c r="B963" s="14"/>
      <c r="C963" s="14"/>
      <c r="D963" s="15"/>
      <c r="E963" s="25"/>
      <c r="F963" s="14"/>
      <c r="G963" s="14"/>
      <c r="H963" s="14"/>
      <c r="I963" s="14"/>
      <c r="J963" s="120"/>
      <c r="K963" s="120"/>
      <c r="L963" s="120"/>
      <c r="M963" s="14"/>
      <c r="N963" s="14"/>
      <c r="O963" s="120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5">
      <c r="A964" s="14"/>
      <c r="B964" s="14"/>
      <c r="C964" s="14"/>
      <c r="D964" s="15"/>
      <c r="E964" s="25"/>
      <c r="F964" s="14"/>
      <c r="G964" s="14"/>
      <c r="H964" s="14"/>
      <c r="I964" s="14"/>
      <c r="J964" s="120"/>
      <c r="K964" s="120"/>
      <c r="L964" s="120"/>
      <c r="M964" s="14"/>
      <c r="N964" s="14"/>
      <c r="O964" s="120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5">
      <c r="A965" s="14"/>
      <c r="B965" s="14"/>
      <c r="C965" s="14"/>
      <c r="D965" s="15"/>
      <c r="E965" s="25"/>
      <c r="F965" s="14"/>
      <c r="G965" s="14"/>
      <c r="H965" s="14"/>
      <c r="I965" s="14"/>
      <c r="J965" s="120"/>
      <c r="K965" s="120"/>
      <c r="L965" s="120"/>
      <c r="M965" s="14"/>
      <c r="N965" s="14"/>
      <c r="O965" s="120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5">
      <c r="A966" s="14"/>
      <c r="B966" s="14"/>
      <c r="C966" s="14"/>
      <c r="D966" s="15"/>
      <c r="E966" s="25"/>
      <c r="F966" s="14"/>
      <c r="G966" s="14"/>
      <c r="H966" s="14"/>
      <c r="I966" s="14"/>
      <c r="J966" s="120"/>
      <c r="K966" s="120"/>
      <c r="L966" s="120"/>
      <c r="M966" s="14"/>
      <c r="N966" s="14"/>
      <c r="O966" s="120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5">
      <c r="A967" s="14"/>
      <c r="B967" s="14"/>
      <c r="C967" s="14"/>
      <c r="D967" s="15"/>
      <c r="E967" s="25"/>
      <c r="F967" s="14"/>
      <c r="G967" s="14"/>
      <c r="H967" s="14"/>
      <c r="I967" s="14"/>
      <c r="J967" s="120"/>
      <c r="K967" s="120"/>
      <c r="L967" s="120"/>
      <c r="M967" s="14"/>
      <c r="N967" s="14"/>
      <c r="O967" s="120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5">
      <c r="A968" s="14"/>
      <c r="B968" s="14"/>
      <c r="C968" s="14"/>
      <c r="D968" s="15"/>
      <c r="E968" s="25"/>
      <c r="F968" s="14"/>
      <c r="G968" s="14"/>
      <c r="H968" s="14"/>
      <c r="I968" s="14"/>
      <c r="J968" s="120"/>
      <c r="K968" s="120"/>
      <c r="L968" s="120"/>
      <c r="M968" s="14"/>
      <c r="N968" s="14"/>
      <c r="O968" s="120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5">
      <c r="A969" s="14"/>
      <c r="B969" s="14"/>
      <c r="C969" s="14"/>
      <c r="D969" s="15"/>
      <c r="E969" s="25"/>
      <c r="F969" s="14"/>
      <c r="G969" s="14"/>
      <c r="H969" s="14"/>
      <c r="I969" s="14"/>
      <c r="J969" s="120"/>
      <c r="K969" s="120"/>
      <c r="L969" s="120"/>
      <c r="M969" s="14"/>
      <c r="N969" s="14"/>
      <c r="O969" s="120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5">
      <c r="A970" s="14"/>
      <c r="B970" s="14"/>
      <c r="C970" s="14"/>
      <c r="D970" s="15"/>
      <c r="E970" s="25"/>
      <c r="F970" s="14"/>
      <c r="G970" s="14"/>
      <c r="H970" s="14"/>
      <c r="I970" s="14"/>
      <c r="J970" s="120"/>
      <c r="K970" s="120"/>
      <c r="L970" s="120"/>
      <c r="M970" s="14"/>
      <c r="N970" s="14"/>
      <c r="O970" s="120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5">
      <c r="A971" s="14"/>
      <c r="B971" s="14"/>
      <c r="C971" s="14"/>
      <c r="D971" s="15"/>
      <c r="E971" s="25"/>
      <c r="F971" s="14"/>
      <c r="G971" s="14"/>
      <c r="H971" s="14"/>
      <c r="I971" s="14"/>
      <c r="J971" s="120"/>
      <c r="K971" s="120"/>
      <c r="L971" s="120"/>
      <c r="M971" s="14"/>
      <c r="N971" s="14"/>
      <c r="O971" s="120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5">
      <c r="A972" s="14"/>
      <c r="B972" s="14"/>
      <c r="C972" s="14"/>
      <c r="D972" s="15"/>
      <c r="E972" s="25"/>
      <c r="F972" s="14"/>
      <c r="G972" s="14"/>
      <c r="H972" s="14"/>
      <c r="I972" s="14"/>
      <c r="J972" s="120"/>
      <c r="K972" s="120"/>
      <c r="L972" s="120"/>
      <c r="M972" s="14"/>
      <c r="N972" s="14"/>
      <c r="O972" s="120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5">
      <c r="A973" s="14"/>
      <c r="B973" s="14"/>
      <c r="C973" s="14"/>
      <c r="D973" s="15"/>
      <c r="E973" s="25"/>
      <c r="F973" s="14"/>
      <c r="G973" s="14"/>
      <c r="H973" s="14"/>
      <c r="I973" s="14"/>
      <c r="J973" s="120"/>
      <c r="K973" s="120"/>
      <c r="L973" s="120"/>
      <c r="M973" s="14"/>
      <c r="N973" s="14"/>
      <c r="O973" s="120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5">
      <c r="A974" s="14"/>
      <c r="B974" s="14"/>
      <c r="C974" s="14"/>
      <c r="D974" s="15"/>
      <c r="E974" s="25"/>
      <c r="F974" s="14"/>
      <c r="G974" s="14"/>
      <c r="H974" s="14"/>
      <c r="I974" s="14"/>
      <c r="J974" s="120"/>
      <c r="K974" s="120"/>
      <c r="L974" s="120"/>
      <c r="M974" s="14"/>
      <c r="N974" s="14"/>
      <c r="O974" s="120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5">
      <c r="A975" s="14"/>
      <c r="B975" s="14"/>
      <c r="C975" s="14"/>
      <c r="D975" s="15"/>
      <c r="E975" s="25"/>
      <c r="F975" s="14"/>
      <c r="G975" s="14"/>
      <c r="H975" s="14"/>
      <c r="I975" s="14"/>
      <c r="J975" s="120"/>
      <c r="K975" s="120"/>
      <c r="L975" s="120"/>
      <c r="M975" s="14"/>
      <c r="N975" s="14"/>
      <c r="O975" s="120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5">
      <c r="A976" s="14"/>
      <c r="B976" s="14"/>
      <c r="C976" s="14"/>
      <c r="D976" s="15"/>
      <c r="E976" s="25"/>
      <c r="F976" s="14"/>
      <c r="G976" s="14"/>
      <c r="H976" s="14"/>
      <c r="I976" s="14"/>
      <c r="J976" s="120"/>
      <c r="K976" s="120"/>
      <c r="L976" s="120"/>
      <c r="M976" s="14"/>
      <c r="N976" s="14"/>
      <c r="O976" s="120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5">
      <c r="A977" s="14"/>
      <c r="B977" s="14"/>
      <c r="C977" s="14"/>
      <c r="D977" s="15"/>
      <c r="E977" s="25"/>
      <c r="F977" s="14"/>
      <c r="G977" s="14"/>
      <c r="H977" s="14"/>
      <c r="I977" s="14"/>
      <c r="J977" s="120"/>
      <c r="K977" s="120"/>
      <c r="L977" s="120"/>
      <c r="M977" s="14"/>
      <c r="N977" s="14"/>
      <c r="O977" s="120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5">
      <c r="A978" s="14"/>
      <c r="B978" s="14"/>
      <c r="C978" s="14"/>
      <c r="D978" s="15"/>
      <c r="E978" s="25"/>
      <c r="F978" s="14"/>
      <c r="G978" s="14"/>
      <c r="H978" s="14"/>
      <c r="I978" s="14"/>
      <c r="J978" s="120"/>
      <c r="K978" s="120"/>
      <c r="L978" s="120"/>
      <c r="M978" s="14"/>
      <c r="N978" s="14"/>
      <c r="O978" s="120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5">
      <c r="A979" s="14"/>
      <c r="B979" s="14"/>
      <c r="C979" s="14"/>
      <c r="D979" s="15"/>
      <c r="E979" s="25"/>
      <c r="F979" s="14"/>
      <c r="G979" s="14"/>
      <c r="H979" s="14"/>
      <c r="I979" s="14"/>
      <c r="J979" s="120"/>
      <c r="K979" s="120"/>
      <c r="L979" s="120"/>
      <c r="M979" s="14"/>
      <c r="N979" s="14"/>
      <c r="O979" s="120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5">
      <c r="A980" s="14"/>
      <c r="B980" s="14"/>
      <c r="C980" s="14"/>
      <c r="D980" s="15"/>
      <c r="E980" s="25"/>
      <c r="F980" s="14"/>
      <c r="G980" s="14"/>
      <c r="H980" s="14"/>
      <c r="I980" s="14"/>
      <c r="J980" s="120"/>
      <c r="K980" s="120"/>
      <c r="L980" s="120"/>
      <c r="M980" s="14"/>
      <c r="N980" s="14"/>
      <c r="O980" s="120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5">
      <c r="A981" s="14"/>
      <c r="B981" s="14"/>
      <c r="C981" s="14"/>
      <c r="D981" s="15"/>
      <c r="E981" s="25"/>
      <c r="F981" s="14"/>
      <c r="G981" s="14"/>
      <c r="H981" s="14"/>
      <c r="I981" s="14"/>
      <c r="J981" s="120"/>
      <c r="K981" s="120"/>
      <c r="L981" s="120"/>
      <c r="M981" s="14"/>
      <c r="N981" s="14"/>
      <c r="O981" s="120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5">
      <c r="A982" s="14"/>
      <c r="B982" s="14"/>
      <c r="C982" s="14"/>
      <c r="D982" s="15"/>
      <c r="E982" s="25"/>
      <c r="F982" s="14"/>
      <c r="G982" s="14"/>
      <c r="H982" s="14"/>
      <c r="I982" s="14"/>
      <c r="J982" s="120"/>
      <c r="K982" s="120"/>
      <c r="L982" s="120"/>
      <c r="M982" s="14"/>
      <c r="N982" s="14"/>
      <c r="O982" s="120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5">
      <c r="A983" s="14"/>
      <c r="B983" s="14"/>
      <c r="C983" s="14"/>
      <c r="D983" s="15"/>
      <c r="E983" s="25"/>
      <c r="F983" s="14"/>
      <c r="G983" s="14"/>
      <c r="H983" s="14"/>
      <c r="I983" s="14"/>
      <c r="J983" s="120"/>
      <c r="K983" s="120"/>
      <c r="L983" s="120"/>
      <c r="M983" s="14"/>
      <c r="N983" s="14"/>
      <c r="O983" s="120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5">
      <c r="A984" s="14"/>
      <c r="B984" s="14"/>
      <c r="C984" s="14"/>
      <c r="D984" s="15"/>
      <c r="E984" s="25"/>
      <c r="F984" s="14"/>
      <c r="G984" s="14"/>
      <c r="H984" s="14"/>
      <c r="I984" s="14"/>
      <c r="J984" s="120"/>
      <c r="K984" s="120"/>
      <c r="L984" s="120"/>
      <c r="M984" s="14"/>
      <c r="N984" s="14"/>
      <c r="O984" s="120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5">
      <c r="A985" s="14"/>
      <c r="B985" s="14"/>
      <c r="C985" s="14"/>
      <c r="D985" s="15"/>
      <c r="E985" s="25"/>
      <c r="F985" s="14"/>
      <c r="G985" s="14"/>
      <c r="H985" s="14"/>
      <c r="I985" s="14"/>
      <c r="J985" s="120"/>
      <c r="K985" s="120"/>
      <c r="L985" s="120"/>
      <c r="M985" s="14"/>
      <c r="N985" s="14"/>
      <c r="O985" s="120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5">
      <c r="A986" s="14"/>
      <c r="B986" s="14"/>
      <c r="C986" s="14"/>
      <c r="D986" s="15"/>
      <c r="E986" s="25"/>
      <c r="F986" s="14"/>
      <c r="G986" s="14"/>
      <c r="H986" s="14"/>
      <c r="I986" s="14"/>
      <c r="J986" s="120"/>
      <c r="K986" s="120"/>
      <c r="L986" s="120"/>
      <c r="M986" s="14"/>
      <c r="N986" s="14"/>
      <c r="O986" s="120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5">
      <c r="A987" s="14"/>
      <c r="B987" s="14"/>
      <c r="C987" s="14"/>
      <c r="D987" s="15"/>
      <c r="E987" s="25"/>
      <c r="F987" s="14"/>
      <c r="G987" s="14"/>
      <c r="H987" s="14"/>
      <c r="I987" s="14"/>
      <c r="J987" s="120"/>
      <c r="K987" s="120"/>
      <c r="L987" s="120"/>
      <c r="M987" s="14"/>
      <c r="N987" s="14"/>
      <c r="O987" s="120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5">
      <c r="A988" s="14"/>
      <c r="B988" s="14"/>
      <c r="C988" s="14"/>
      <c r="D988" s="15"/>
      <c r="E988" s="25"/>
      <c r="F988" s="14"/>
      <c r="G988" s="14"/>
      <c r="H988" s="14"/>
      <c r="I988" s="14"/>
      <c r="J988" s="120"/>
      <c r="K988" s="120"/>
      <c r="L988" s="120"/>
      <c r="M988" s="14"/>
      <c r="N988" s="14"/>
      <c r="O988" s="120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5">
      <c r="A989" s="14"/>
      <c r="B989" s="14"/>
      <c r="C989" s="14"/>
      <c r="D989" s="15"/>
      <c r="E989" s="25"/>
      <c r="F989" s="14"/>
      <c r="G989" s="14"/>
      <c r="H989" s="14"/>
      <c r="I989" s="14"/>
      <c r="J989" s="120"/>
      <c r="K989" s="120"/>
      <c r="L989" s="120"/>
      <c r="M989" s="14"/>
      <c r="N989" s="14"/>
      <c r="O989" s="120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5">
      <c r="A990" s="14"/>
      <c r="B990" s="14"/>
      <c r="C990" s="14"/>
      <c r="D990" s="15"/>
      <c r="E990" s="25"/>
      <c r="F990" s="14"/>
      <c r="G990" s="14"/>
      <c r="H990" s="14"/>
      <c r="I990" s="14"/>
      <c r="J990" s="120"/>
      <c r="K990" s="120"/>
      <c r="L990" s="120"/>
      <c r="M990" s="14"/>
      <c r="N990" s="14"/>
      <c r="O990" s="120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x14ac:dyDescent="0.25">
      <c r="A991" s="14"/>
      <c r="B991" s="14"/>
      <c r="C991" s="14"/>
      <c r="D991" s="15"/>
      <c r="E991" s="14"/>
      <c r="F991" s="14"/>
      <c r="G991" s="14"/>
      <c r="H991" s="14"/>
      <c r="I991" s="14"/>
      <c r="J991" s="120"/>
      <c r="K991" s="120"/>
      <c r="L991" s="120"/>
      <c r="M991" s="14"/>
      <c r="N991" s="14"/>
      <c r="O991" s="120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x14ac:dyDescent="0.25">
      <c r="A992" s="14"/>
      <c r="B992" s="14"/>
      <c r="C992" s="14"/>
      <c r="D992" s="15"/>
      <c r="E992" s="14"/>
      <c r="F992" s="14"/>
      <c r="G992" s="14"/>
      <c r="H992" s="14"/>
      <c r="I992" s="14"/>
      <c r="J992" s="120"/>
      <c r="K992" s="120"/>
      <c r="L992" s="120"/>
      <c r="M992" s="14"/>
      <c r="N992" s="14"/>
      <c r="O992" s="120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x14ac:dyDescent="0.25">
      <c r="A993" s="14"/>
      <c r="B993" s="14"/>
      <c r="C993" s="14"/>
      <c r="D993" s="15"/>
      <c r="E993" s="14"/>
      <c r="F993" s="14"/>
      <c r="G993" s="14"/>
      <c r="H993" s="14"/>
      <c r="I993" s="14"/>
      <c r="J993" s="120"/>
      <c r="K993" s="120"/>
      <c r="L993" s="120"/>
      <c r="M993" s="14"/>
      <c r="N993" s="14"/>
      <c r="O993" s="120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x14ac:dyDescent="0.25">
      <c r="A994" s="14"/>
      <c r="B994" s="14"/>
      <c r="C994" s="14"/>
      <c r="D994" s="15"/>
      <c r="E994" s="14"/>
      <c r="F994" s="14"/>
      <c r="G994" s="14"/>
      <c r="H994" s="14"/>
      <c r="I994" s="14"/>
      <c r="J994" s="120"/>
      <c r="K994" s="120"/>
      <c r="L994" s="120"/>
      <c r="M994" s="14"/>
      <c r="N994" s="14"/>
      <c r="O994" s="120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x14ac:dyDescent="0.25">
      <c r="A995" s="14"/>
      <c r="B995" s="14"/>
      <c r="C995" s="14"/>
      <c r="D995" s="15"/>
      <c r="E995" s="14"/>
      <c r="F995" s="14"/>
      <c r="G995" s="14"/>
      <c r="H995" s="14"/>
      <c r="I995" s="14"/>
      <c r="J995" s="120"/>
      <c r="K995" s="120"/>
      <c r="L995" s="120"/>
      <c r="M995" s="14"/>
      <c r="N995" s="14"/>
      <c r="O995" s="120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x14ac:dyDescent="0.25">
      <c r="A996" s="14"/>
      <c r="B996" s="14"/>
      <c r="C996" s="14"/>
      <c r="D996" s="15"/>
      <c r="E996" s="14"/>
      <c r="F996" s="14"/>
      <c r="G996" s="14"/>
      <c r="H996" s="14"/>
      <c r="I996" s="14"/>
      <c r="J996" s="120"/>
      <c r="K996" s="120"/>
      <c r="L996" s="120"/>
      <c r="M996" s="14"/>
      <c r="N996" s="14"/>
      <c r="O996" s="120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</sheetData>
  <autoFilter ref="B1:X79" xr:uid="{00000000-0009-0000-0000-000002000000}"/>
  <conditionalFormatting sqref="U55:U57 M2:M73">
    <cfRule type="containsText" dxfId="609" priority="1" operator="containsText" text="AL DIA">
      <formula>NOT(ISERROR(SEARCH(("AL DIA"),(M2))))</formula>
    </cfRule>
  </conditionalFormatting>
  <conditionalFormatting sqref="U55:U57 M2:M73">
    <cfRule type="containsText" dxfId="608" priority="2" operator="containsText" text="PENDIENTE">
      <formula>NOT(ISERROR(SEARCH(("PENDIENTE"),(M2))))</formula>
    </cfRule>
  </conditionalFormatting>
  <conditionalFormatting sqref="R2:R60">
    <cfRule type="containsText" dxfId="607" priority="3" operator="containsText" text="RETIRADO">
      <formula>NOT(ISERROR(SEARCH(("RETIRADO"),(R2))))</formula>
    </cfRule>
  </conditionalFormatting>
  <conditionalFormatting sqref="R2:R60">
    <cfRule type="containsText" dxfId="606" priority="4" operator="containsText" text="ACTIVO">
      <formula>NOT(ISERROR(SEARCH(("ACTIVO"),(R2))))</formula>
    </cfRule>
  </conditionalFormatting>
  <conditionalFormatting sqref="R68">
    <cfRule type="containsText" dxfId="605" priority="5" operator="containsText" text="RETIRADO">
      <formula>NOT(ISERROR(SEARCH(("RETIRADO"),(R68))))</formula>
    </cfRule>
  </conditionalFormatting>
  <conditionalFormatting sqref="R68">
    <cfRule type="containsText" dxfId="604" priority="6" operator="containsText" text="ACTIVO">
      <formula>NOT(ISERROR(SEARCH(("ACTIVO"),(R68))))</formula>
    </cfRule>
  </conditionalFormatting>
  <dataValidations count="5">
    <dataValidation type="list" allowBlank="1" showErrorMessage="1" sqref="U55 U57" xr:uid="{00000000-0002-0000-0200-000001000000}">
      <formula1>$Y$1:$Y$2</formula1>
    </dataValidation>
    <dataValidation type="list" allowBlank="1" showErrorMessage="1" sqref="R56 R2:R41" xr:uid="{00000000-0002-0000-0200-000002000000}">
      <formula1>$W$1:$W$2</formula1>
    </dataValidation>
    <dataValidation type="list" allowBlank="1" showErrorMessage="1" sqref="R42:R55 R57:R60" xr:uid="{00000000-0002-0000-0200-000003000000}">
      <formula1>$Z$1:$Z$2</formula1>
    </dataValidation>
    <dataValidation type="list" allowBlank="1" showErrorMessage="1" sqref="R68" xr:uid="{00000000-0002-0000-0200-000004000000}">
      <formula1>$U$1:$U$2</formula1>
    </dataValidation>
    <dataValidation type="list" allowBlank="1" showErrorMessage="1" sqref="M2:M73" xr:uid="{00000000-0002-0000-0200-000000000000}">
      <formula1>$W$2:$W$3</formula1>
    </dataValidation>
  </dataValidations>
  <hyperlinks>
    <hyperlink ref="V2" r:id="rId1" xr:uid="{00000000-0004-0000-0200-000000000000}"/>
    <hyperlink ref="V3" r:id="rId2" xr:uid="{00000000-0004-0000-0200-000001000000}"/>
    <hyperlink ref="V4" r:id="rId3" xr:uid="{00000000-0004-0000-0200-000002000000}"/>
    <hyperlink ref="V5" r:id="rId4" xr:uid="{00000000-0004-0000-0200-000003000000}"/>
    <hyperlink ref="V9" r:id="rId5" xr:uid="{00000000-0004-0000-0200-000004000000}"/>
    <hyperlink ref="V10" r:id="rId6" xr:uid="{00000000-0004-0000-0200-000005000000}"/>
    <hyperlink ref="V11" r:id="rId7" xr:uid="{00000000-0004-0000-0200-000006000000}"/>
    <hyperlink ref="V12" r:id="rId8" xr:uid="{00000000-0004-0000-0200-000007000000}"/>
    <hyperlink ref="V16" r:id="rId9" xr:uid="{00000000-0004-0000-0200-000008000000}"/>
    <hyperlink ref="V17" r:id="rId10" xr:uid="{00000000-0004-0000-0200-000009000000}"/>
    <hyperlink ref="V20" r:id="rId11" xr:uid="{00000000-0004-0000-0200-00000A000000}"/>
    <hyperlink ref="V21" r:id="rId12" xr:uid="{00000000-0004-0000-0200-00000B000000}"/>
    <hyperlink ref="V24" r:id="rId13" xr:uid="{00000000-0004-0000-0200-00000C000000}"/>
    <hyperlink ref="V25" r:id="rId14" xr:uid="{00000000-0004-0000-0200-00000D000000}"/>
    <hyperlink ref="V26" r:id="rId15" xr:uid="{00000000-0004-0000-0200-00000E000000}"/>
    <hyperlink ref="V27" r:id="rId16" xr:uid="{00000000-0004-0000-0200-00000F000000}"/>
    <hyperlink ref="V28" r:id="rId17" xr:uid="{00000000-0004-0000-0200-000010000000}"/>
    <hyperlink ref="V29" r:id="rId18" xr:uid="{00000000-0004-0000-0200-000011000000}"/>
    <hyperlink ref="V30" r:id="rId19" xr:uid="{00000000-0004-0000-0200-000012000000}"/>
    <hyperlink ref="V31" r:id="rId20" xr:uid="{00000000-0004-0000-0200-000013000000}"/>
    <hyperlink ref="V34" r:id="rId21" xr:uid="{00000000-0004-0000-0200-000014000000}"/>
    <hyperlink ref="V35" r:id="rId22" xr:uid="{00000000-0004-0000-0200-000015000000}"/>
    <hyperlink ref="V36" r:id="rId23" xr:uid="{00000000-0004-0000-0200-000017000000}"/>
    <hyperlink ref="V37" r:id="rId24" xr:uid="{00000000-0004-0000-0200-000018000000}"/>
    <hyperlink ref="V38" r:id="rId25" xr:uid="{00000000-0004-0000-0200-000019000000}"/>
    <hyperlink ref="V39" r:id="rId26" xr:uid="{00000000-0004-0000-0200-00001A000000}"/>
    <hyperlink ref="V40" r:id="rId27" xr:uid="{00000000-0004-0000-0200-00001B000000}"/>
    <hyperlink ref="V41" r:id="rId28" xr:uid="{00000000-0004-0000-0200-00001C000000}"/>
    <hyperlink ref="V42" r:id="rId29" xr:uid="{00000000-0004-0000-0200-00001D000000}"/>
    <hyperlink ref="V43" r:id="rId30" xr:uid="{00000000-0004-0000-0200-00001E000000}"/>
    <hyperlink ref="V44" r:id="rId31" xr:uid="{00000000-0004-0000-0200-00001F000000}"/>
    <hyperlink ref="V46" r:id="rId32" xr:uid="{00000000-0004-0000-0200-000020000000}"/>
    <hyperlink ref="V47" r:id="rId33" xr:uid="{00000000-0004-0000-0200-000021000000}"/>
    <hyperlink ref="V48" r:id="rId34" xr:uid="{00000000-0004-0000-0200-000022000000}"/>
    <hyperlink ref="V49" r:id="rId35" xr:uid="{00000000-0004-0000-0200-000023000000}"/>
    <hyperlink ref="V50" r:id="rId36" xr:uid="{00000000-0004-0000-0200-000024000000}"/>
    <hyperlink ref="V51" r:id="rId37" xr:uid="{00000000-0004-0000-0200-000025000000}"/>
    <hyperlink ref="V52" r:id="rId38" xr:uid="{00000000-0004-0000-0200-000026000000}"/>
    <hyperlink ref="V56" r:id="rId39" xr:uid="{00000000-0004-0000-0200-000027000000}"/>
    <hyperlink ref="V58" r:id="rId40" xr:uid="{00000000-0004-0000-0200-000028000000}"/>
    <hyperlink ref="V63" r:id="rId41" xr:uid="{00000000-0004-0000-0200-000029000000}"/>
    <hyperlink ref="V65" r:id="rId42" xr:uid="{00000000-0004-0000-0200-00002A000000}"/>
    <hyperlink ref="V67" r:id="rId43" xr:uid="{00000000-0004-0000-0200-00002B000000}"/>
    <hyperlink ref="V69" r:id="rId44" xr:uid="{00000000-0004-0000-0200-00002C000000}"/>
  </hyperlinks>
  <pageMargins left="0.7" right="0.7" top="0.75" bottom="0.75" header="0" footer="0"/>
  <pageSetup orientation="portrait" r:id="rId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8"/>
  <sheetViews>
    <sheetView topLeftCell="I48" workbookViewId="0">
      <selection activeCell="O61" sqref="O61"/>
    </sheetView>
  </sheetViews>
  <sheetFormatPr baseColWidth="10" defaultColWidth="14.42578125" defaultRowHeight="15" customHeight="1" x14ac:dyDescent="0.25"/>
  <cols>
    <col min="1" max="1" width="12.28515625" customWidth="1"/>
    <col min="2" max="2" width="11.42578125" customWidth="1"/>
    <col min="3" max="3" width="33.5703125" customWidth="1"/>
    <col min="4" max="4" width="46.28515625" customWidth="1"/>
    <col min="5" max="5" width="12.42578125" customWidth="1"/>
    <col min="6" max="6" width="14.5703125" customWidth="1"/>
    <col min="7" max="7" width="18.5703125" customWidth="1"/>
    <col min="8" max="8" width="14.7109375" customWidth="1"/>
    <col min="9" max="9" width="19.42578125" bestFit="1" customWidth="1"/>
    <col min="10" max="10" width="15.85546875" bestFit="1" customWidth="1"/>
    <col min="11" max="11" width="9.42578125" bestFit="1" customWidth="1"/>
    <col min="12" max="12" width="14.140625" customWidth="1"/>
    <col min="13" max="13" width="22.5703125" customWidth="1"/>
    <col min="14" max="14" width="21.42578125" customWidth="1"/>
    <col min="15" max="15" width="21.5703125" customWidth="1"/>
    <col min="16" max="16" width="22.140625" customWidth="1"/>
    <col min="17" max="17" width="26.28515625" customWidth="1"/>
    <col min="18" max="18" width="22.5703125" customWidth="1"/>
    <col min="19" max="19" width="23.7109375" customWidth="1"/>
    <col min="20" max="20" width="33.85546875" customWidth="1"/>
    <col min="21" max="21" width="37.85546875" customWidth="1"/>
    <col min="22" max="22" width="46.42578125" customWidth="1"/>
    <col min="23" max="23" width="16.42578125" customWidth="1"/>
    <col min="24" max="24" width="11.42578125" customWidth="1"/>
    <col min="25" max="26" width="10.7109375" customWidth="1"/>
  </cols>
  <sheetData>
    <row r="1" spans="1:26" ht="14.25" customHeight="1" x14ac:dyDescent="0.25">
      <c r="A1" s="123" t="s">
        <v>1207</v>
      </c>
      <c r="B1" s="2"/>
      <c r="C1" s="2"/>
      <c r="D1" s="3" t="s">
        <v>0</v>
      </c>
      <c r="E1" s="9" t="s">
        <v>1</v>
      </c>
      <c r="F1" s="3" t="s">
        <v>2</v>
      </c>
      <c r="G1" s="3" t="s">
        <v>2722</v>
      </c>
      <c r="H1" s="3" t="s">
        <v>2723</v>
      </c>
      <c r="I1" s="3" t="s">
        <v>6</v>
      </c>
      <c r="J1" s="6" t="s">
        <v>7</v>
      </c>
      <c r="K1" s="108" t="s">
        <v>2724</v>
      </c>
      <c r="L1" s="6" t="s">
        <v>8</v>
      </c>
      <c r="M1" s="3" t="s">
        <v>9</v>
      </c>
      <c r="N1" s="3" t="s">
        <v>10</v>
      </c>
      <c r="O1" s="6" t="s">
        <v>11</v>
      </c>
      <c r="P1" s="10" t="s">
        <v>12</v>
      </c>
      <c r="Q1" s="11" t="s">
        <v>13</v>
      </c>
      <c r="R1" s="11" t="s">
        <v>14</v>
      </c>
      <c r="S1" s="11" t="s">
        <v>15</v>
      </c>
      <c r="T1" s="11" t="s">
        <v>2726</v>
      </c>
      <c r="U1" s="11" t="s">
        <v>2727</v>
      </c>
      <c r="V1" s="11" t="s">
        <v>18</v>
      </c>
      <c r="W1" s="12" t="s">
        <v>19</v>
      </c>
      <c r="X1" s="1" t="s">
        <v>20</v>
      </c>
      <c r="Y1" s="2"/>
      <c r="Z1" s="2"/>
    </row>
    <row r="2" spans="1:26" ht="14.25" customHeight="1" x14ac:dyDescent="0.25">
      <c r="A2" s="15"/>
      <c r="B2" s="15"/>
      <c r="C2" s="15"/>
      <c r="D2" s="36" t="s">
        <v>3351</v>
      </c>
      <c r="E2" s="36">
        <v>1112904306</v>
      </c>
      <c r="F2" s="36">
        <v>3206580527</v>
      </c>
      <c r="G2" s="71" t="s">
        <v>3352</v>
      </c>
      <c r="H2" s="36" t="s">
        <v>2730</v>
      </c>
      <c r="I2" s="36" t="s">
        <v>421</v>
      </c>
      <c r="J2" s="61">
        <v>82000</v>
      </c>
      <c r="K2" s="124"/>
      <c r="L2" s="61">
        <f t="shared" ref="L2:L20" si="0">J2+K2</f>
        <v>82000</v>
      </c>
      <c r="M2" s="18" t="s">
        <v>234</v>
      </c>
      <c r="N2" s="64"/>
      <c r="O2" s="65"/>
      <c r="P2" s="66"/>
      <c r="Q2" s="15" t="s">
        <v>3353</v>
      </c>
      <c r="R2" s="15" t="s">
        <v>20</v>
      </c>
      <c r="S2" s="15"/>
      <c r="T2" s="36" t="s">
        <v>3354</v>
      </c>
      <c r="U2" s="36" t="s">
        <v>3355</v>
      </c>
      <c r="V2" s="53" t="s">
        <v>3356</v>
      </c>
      <c r="W2" s="103" t="s">
        <v>26</v>
      </c>
      <c r="X2" s="15"/>
      <c r="Y2" s="15"/>
      <c r="Z2" s="15"/>
    </row>
    <row r="3" spans="1:26" ht="14.25" customHeight="1" x14ac:dyDescent="0.25">
      <c r="A3" s="15"/>
      <c r="B3" s="15"/>
      <c r="C3" s="15"/>
      <c r="D3" s="36" t="s">
        <v>3357</v>
      </c>
      <c r="E3" s="36">
        <v>1115183656</v>
      </c>
      <c r="F3" s="36">
        <v>3223987705</v>
      </c>
      <c r="G3" s="36" t="s">
        <v>3234</v>
      </c>
      <c r="H3" s="36" t="s">
        <v>2730</v>
      </c>
      <c r="I3" s="36" t="s">
        <v>421</v>
      </c>
      <c r="J3" s="61">
        <v>82000</v>
      </c>
      <c r="K3" s="57"/>
      <c r="L3" s="61">
        <f t="shared" si="0"/>
        <v>82000</v>
      </c>
      <c r="M3" s="57" t="s">
        <v>234</v>
      </c>
      <c r="N3" s="64"/>
      <c r="O3" s="65"/>
      <c r="P3" s="66"/>
      <c r="Q3" s="15" t="s">
        <v>3353</v>
      </c>
      <c r="R3" s="15" t="s">
        <v>20</v>
      </c>
      <c r="S3" s="15"/>
      <c r="T3" s="36" t="s">
        <v>3358</v>
      </c>
      <c r="U3" s="36" t="s">
        <v>3158</v>
      </c>
      <c r="V3" s="53" t="s">
        <v>3359</v>
      </c>
      <c r="W3" s="67" t="s">
        <v>234</v>
      </c>
      <c r="X3" s="15"/>
      <c r="Y3" s="15"/>
      <c r="Z3" s="15"/>
    </row>
    <row r="4" spans="1:26" ht="14.25" customHeight="1" x14ac:dyDescent="0.25">
      <c r="A4" s="15"/>
      <c r="B4" s="15"/>
      <c r="C4" s="15"/>
      <c r="D4" s="36" t="s">
        <v>3360</v>
      </c>
      <c r="E4" s="36">
        <v>24498944</v>
      </c>
      <c r="F4" s="36">
        <v>3206982733</v>
      </c>
      <c r="G4" s="36" t="s">
        <v>3331</v>
      </c>
      <c r="H4" s="36" t="s">
        <v>2730</v>
      </c>
      <c r="I4" s="36" t="s">
        <v>421</v>
      </c>
      <c r="J4" s="61">
        <v>82000</v>
      </c>
      <c r="K4" s="57"/>
      <c r="L4" s="61">
        <f t="shared" si="0"/>
        <v>82000</v>
      </c>
      <c r="M4" s="57" t="s">
        <v>234</v>
      </c>
      <c r="N4" s="64"/>
      <c r="O4" s="65"/>
      <c r="P4" s="66"/>
      <c r="Q4" s="15" t="s">
        <v>3353</v>
      </c>
      <c r="R4" s="15" t="s">
        <v>20</v>
      </c>
      <c r="S4" s="15"/>
      <c r="T4" s="36" t="s">
        <v>3361</v>
      </c>
      <c r="U4" s="36" t="s">
        <v>3362</v>
      </c>
      <c r="V4" s="47" t="s">
        <v>311</v>
      </c>
      <c r="W4" s="15"/>
      <c r="X4" s="15"/>
      <c r="Y4" s="15"/>
      <c r="Z4" s="15"/>
    </row>
    <row r="5" spans="1:26" ht="14.25" customHeight="1" x14ac:dyDescent="0.25">
      <c r="A5" s="15"/>
      <c r="B5" s="15"/>
      <c r="C5" s="15"/>
      <c r="D5" s="36" t="s">
        <v>3363</v>
      </c>
      <c r="E5" s="36">
        <v>41931472</v>
      </c>
      <c r="F5" s="36">
        <v>3116443246</v>
      </c>
      <c r="G5" s="71" t="s">
        <v>3364</v>
      </c>
      <c r="H5" s="36" t="s">
        <v>2730</v>
      </c>
      <c r="I5" s="36" t="s">
        <v>421</v>
      </c>
      <c r="J5" s="61">
        <v>82000</v>
      </c>
      <c r="K5" s="57"/>
      <c r="L5" s="61">
        <f t="shared" si="0"/>
        <v>82000</v>
      </c>
      <c r="M5" s="57" t="s">
        <v>234</v>
      </c>
      <c r="N5" s="64"/>
      <c r="O5" s="65"/>
      <c r="P5" s="66"/>
      <c r="Q5" s="15" t="s">
        <v>3353</v>
      </c>
      <c r="R5" s="15" t="s">
        <v>20</v>
      </c>
      <c r="S5" s="15"/>
      <c r="T5" s="36" t="s">
        <v>3365</v>
      </c>
      <c r="U5" s="36" t="s">
        <v>3366</v>
      </c>
      <c r="V5" s="53" t="s">
        <v>3367</v>
      </c>
      <c r="W5" s="15"/>
      <c r="X5" s="15"/>
      <c r="Y5" s="15"/>
      <c r="Z5" s="15"/>
    </row>
    <row r="6" spans="1:26" ht="14.25" customHeight="1" x14ac:dyDescent="0.25">
      <c r="A6" s="15"/>
      <c r="B6" s="15"/>
      <c r="C6" s="15"/>
      <c r="D6" s="36" t="s">
        <v>3368</v>
      </c>
      <c r="E6" s="36">
        <v>6211722</v>
      </c>
      <c r="F6" s="36">
        <v>3148885289</v>
      </c>
      <c r="G6" s="36" t="s">
        <v>3369</v>
      </c>
      <c r="H6" s="36" t="s">
        <v>2730</v>
      </c>
      <c r="I6" s="36" t="s">
        <v>421</v>
      </c>
      <c r="J6" s="61">
        <v>82000</v>
      </c>
      <c r="K6" s="57"/>
      <c r="L6" s="61">
        <f t="shared" si="0"/>
        <v>82000</v>
      </c>
      <c r="M6" s="57" t="s">
        <v>234</v>
      </c>
      <c r="N6" s="64"/>
      <c r="O6" s="65"/>
      <c r="P6" s="66"/>
      <c r="Q6" s="15" t="s">
        <v>3353</v>
      </c>
      <c r="R6" s="15" t="s">
        <v>20</v>
      </c>
      <c r="S6" s="15"/>
      <c r="T6" s="36" t="s">
        <v>3365</v>
      </c>
      <c r="U6" s="36" t="s">
        <v>3370</v>
      </c>
      <c r="V6" s="53" t="s">
        <v>3371</v>
      </c>
      <c r="W6" s="15"/>
      <c r="X6" s="15"/>
      <c r="Y6" s="15"/>
      <c r="Z6" s="15"/>
    </row>
    <row r="7" spans="1:26" ht="14.25" customHeight="1" x14ac:dyDescent="0.25">
      <c r="A7" s="15"/>
      <c r="B7" s="15"/>
      <c r="C7" s="15"/>
      <c r="D7" s="36" t="s">
        <v>3372</v>
      </c>
      <c r="E7" s="36">
        <v>6209811</v>
      </c>
      <c r="F7" s="36">
        <v>3122352720</v>
      </c>
      <c r="G7" s="71" t="s">
        <v>3373</v>
      </c>
      <c r="H7" s="36" t="s">
        <v>3354</v>
      </c>
      <c r="I7" s="36" t="s">
        <v>421</v>
      </c>
      <c r="J7" s="61">
        <v>82000</v>
      </c>
      <c r="K7" s="124"/>
      <c r="L7" s="61">
        <f t="shared" si="0"/>
        <v>82000</v>
      </c>
      <c r="M7" s="57" t="s">
        <v>234</v>
      </c>
      <c r="N7" s="64"/>
      <c r="O7" s="65"/>
      <c r="P7" s="66"/>
      <c r="Q7" s="15" t="s">
        <v>3353</v>
      </c>
      <c r="R7" s="15" t="s">
        <v>20</v>
      </c>
      <c r="S7" s="15"/>
      <c r="T7" s="36" t="s">
        <v>3354</v>
      </c>
      <c r="U7" s="36" t="s">
        <v>3374</v>
      </c>
      <c r="V7" s="53" t="s">
        <v>3375</v>
      </c>
      <c r="W7" s="15"/>
      <c r="X7" s="15"/>
      <c r="Y7" s="15"/>
      <c r="Z7" s="15"/>
    </row>
    <row r="8" spans="1:26" ht="14.25" customHeight="1" x14ac:dyDescent="0.25">
      <c r="A8" s="15"/>
      <c r="B8" s="15"/>
      <c r="C8" s="15"/>
      <c r="D8" s="36" t="s">
        <v>3379</v>
      </c>
      <c r="E8" s="36">
        <v>71421680</v>
      </c>
      <c r="F8" s="36">
        <v>3157030804</v>
      </c>
      <c r="G8" s="36" t="s">
        <v>3380</v>
      </c>
      <c r="H8" s="36" t="s">
        <v>2730</v>
      </c>
      <c r="I8" s="36" t="s">
        <v>421</v>
      </c>
      <c r="J8" s="61">
        <v>82000</v>
      </c>
      <c r="K8" s="57"/>
      <c r="L8" s="61">
        <f t="shared" si="0"/>
        <v>82000</v>
      </c>
      <c r="M8" s="57" t="s">
        <v>234</v>
      </c>
      <c r="N8" s="64"/>
      <c r="O8" s="65"/>
      <c r="P8" s="66"/>
      <c r="Q8" s="15" t="s">
        <v>3353</v>
      </c>
      <c r="R8" s="15" t="s">
        <v>20</v>
      </c>
      <c r="S8" s="15"/>
      <c r="T8" s="36" t="s">
        <v>3358</v>
      </c>
      <c r="U8" s="36" t="s">
        <v>3381</v>
      </c>
      <c r="V8" s="47" t="s">
        <v>311</v>
      </c>
      <c r="W8" s="15"/>
      <c r="X8" s="15"/>
      <c r="Y8" s="15"/>
      <c r="Z8" s="15"/>
    </row>
    <row r="9" spans="1:26" ht="14.25" customHeight="1" x14ac:dyDescent="0.25">
      <c r="A9" s="15"/>
      <c r="B9" s="15"/>
      <c r="C9" s="15"/>
      <c r="D9" s="36" t="s">
        <v>3382</v>
      </c>
      <c r="E9" s="36">
        <v>29328719</v>
      </c>
      <c r="F9" s="36">
        <v>3104917290</v>
      </c>
      <c r="G9" s="36" t="s">
        <v>3383</v>
      </c>
      <c r="H9" s="36" t="s">
        <v>2730</v>
      </c>
      <c r="I9" s="36" t="s">
        <v>421</v>
      </c>
      <c r="J9" s="61">
        <v>82000</v>
      </c>
      <c r="K9" s="57"/>
      <c r="L9" s="61">
        <f t="shared" si="0"/>
        <v>82000</v>
      </c>
      <c r="M9" s="57" t="s">
        <v>234</v>
      </c>
      <c r="N9" s="64"/>
      <c r="O9" s="65"/>
      <c r="P9" s="66"/>
      <c r="Q9" s="15" t="s">
        <v>3353</v>
      </c>
      <c r="R9" s="15" t="s">
        <v>20</v>
      </c>
      <c r="S9" s="15"/>
      <c r="T9" s="36" t="s">
        <v>3365</v>
      </c>
      <c r="U9" s="36" t="s">
        <v>3384</v>
      </c>
      <c r="V9" s="53" t="s">
        <v>3385</v>
      </c>
      <c r="W9" s="15"/>
      <c r="X9" s="15"/>
      <c r="Y9" s="15"/>
      <c r="Z9" s="15"/>
    </row>
    <row r="10" spans="1:26" ht="14.25" customHeight="1" x14ac:dyDescent="0.25">
      <c r="A10" s="15"/>
      <c r="B10" s="15"/>
      <c r="C10" s="15"/>
      <c r="D10" s="36" t="s">
        <v>3386</v>
      </c>
      <c r="E10" s="36">
        <v>29832336</v>
      </c>
      <c r="F10" s="36">
        <v>3164583797</v>
      </c>
      <c r="G10" s="36" t="s">
        <v>3049</v>
      </c>
      <c r="H10" s="36" t="s">
        <v>2730</v>
      </c>
      <c r="I10" s="36" t="s">
        <v>421</v>
      </c>
      <c r="J10" s="61">
        <v>82000</v>
      </c>
      <c r="K10" s="57"/>
      <c r="L10" s="61">
        <f t="shared" si="0"/>
        <v>82000</v>
      </c>
      <c r="M10" s="57" t="s">
        <v>234</v>
      </c>
      <c r="N10" s="64"/>
      <c r="O10" s="65"/>
      <c r="P10" s="66"/>
      <c r="Q10" s="15" t="s">
        <v>3353</v>
      </c>
      <c r="R10" s="15" t="s">
        <v>20</v>
      </c>
      <c r="S10" s="15"/>
      <c r="T10" s="36" t="s">
        <v>3361</v>
      </c>
      <c r="U10" s="36" t="s">
        <v>3387</v>
      </c>
      <c r="V10" s="47" t="s">
        <v>311</v>
      </c>
      <c r="W10" s="15"/>
      <c r="X10" s="15"/>
      <c r="Y10" s="15"/>
      <c r="Z10" s="15"/>
    </row>
    <row r="11" spans="1:26" ht="14.25" customHeight="1" x14ac:dyDescent="0.25">
      <c r="A11" s="15"/>
      <c r="B11" s="15"/>
      <c r="C11" s="15"/>
      <c r="D11" s="36" t="s">
        <v>3388</v>
      </c>
      <c r="E11" s="36">
        <v>29328681</v>
      </c>
      <c r="F11" s="36">
        <v>3136409451</v>
      </c>
      <c r="G11" s="36"/>
      <c r="H11" s="36" t="s">
        <v>2730</v>
      </c>
      <c r="I11" s="36" t="s">
        <v>421</v>
      </c>
      <c r="J11" s="61">
        <v>82000</v>
      </c>
      <c r="K11" s="57"/>
      <c r="L11" s="61">
        <f t="shared" si="0"/>
        <v>82000</v>
      </c>
      <c r="M11" s="57" t="s">
        <v>234</v>
      </c>
      <c r="N11" s="64"/>
      <c r="O11" s="65"/>
      <c r="P11" s="66"/>
      <c r="Q11" s="15" t="s">
        <v>3353</v>
      </c>
      <c r="R11" s="15" t="s">
        <v>20</v>
      </c>
      <c r="S11" s="15"/>
      <c r="T11" s="36" t="s">
        <v>3358</v>
      </c>
      <c r="U11" s="36" t="s">
        <v>3389</v>
      </c>
      <c r="V11" s="53" t="s">
        <v>3390</v>
      </c>
      <c r="W11" s="15"/>
      <c r="X11" s="15"/>
      <c r="Y11" s="15"/>
      <c r="Z11" s="15"/>
    </row>
    <row r="12" spans="1:26" ht="14.25" customHeight="1" x14ac:dyDescent="0.25">
      <c r="A12" s="15"/>
      <c r="B12" s="15"/>
      <c r="C12" s="15"/>
      <c r="D12" s="36" t="s">
        <v>3391</v>
      </c>
      <c r="E12" s="36">
        <v>66964802</v>
      </c>
      <c r="F12" s="36">
        <v>3146660530</v>
      </c>
      <c r="G12" s="36" t="s">
        <v>3392</v>
      </c>
      <c r="H12" s="36" t="s">
        <v>2730</v>
      </c>
      <c r="I12" s="36" t="s">
        <v>421</v>
      </c>
      <c r="J12" s="61">
        <v>82000</v>
      </c>
      <c r="K12" s="57"/>
      <c r="L12" s="61">
        <f t="shared" si="0"/>
        <v>82000</v>
      </c>
      <c r="M12" s="57" t="s">
        <v>234</v>
      </c>
      <c r="N12" s="64"/>
      <c r="O12" s="65"/>
      <c r="P12" s="66"/>
      <c r="Q12" s="15" t="s">
        <v>3353</v>
      </c>
      <c r="R12" s="15" t="s">
        <v>20</v>
      </c>
      <c r="S12" s="15"/>
      <c r="T12" s="36" t="s">
        <v>3358</v>
      </c>
      <c r="U12" s="36" t="s">
        <v>3393</v>
      </c>
      <c r="V12" s="53" t="s">
        <v>3394</v>
      </c>
      <c r="W12" s="15"/>
      <c r="X12" s="15"/>
      <c r="Y12" s="15"/>
      <c r="Z12" s="15"/>
    </row>
    <row r="13" spans="1:26" ht="14.25" customHeight="1" x14ac:dyDescent="0.25">
      <c r="A13" s="15"/>
      <c r="B13" s="15"/>
      <c r="C13" s="15"/>
      <c r="D13" s="63" t="s">
        <v>3395</v>
      </c>
      <c r="E13" s="63">
        <v>1113307913</v>
      </c>
      <c r="F13" s="63">
        <v>3183957256</v>
      </c>
      <c r="G13" s="36" t="s">
        <v>3396</v>
      </c>
      <c r="H13" s="36" t="s">
        <v>2730</v>
      </c>
      <c r="I13" s="36" t="s">
        <v>421</v>
      </c>
      <c r="J13" s="78">
        <v>82000</v>
      </c>
      <c r="K13" s="57"/>
      <c r="L13" s="61">
        <f t="shared" si="0"/>
        <v>82000</v>
      </c>
      <c r="M13" s="57" t="s">
        <v>234</v>
      </c>
      <c r="N13" s="64"/>
      <c r="O13" s="65"/>
      <c r="P13" s="66"/>
      <c r="Q13" s="15" t="s">
        <v>3353</v>
      </c>
      <c r="R13" s="15" t="s">
        <v>20</v>
      </c>
      <c r="S13" s="15"/>
      <c r="T13" s="63" t="s">
        <v>3397</v>
      </c>
      <c r="U13" s="63" t="s">
        <v>3398</v>
      </c>
      <c r="V13" s="47" t="s">
        <v>311</v>
      </c>
      <c r="W13" s="15"/>
      <c r="X13" s="15"/>
      <c r="Y13" s="15"/>
      <c r="Z13" s="15"/>
    </row>
    <row r="14" spans="1:26" ht="14.25" customHeight="1" x14ac:dyDescent="0.25">
      <c r="A14" s="15"/>
      <c r="B14" s="15"/>
      <c r="C14" s="15" t="s">
        <v>5476</v>
      </c>
      <c r="D14" s="36" t="s">
        <v>3399</v>
      </c>
      <c r="E14" s="36">
        <v>900581241</v>
      </c>
      <c r="F14" s="36">
        <v>3138711755</v>
      </c>
      <c r="G14" s="36" t="s">
        <v>3400</v>
      </c>
      <c r="H14" s="36" t="s">
        <v>2730</v>
      </c>
      <c r="I14" s="36" t="s">
        <v>421</v>
      </c>
      <c r="J14" s="61">
        <v>82000</v>
      </c>
      <c r="K14" s="57">
        <v>15580</v>
      </c>
      <c r="L14" s="61">
        <f t="shared" si="0"/>
        <v>97580</v>
      </c>
      <c r="M14" s="57" t="s">
        <v>234</v>
      </c>
      <c r="N14" s="36"/>
      <c r="O14" s="61"/>
      <c r="P14" s="66"/>
      <c r="Q14" s="15" t="s">
        <v>3353</v>
      </c>
      <c r="R14" s="15" t="s">
        <v>20</v>
      </c>
      <c r="S14" s="15"/>
      <c r="T14" s="36" t="s">
        <v>3401</v>
      </c>
      <c r="U14" s="36" t="s">
        <v>3402</v>
      </c>
      <c r="V14" s="53" t="s">
        <v>3403</v>
      </c>
      <c r="W14" s="15"/>
      <c r="X14" s="15"/>
      <c r="Y14" s="15"/>
      <c r="Z14" s="15"/>
    </row>
    <row r="15" spans="1:26" ht="14.25" customHeight="1" x14ac:dyDescent="0.25">
      <c r="A15" s="15"/>
      <c r="B15" s="15"/>
      <c r="C15" s="15"/>
      <c r="D15" s="36" t="s">
        <v>3404</v>
      </c>
      <c r="E15" s="36">
        <v>1115190755</v>
      </c>
      <c r="F15" s="36">
        <v>3187591446</v>
      </c>
      <c r="G15" s="36" t="s">
        <v>3405</v>
      </c>
      <c r="H15" s="36" t="s">
        <v>2730</v>
      </c>
      <c r="I15" s="36" t="s">
        <v>421</v>
      </c>
      <c r="J15" s="61">
        <v>82000</v>
      </c>
      <c r="K15" s="57"/>
      <c r="L15" s="61">
        <f t="shared" si="0"/>
        <v>82000</v>
      </c>
      <c r="M15" s="57" t="s">
        <v>234</v>
      </c>
      <c r="N15" s="64"/>
      <c r="O15" s="65"/>
      <c r="P15" s="66"/>
      <c r="Q15" s="15" t="s">
        <v>3353</v>
      </c>
      <c r="R15" s="15" t="s">
        <v>20</v>
      </c>
      <c r="S15" s="15"/>
      <c r="T15" s="36" t="s">
        <v>3158</v>
      </c>
      <c r="U15" s="36" t="s">
        <v>3406</v>
      </c>
      <c r="V15" s="53" t="s">
        <v>3407</v>
      </c>
      <c r="W15" s="15"/>
      <c r="X15" s="15"/>
      <c r="Y15" s="15"/>
      <c r="Z15" s="15"/>
    </row>
    <row r="16" spans="1:26" ht="14.25" customHeight="1" x14ac:dyDescent="0.25">
      <c r="A16" s="15"/>
      <c r="B16" s="15"/>
      <c r="C16" s="15"/>
      <c r="D16" s="36" t="s">
        <v>3408</v>
      </c>
      <c r="E16" s="36">
        <v>5951327</v>
      </c>
      <c r="F16" s="36">
        <v>3137436276</v>
      </c>
      <c r="G16" s="36" t="s">
        <v>3409</v>
      </c>
      <c r="H16" s="36" t="s">
        <v>2730</v>
      </c>
      <c r="I16" s="36" t="s">
        <v>421</v>
      </c>
      <c r="J16" s="61">
        <v>82000</v>
      </c>
      <c r="K16" s="57"/>
      <c r="L16" s="61">
        <f t="shared" si="0"/>
        <v>82000</v>
      </c>
      <c r="M16" s="57" t="s">
        <v>234</v>
      </c>
      <c r="N16" s="64"/>
      <c r="O16" s="65"/>
      <c r="P16" s="66"/>
      <c r="Q16" s="15" t="s">
        <v>3353</v>
      </c>
      <c r="R16" s="15" t="s">
        <v>20</v>
      </c>
      <c r="S16" s="15"/>
      <c r="T16" s="36" t="s">
        <v>3361</v>
      </c>
      <c r="U16" s="36" t="s">
        <v>3410</v>
      </c>
      <c r="V16" s="47" t="s">
        <v>311</v>
      </c>
      <c r="W16" s="15"/>
      <c r="X16" s="15"/>
      <c r="Y16" s="15"/>
      <c r="Z16" s="15"/>
    </row>
    <row r="17" spans="1:26" ht="14.25" customHeight="1" x14ac:dyDescent="0.25">
      <c r="A17" s="15"/>
      <c r="B17" s="15"/>
      <c r="C17" s="15"/>
      <c r="D17" s="36" t="s">
        <v>3411</v>
      </c>
      <c r="E17" s="36">
        <v>1095268207</v>
      </c>
      <c r="F17" s="36">
        <v>3107691942</v>
      </c>
      <c r="G17" s="36" t="s">
        <v>3412</v>
      </c>
      <c r="H17" s="36" t="s">
        <v>2730</v>
      </c>
      <c r="I17" s="36" t="s">
        <v>3135</v>
      </c>
      <c r="J17" s="61">
        <v>122000</v>
      </c>
      <c r="K17" s="57"/>
      <c r="L17" s="61">
        <f t="shared" si="0"/>
        <v>122000</v>
      </c>
      <c r="M17" s="57" t="s">
        <v>234</v>
      </c>
      <c r="N17" s="64"/>
      <c r="O17" s="65"/>
      <c r="P17" s="66"/>
      <c r="Q17" s="15" t="s">
        <v>3353</v>
      </c>
      <c r="R17" s="15" t="s">
        <v>20</v>
      </c>
      <c r="S17" s="15"/>
      <c r="T17" s="36" t="s">
        <v>3413</v>
      </c>
      <c r="U17" s="36" t="s">
        <v>3414</v>
      </c>
      <c r="V17" s="47" t="s">
        <v>311</v>
      </c>
      <c r="W17" s="15"/>
      <c r="X17" s="15"/>
      <c r="Y17" s="15"/>
      <c r="Z17" s="15"/>
    </row>
    <row r="18" spans="1:26" ht="14.25" customHeight="1" x14ac:dyDescent="0.25">
      <c r="A18" s="15"/>
      <c r="B18" s="15"/>
      <c r="C18" s="15"/>
      <c r="D18" s="36" t="s">
        <v>3415</v>
      </c>
      <c r="E18" s="36">
        <v>94464185</v>
      </c>
      <c r="F18" s="36">
        <v>3146229159</v>
      </c>
      <c r="G18" s="71" t="s">
        <v>2702</v>
      </c>
      <c r="H18" s="36" t="s">
        <v>2730</v>
      </c>
      <c r="I18" s="36" t="s">
        <v>421</v>
      </c>
      <c r="J18" s="61">
        <v>82000</v>
      </c>
      <c r="K18" s="57"/>
      <c r="L18" s="61">
        <f t="shared" si="0"/>
        <v>82000</v>
      </c>
      <c r="M18" s="57" t="s">
        <v>234</v>
      </c>
      <c r="N18" s="64"/>
      <c r="O18" s="65"/>
      <c r="P18" s="66"/>
      <c r="Q18" s="15" t="s">
        <v>3353</v>
      </c>
      <c r="R18" s="15" t="s">
        <v>20</v>
      </c>
      <c r="S18" s="15"/>
      <c r="T18" s="36" t="s">
        <v>3358</v>
      </c>
      <c r="U18" s="36" t="s">
        <v>3416</v>
      </c>
      <c r="V18" s="47" t="s">
        <v>311</v>
      </c>
      <c r="W18" s="15"/>
      <c r="X18" s="15"/>
      <c r="Y18" s="15"/>
      <c r="Z18" s="15"/>
    </row>
    <row r="19" spans="1:26" ht="14.25" customHeight="1" x14ac:dyDescent="0.25">
      <c r="A19" s="15"/>
      <c r="B19" s="15"/>
      <c r="C19" s="15"/>
      <c r="D19" s="36" t="s">
        <v>3417</v>
      </c>
      <c r="E19" s="36">
        <v>7547118</v>
      </c>
      <c r="F19" s="36">
        <v>3126530433</v>
      </c>
      <c r="G19" s="36" t="s">
        <v>3176</v>
      </c>
      <c r="H19" s="36" t="s">
        <v>2730</v>
      </c>
      <c r="I19" s="36" t="s">
        <v>421</v>
      </c>
      <c r="J19" s="61">
        <v>82000</v>
      </c>
      <c r="K19" s="57"/>
      <c r="L19" s="61">
        <f t="shared" si="0"/>
        <v>82000</v>
      </c>
      <c r="M19" s="57" t="s">
        <v>234</v>
      </c>
      <c r="N19" s="64"/>
      <c r="O19" s="65"/>
      <c r="P19" s="66"/>
      <c r="Q19" s="15" t="s">
        <v>3353</v>
      </c>
      <c r="R19" s="15" t="s">
        <v>20</v>
      </c>
      <c r="S19" s="15"/>
      <c r="T19" s="36" t="s">
        <v>3418</v>
      </c>
      <c r="U19" s="36" t="s">
        <v>3419</v>
      </c>
      <c r="V19" s="53" t="s">
        <v>3420</v>
      </c>
      <c r="W19" s="15"/>
      <c r="X19" s="15"/>
      <c r="Y19" s="15"/>
      <c r="Z19" s="15"/>
    </row>
    <row r="20" spans="1:26" ht="14.25" customHeight="1" x14ac:dyDescent="0.25">
      <c r="A20" s="15"/>
      <c r="B20" s="15"/>
      <c r="C20" s="15"/>
      <c r="D20" s="36" t="s">
        <v>3421</v>
      </c>
      <c r="E20" s="36">
        <v>6292412</v>
      </c>
      <c r="F20" s="36">
        <v>3234486983</v>
      </c>
      <c r="G20" s="36" t="s">
        <v>3245</v>
      </c>
      <c r="H20" s="36" t="s">
        <v>2730</v>
      </c>
      <c r="I20" s="36" t="s">
        <v>421</v>
      </c>
      <c r="J20" s="61">
        <v>82000</v>
      </c>
      <c r="K20" s="57"/>
      <c r="L20" s="61">
        <f t="shared" si="0"/>
        <v>82000</v>
      </c>
      <c r="M20" s="57" t="s">
        <v>234</v>
      </c>
      <c r="N20" s="64"/>
      <c r="O20" s="65"/>
      <c r="P20" s="66"/>
      <c r="Q20" s="15" t="s">
        <v>3353</v>
      </c>
      <c r="R20" s="15" t="s">
        <v>20</v>
      </c>
      <c r="S20" s="15"/>
      <c r="T20" s="36" t="s">
        <v>3361</v>
      </c>
      <c r="U20" s="36" t="s">
        <v>3037</v>
      </c>
      <c r="V20" s="47" t="s">
        <v>311</v>
      </c>
      <c r="W20" s="15"/>
      <c r="X20" s="15"/>
      <c r="Y20" s="15"/>
      <c r="Z20" s="15"/>
    </row>
    <row r="21" spans="1:26" ht="14.25" customHeight="1" x14ac:dyDescent="0.25">
      <c r="A21" s="15"/>
      <c r="B21" s="15"/>
      <c r="C21" s="15"/>
      <c r="D21" s="36" t="s">
        <v>3422</v>
      </c>
      <c r="E21" s="36"/>
      <c r="F21" s="36">
        <v>3206409401</v>
      </c>
      <c r="G21" s="36"/>
      <c r="H21" s="36" t="s">
        <v>2730</v>
      </c>
      <c r="I21" s="36" t="s">
        <v>421</v>
      </c>
      <c r="J21" s="61" t="s">
        <v>567</v>
      </c>
      <c r="K21" s="57"/>
      <c r="L21" s="61" t="s">
        <v>567</v>
      </c>
      <c r="M21" s="57" t="s">
        <v>234</v>
      </c>
      <c r="N21" s="64"/>
      <c r="O21" s="61"/>
      <c r="P21" s="66"/>
      <c r="Q21" s="15" t="s">
        <v>3353</v>
      </c>
      <c r="R21" s="15" t="s">
        <v>20</v>
      </c>
      <c r="S21" s="15"/>
      <c r="T21" s="36" t="s">
        <v>3423</v>
      </c>
      <c r="U21" s="36" t="s">
        <v>3424</v>
      </c>
      <c r="V21" s="47" t="s">
        <v>311</v>
      </c>
      <c r="W21" s="15"/>
      <c r="X21" s="15"/>
      <c r="Y21" s="15"/>
      <c r="Z21" s="15"/>
    </row>
    <row r="22" spans="1:26" ht="14.25" customHeight="1" x14ac:dyDescent="0.25">
      <c r="A22" s="15"/>
      <c r="B22" s="15"/>
      <c r="C22" s="15"/>
      <c r="D22" s="36" t="s">
        <v>3425</v>
      </c>
      <c r="E22" s="36">
        <v>6215509</v>
      </c>
      <c r="F22" s="36">
        <v>3146851928</v>
      </c>
      <c r="G22" s="36" t="s">
        <v>3426</v>
      </c>
      <c r="H22" s="36" t="s">
        <v>2730</v>
      </c>
      <c r="I22" s="36" t="s">
        <v>421</v>
      </c>
      <c r="J22" s="61">
        <v>82000</v>
      </c>
      <c r="K22" s="57"/>
      <c r="L22" s="61">
        <f t="shared" ref="L22:L33" si="1">J22+K22</f>
        <v>82000</v>
      </c>
      <c r="M22" s="57" t="s">
        <v>234</v>
      </c>
      <c r="N22" s="64"/>
      <c r="O22" s="65"/>
      <c r="P22" s="66"/>
      <c r="Q22" s="15" t="s">
        <v>3353</v>
      </c>
      <c r="R22" s="15" t="s">
        <v>20</v>
      </c>
      <c r="S22" s="15"/>
      <c r="T22" s="36" t="s">
        <v>3361</v>
      </c>
      <c r="U22" s="36" t="s">
        <v>3101</v>
      </c>
      <c r="V22" s="47" t="s">
        <v>311</v>
      </c>
      <c r="W22" s="15"/>
      <c r="X22" s="15"/>
      <c r="Y22" s="15"/>
      <c r="Z22" s="15"/>
    </row>
    <row r="23" spans="1:26" ht="14.25" customHeight="1" x14ac:dyDescent="0.25">
      <c r="A23" s="15"/>
      <c r="B23" s="15"/>
      <c r="C23" s="15"/>
      <c r="D23" s="84" t="s">
        <v>3427</v>
      </c>
      <c r="E23" s="63">
        <v>1113306416</v>
      </c>
      <c r="F23" s="36">
        <v>3154291260</v>
      </c>
      <c r="G23" s="36" t="s">
        <v>3428</v>
      </c>
      <c r="H23" s="36" t="s">
        <v>3141</v>
      </c>
      <c r="I23" s="36" t="s">
        <v>421</v>
      </c>
      <c r="J23" s="61">
        <v>82000</v>
      </c>
      <c r="K23" s="57"/>
      <c r="L23" s="61">
        <f t="shared" si="1"/>
        <v>82000</v>
      </c>
      <c r="M23" s="57" t="s">
        <v>234</v>
      </c>
      <c r="N23" s="64"/>
      <c r="O23" s="65"/>
      <c r="P23" s="66"/>
      <c r="Q23" s="15" t="s">
        <v>3353</v>
      </c>
      <c r="R23" s="15" t="s">
        <v>20</v>
      </c>
      <c r="S23" s="15"/>
      <c r="T23" s="36" t="s">
        <v>3397</v>
      </c>
      <c r="U23" s="36" t="s">
        <v>3158</v>
      </c>
      <c r="V23" s="53" t="s">
        <v>3429</v>
      </c>
      <c r="W23" s="15"/>
      <c r="X23" s="15"/>
      <c r="Y23" s="15"/>
      <c r="Z23" s="15"/>
    </row>
    <row r="24" spans="1:26" ht="14.25" customHeight="1" x14ac:dyDescent="0.25">
      <c r="A24" s="15"/>
      <c r="B24" s="15"/>
      <c r="C24" s="15"/>
      <c r="D24" s="36" t="s">
        <v>3430</v>
      </c>
      <c r="E24" s="36">
        <v>41890114</v>
      </c>
      <c r="F24" s="36">
        <v>3206872707</v>
      </c>
      <c r="G24" s="36" t="s">
        <v>3431</v>
      </c>
      <c r="H24" s="36" t="s">
        <v>2730</v>
      </c>
      <c r="I24" s="36" t="s">
        <v>421</v>
      </c>
      <c r="J24" s="61">
        <v>82000</v>
      </c>
      <c r="K24" s="57"/>
      <c r="L24" s="61">
        <f t="shared" si="1"/>
        <v>82000</v>
      </c>
      <c r="M24" s="57" t="s">
        <v>234</v>
      </c>
      <c r="N24" s="64"/>
      <c r="O24" s="65"/>
      <c r="P24" s="66"/>
      <c r="Q24" s="15" t="s">
        <v>3353</v>
      </c>
      <c r="R24" s="15" t="s">
        <v>20</v>
      </c>
      <c r="S24" s="15"/>
      <c r="T24" s="36" t="s">
        <v>3358</v>
      </c>
      <c r="U24" s="36" t="s">
        <v>3432</v>
      </c>
      <c r="V24" s="47" t="s">
        <v>311</v>
      </c>
      <c r="W24" s="15"/>
      <c r="X24" s="15"/>
      <c r="Y24" s="15"/>
      <c r="Z24" s="15"/>
    </row>
    <row r="25" spans="1:26" ht="14.25" customHeight="1" x14ac:dyDescent="0.25">
      <c r="A25" s="125"/>
      <c r="B25" s="125"/>
      <c r="C25" s="125"/>
      <c r="D25" s="102" t="s">
        <v>3433</v>
      </c>
      <c r="E25" s="102">
        <v>31331668</v>
      </c>
      <c r="F25" s="102">
        <v>3108442123</v>
      </c>
      <c r="G25" s="36" t="s">
        <v>3434</v>
      </c>
      <c r="H25" s="36" t="s">
        <v>2730</v>
      </c>
      <c r="I25" s="36" t="s">
        <v>421</v>
      </c>
      <c r="J25" s="61">
        <v>82000</v>
      </c>
      <c r="K25" s="57"/>
      <c r="L25" s="61">
        <f t="shared" si="1"/>
        <v>82000</v>
      </c>
      <c r="M25" s="57" t="s">
        <v>234</v>
      </c>
      <c r="N25" s="64"/>
      <c r="O25" s="65"/>
      <c r="P25" s="66"/>
      <c r="Q25" s="15" t="s">
        <v>3353</v>
      </c>
      <c r="R25" s="15" t="s">
        <v>20</v>
      </c>
      <c r="S25" s="15"/>
      <c r="T25" s="36" t="s">
        <v>3365</v>
      </c>
      <c r="U25" s="36" t="s">
        <v>3435</v>
      </c>
      <c r="V25" s="46" t="s">
        <v>311</v>
      </c>
      <c r="W25" s="38"/>
      <c r="X25" s="38"/>
      <c r="Y25" s="38"/>
      <c r="Z25" s="38"/>
    </row>
    <row r="26" spans="1:26" ht="14.25" customHeight="1" x14ac:dyDescent="0.25">
      <c r="A26" s="15"/>
      <c r="B26" s="15"/>
      <c r="C26" s="15"/>
      <c r="D26" s="36" t="s">
        <v>3436</v>
      </c>
      <c r="E26" s="36">
        <v>10750191</v>
      </c>
      <c r="F26" s="36">
        <v>3233973176</v>
      </c>
      <c r="G26" s="71" t="s">
        <v>3437</v>
      </c>
      <c r="H26" s="36" t="s">
        <v>3354</v>
      </c>
      <c r="I26" s="36" t="s">
        <v>421</v>
      </c>
      <c r="J26" s="61">
        <v>82000</v>
      </c>
      <c r="K26" s="124"/>
      <c r="L26" s="61">
        <f t="shared" si="1"/>
        <v>82000</v>
      </c>
      <c r="M26" s="57" t="s">
        <v>234</v>
      </c>
      <c r="N26" s="64"/>
      <c r="O26" s="65"/>
      <c r="P26" s="66"/>
      <c r="Q26" s="15" t="s">
        <v>3353</v>
      </c>
      <c r="R26" s="15" t="s">
        <v>20</v>
      </c>
      <c r="S26" s="15"/>
      <c r="T26" s="36" t="s">
        <v>3354</v>
      </c>
      <c r="U26" s="36" t="s">
        <v>3438</v>
      </c>
      <c r="V26" s="53" t="s">
        <v>3439</v>
      </c>
      <c r="W26" s="15"/>
      <c r="X26" s="15"/>
      <c r="Y26" s="15"/>
      <c r="Z26" s="15"/>
    </row>
    <row r="27" spans="1:26" ht="14.25" customHeight="1" x14ac:dyDescent="0.25">
      <c r="A27" s="15"/>
      <c r="B27" s="15"/>
      <c r="C27" s="15"/>
      <c r="D27" s="36" t="s">
        <v>3440</v>
      </c>
      <c r="E27" s="36">
        <v>80748382</v>
      </c>
      <c r="F27" s="36">
        <v>3125735753</v>
      </c>
      <c r="G27" s="36" t="s">
        <v>3441</v>
      </c>
      <c r="H27" s="36" t="s">
        <v>2730</v>
      </c>
      <c r="I27" s="36" t="s">
        <v>421</v>
      </c>
      <c r="J27" s="61">
        <v>82000</v>
      </c>
      <c r="K27" s="126"/>
      <c r="L27" s="61">
        <f t="shared" si="1"/>
        <v>82000</v>
      </c>
      <c r="M27" s="57" t="s">
        <v>234</v>
      </c>
      <c r="N27" s="64"/>
      <c r="O27" s="65"/>
      <c r="P27" s="66"/>
      <c r="Q27" s="15" t="s">
        <v>3353</v>
      </c>
      <c r="R27" s="15" t="s">
        <v>20</v>
      </c>
      <c r="S27" s="15"/>
      <c r="T27" s="36" t="s">
        <v>3397</v>
      </c>
      <c r="U27" s="36" t="s">
        <v>3423</v>
      </c>
      <c r="V27" s="53" t="s">
        <v>3442</v>
      </c>
      <c r="W27" s="15"/>
      <c r="X27" s="15"/>
      <c r="Y27" s="15"/>
      <c r="Z27" s="15"/>
    </row>
    <row r="28" spans="1:26" ht="14.25" customHeight="1" x14ac:dyDescent="0.25">
      <c r="A28" s="15"/>
      <c r="B28" s="15"/>
      <c r="C28" s="15"/>
      <c r="D28" s="36" t="s">
        <v>3443</v>
      </c>
      <c r="E28" s="36">
        <v>94464348</v>
      </c>
      <c r="F28" s="36">
        <v>3113459906</v>
      </c>
      <c r="G28" s="36" t="s">
        <v>3444</v>
      </c>
      <c r="H28" s="36" t="s">
        <v>2730</v>
      </c>
      <c r="I28" s="36" t="s">
        <v>421</v>
      </c>
      <c r="J28" s="61">
        <v>82000</v>
      </c>
      <c r="K28" s="57"/>
      <c r="L28" s="61">
        <f t="shared" si="1"/>
        <v>82000</v>
      </c>
      <c r="M28" s="57" t="s">
        <v>234</v>
      </c>
      <c r="N28" s="64"/>
      <c r="O28" s="65"/>
      <c r="P28" s="66"/>
      <c r="Q28" s="15" t="s">
        <v>3353</v>
      </c>
      <c r="R28" s="15" t="s">
        <v>20</v>
      </c>
      <c r="S28" s="15"/>
      <c r="T28" s="36" t="s">
        <v>3445</v>
      </c>
      <c r="U28" s="36" t="s">
        <v>3446</v>
      </c>
      <c r="V28" s="53" t="s">
        <v>3447</v>
      </c>
      <c r="W28" s="15"/>
      <c r="X28" s="15"/>
      <c r="Y28" s="15"/>
      <c r="Z28" s="15"/>
    </row>
    <row r="29" spans="1:26" ht="14.25" customHeight="1" x14ac:dyDescent="0.25">
      <c r="A29" s="15"/>
      <c r="B29" s="15"/>
      <c r="C29" s="15"/>
      <c r="D29" s="36" t="s">
        <v>3448</v>
      </c>
      <c r="E29" s="36">
        <v>38765061</v>
      </c>
      <c r="F29" s="36">
        <v>3187883514</v>
      </c>
      <c r="G29" s="36" t="s">
        <v>3449</v>
      </c>
      <c r="H29" s="36" t="s">
        <v>2730</v>
      </c>
      <c r="I29" s="36" t="s">
        <v>421</v>
      </c>
      <c r="J29" s="61">
        <v>82000</v>
      </c>
      <c r="K29" s="57"/>
      <c r="L29" s="61">
        <f t="shared" si="1"/>
        <v>82000</v>
      </c>
      <c r="M29" s="57" t="s">
        <v>234</v>
      </c>
      <c r="N29" s="64"/>
      <c r="O29" s="65"/>
      <c r="P29" s="66"/>
      <c r="Q29" s="15" t="s">
        <v>3353</v>
      </c>
      <c r="R29" s="15" t="s">
        <v>20</v>
      </c>
      <c r="S29" s="15"/>
      <c r="T29" s="36" t="s">
        <v>3450</v>
      </c>
      <c r="U29" s="36" t="s">
        <v>3451</v>
      </c>
      <c r="V29" s="47" t="s">
        <v>311</v>
      </c>
      <c r="W29" s="15"/>
      <c r="X29" s="15"/>
      <c r="Y29" s="15"/>
      <c r="Z29" s="15"/>
    </row>
    <row r="30" spans="1:26" ht="14.25" customHeight="1" x14ac:dyDescent="0.25">
      <c r="A30" s="15"/>
      <c r="B30" s="15"/>
      <c r="C30" s="15"/>
      <c r="D30" s="36" t="s">
        <v>3452</v>
      </c>
      <c r="E30" s="36">
        <v>1115189985</v>
      </c>
      <c r="F30" s="36">
        <v>3156296813</v>
      </c>
      <c r="G30" s="71" t="s">
        <v>3453</v>
      </c>
      <c r="H30" s="36" t="s">
        <v>2730</v>
      </c>
      <c r="I30" s="36" t="s">
        <v>421</v>
      </c>
      <c r="J30" s="61">
        <v>82000</v>
      </c>
      <c r="K30" s="57"/>
      <c r="L30" s="61">
        <f t="shared" si="1"/>
        <v>82000</v>
      </c>
      <c r="M30" s="57" t="s">
        <v>234</v>
      </c>
      <c r="N30" s="64"/>
      <c r="O30" s="65"/>
      <c r="P30" s="66"/>
      <c r="Q30" s="15" t="s">
        <v>3353</v>
      </c>
      <c r="R30" s="15" t="s">
        <v>20</v>
      </c>
      <c r="S30" s="15"/>
      <c r="T30" s="36" t="s">
        <v>3358</v>
      </c>
      <c r="U30" s="36" t="s">
        <v>3454</v>
      </c>
      <c r="V30" s="53" t="s">
        <v>3455</v>
      </c>
      <c r="W30" s="15"/>
      <c r="X30" s="15"/>
      <c r="Y30" s="15"/>
      <c r="Z30" s="15"/>
    </row>
    <row r="31" spans="1:26" ht="14.25" customHeight="1" x14ac:dyDescent="0.25">
      <c r="A31" s="15"/>
      <c r="B31" s="15"/>
      <c r="C31" s="15"/>
      <c r="D31" s="36" t="s">
        <v>3456</v>
      </c>
      <c r="E31" s="36">
        <v>29337307</v>
      </c>
      <c r="F31" s="36">
        <v>3147137146</v>
      </c>
      <c r="G31" s="36" t="s">
        <v>3457</v>
      </c>
      <c r="H31" s="36" t="s">
        <v>2730</v>
      </c>
      <c r="I31" s="36" t="s">
        <v>421</v>
      </c>
      <c r="J31" s="61">
        <v>82000</v>
      </c>
      <c r="K31" s="57"/>
      <c r="L31" s="61">
        <f t="shared" si="1"/>
        <v>82000</v>
      </c>
      <c r="M31" s="57" t="s">
        <v>234</v>
      </c>
      <c r="N31" s="64"/>
      <c r="O31" s="65"/>
      <c r="P31" s="66"/>
      <c r="Q31" s="15" t="s">
        <v>3353</v>
      </c>
      <c r="R31" s="15" t="s">
        <v>20</v>
      </c>
      <c r="S31" s="15"/>
      <c r="T31" s="36" t="s">
        <v>3397</v>
      </c>
      <c r="U31" s="36" t="s">
        <v>3458</v>
      </c>
      <c r="V31" s="47" t="s">
        <v>3459</v>
      </c>
      <c r="W31" s="15"/>
      <c r="X31" s="15"/>
      <c r="Y31" s="15"/>
      <c r="Z31" s="15"/>
    </row>
    <row r="32" spans="1:26" ht="14.25" customHeight="1" x14ac:dyDescent="0.25">
      <c r="A32" s="15"/>
      <c r="B32" s="15"/>
      <c r="C32" s="15"/>
      <c r="D32" s="36" t="s">
        <v>3460</v>
      </c>
      <c r="E32" s="36">
        <v>1006283439</v>
      </c>
      <c r="F32" s="36">
        <v>3165275872</v>
      </c>
      <c r="G32" s="36" t="s">
        <v>3461</v>
      </c>
      <c r="H32" s="36" t="s">
        <v>2730</v>
      </c>
      <c r="I32" s="36" t="s">
        <v>421</v>
      </c>
      <c r="J32" s="61">
        <v>82000</v>
      </c>
      <c r="K32" s="57"/>
      <c r="L32" s="61">
        <f t="shared" si="1"/>
        <v>82000</v>
      </c>
      <c r="M32" s="57" t="s">
        <v>234</v>
      </c>
      <c r="N32" s="64"/>
      <c r="O32" s="65"/>
      <c r="P32" s="66"/>
      <c r="Q32" s="15" t="s">
        <v>3353</v>
      </c>
      <c r="R32" s="15" t="s">
        <v>20</v>
      </c>
      <c r="S32" s="15"/>
      <c r="T32" s="36" t="s">
        <v>3418</v>
      </c>
      <c r="U32" s="36" t="s">
        <v>3462</v>
      </c>
      <c r="V32" s="47" t="s">
        <v>3463</v>
      </c>
      <c r="W32" s="15"/>
      <c r="X32" s="15"/>
      <c r="Y32" s="15"/>
      <c r="Z32" s="15"/>
    </row>
    <row r="33" spans="1:26" ht="14.25" customHeight="1" x14ac:dyDescent="0.25">
      <c r="A33" s="15"/>
      <c r="B33" s="15"/>
      <c r="C33" s="15"/>
      <c r="D33" s="36" t="s">
        <v>3464</v>
      </c>
      <c r="E33" s="36">
        <v>27003605</v>
      </c>
      <c r="F33" s="36">
        <v>3113218302</v>
      </c>
      <c r="G33" s="36" t="s">
        <v>3267</v>
      </c>
      <c r="H33" s="36" t="s">
        <v>2730</v>
      </c>
      <c r="I33" s="36" t="s">
        <v>421</v>
      </c>
      <c r="J33" s="61">
        <v>82000</v>
      </c>
      <c r="K33" s="57">
        <v>15580</v>
      </c>
      <c r="L33" s="61">
        <f t="shared" si="1"/>
        <v>97580</v>
      </c>
      <c r="M33" s="57" t="s">
        <v>234</v>
      </c>
      <c r="N33" s="64"/>
      <c r="O33" s="65"/>
      <c r="P33" s="66"/>
      <c r="Q33" s="15" t="s">
        <v>3353</v>
      </c>
      <c r="R33" s="15" t="s">
        <v>20</v>
      </c>
      <c r="S33" s="15"/>
      <c r="T33" s="36" t="s">
        <v>3465</v>
      </c>
      <c r="U33" s="36" t="s">
        <v>3466</v>
      </c>
      <c r="V33" s="47" t="s">
        <v>3467</v>
      </c>
      <c r="W33" s="15"/>
      <c r="X33" s="15"/>
      <c r="Y33" s="15"/>
      <c r="Z33" s="15"/>
    </row>
    <row r="34" spans="1:26" ht="14.25" customHeight="1" x14ac:dyDescent="0.25">
      <c r="A34" s="15"/>
      <c r="B34" s="15"/>
      <c r="C34" s="15"/>
      <c r="D34" s="36" t="s">
        <v>3468</v>
      </c>
      <c r="E34" s="36">
        <v>41960839</v>
      </c>
      <c r="F34" s="36" t="s">
        <v>3469</v>
      </c>
      <c r="G34" s="36" t="s">
        <v>3470</v>
      </c>
      <c r="H34" s="36" t="s">
        <v>2730</v>
      </c>
      <c r="I34" s="36" t="s">
        <v>421</v>
      </c>
      <c r="J34" s="61">
        <v>122000</v>
      </c>
      <c r="K34" s="57"/>
      <c r="L34" s="61">
        <v>122000</v>
      </c>
      <c r="M34" s="57" t="s">
        <v>234</v>
      </c>
      <c r="N34" s="64"/>
      <c r="O34" s="65"/>
      <c r="P34" s="66"/>
      <c r="Q34" s="15" t="s">
        <v>3353</v>
      </c>
      <c r="R34" s="15" t="s">
        <v>20</v>
      </c>
      <c r="S34" s="15"/>
      <c r="T34" s="36" t="s">
        <v>3471</v>
      </c>
      <c r="U34" s="36" t="s">
        <v>3472</v>
      </c>
      <c r="V34" s="47" t="s">
        <v>3473</v>
      </c>
      <c r="W34" s="15"/>
      <c r="X34" s="15"/>
      <c r="Y34" s="15"/>
      <c r="Z34" s="15"/>
    </row>
    <row r="35" spans="1:26" ht="14.25" customHeight="1" x14ac:dyDescent="0.25">
      <c r="A35" s="15"/>
      <c r="B35" s="15"/>
      <c r="C35" s="15"/>
      <c r="D35" s="36" t="s">
        <v>3474</v>
      </c>
      <c r="E35" s="36">
        <v>94463653</v>
      </c>
      <c r="F35" s="36">
        <v>3128513844</v>
      </c>
      <c r="G35" s="36" t="s">
        <v>3475</v>
      </c>
      <c r="H35" s="36" t="s">
        <v>2730</v>
      </c>
      <c r="I35" s="36" t="s">
        <v>421</v>
      </c>
      <c r="J35" s="61">
        <v>152000</v>
      </c>
      <c r="K35" s="57"/>
      <c r="L35" s="61">
        <v>152000</v>
      </c>
      <c r="M35" s="57" t="s">
        <v>234</v>
      </c>
      <c r="N35" s="64"/>
      <c r="O35" s="65"/>
      <c r="P35" s="66"/>
      <c r="Q35" s="15" t="s">
        <v>3353</v>
      </c>
      <c r="R35" s="15" t="s">
        <v>20</v>
      </c>
      <c r="S35" s="15"/>
      <c r="T35" s="36" t="s">
        <v>3365</v>
      </c>
      <c r="U35" s="36" t="s">
        <v>3476</v>
      </c>
      <c r="V35" s="47" t="s">
        <v>3477</v>
      </c>
      <c r="W35" s="15"/>
      <c r="X35" s="15"/>
      <c r="Y35" s="15"/>
      <c r="Z35" s="15"/>
    </row>
    <row r="36" spans="1:26" ht="14.25" customHeight="1" x14ac:dyDescent="0.25">
      <c r="A36" s="15"/>
      <c r="B36" s="15"/>
      <c r="C36" s="15"/>
      <c r="D36" s="36" t="s">
        <v>3478</v>
      </c>
      <c r="E36" s="36">
        <v>7524099</v>
      </c>
      <c r="F36" s="36">
        <v>3117760500</v>
      </c>
      <c r="G36" s="36" t="s">
        <v>3479</v>
      </c>
      <c r="H36" s="36" t="s">
        <v>3354</v>
      </c>
      <c r="I36" s="36" t="s">
        <v>421</v>
      </c>
      <c r="J36" s="61">
        <v>82000</v>
      </c>
      <c r="K36" s="57"/>
      <c r="L36" s="61">
        <v>82000</v>
      </c>
      <c r="M36" s="57" t="s">
        <v>234</v>
      </c>
      <c r="N36" s="64"/>
      <c r="O36" s="65"/>
      <c r="P36" s="66"/>
      <c r="Q36" s="15" t="s">
        <v>3353</v>
      </c>
      <c r="R36" s="15" t="s">
        <v>20</v>
      </c>
      <c r="S36" s="15"/>
      <c r="T36" s="36" t="s">
        <v>3480</v>
      </c>
      <c r="U36" s="36" t="s">
        <v>1681</v>
      </c>
      <c r="V36" s="47" t="s">
        <v>311</v>
      </c>
      <c r="W36" s="15"/>
      <c r="X36" s="15"/>
      <c r="Y36" s="15"/>
      <c r="Z36" s="15"/>
    </row>
    <row r="37" spans="1:26" ht="14.25" customHeight="1" x14ac:dyDescent="0.25">
      <c r="A37" s="15"/>
      <c r="B37" s="15"/>
      <c r="C37" s="15"/>
      <c r="D37" s="36" t="s">
        <v>3481</v>
      </c>
      <c r="E37" s="36">
        <v>1115184109</v>
      </c>
      <c r="F37" s="36" t="s">
        <v>3482</v>
      </c>
      <c r="G37" s="36" t="s">
        <v>3483</v>
      </c>
      <c r="H37" s="36" t="s">
        <v>2730</v>
      </c>
      <c r="I37" s="36" t="s">
        <v>421</v>
      </c>
      <c r="J37" s="61">
        <v>82000</v>
      </c>
      <c r="K37" s="57"/>
      <c r="L37" s="61">
        <v>82000</v>
      </c>
      <c r="M37" s="57" t="s">
        <v>234</v>
      </c>
      <c r="N37" s="64"/>
      <c r="O37" s="65"/>
      <c r="P37" s="66"/>
      <c r="Q37" s="15" t="s">
        <v>3353</v>
      </c>
      <c r="R37" s="15" t="s">
        <v>20</v>
      </c>
      <c r="S37" s="15"/>
      <c r="T37" s="80" t="s">
        <v>3418</v>
      </c>
      <c r="U37" s="36" t="s">
        <v>3484</v>
      </c>
      <c r="V37" s="47" t="s">
        <v>3485</v>
      </c>
      <c r="W37" s="15"/>
      <c r="X37" s="15"/>
      <c r="Y37" s="15"/>
      <c r="Z37" s="15"/>
    </row>
    <row r="38" spans="1:26" ht="14.25" customHeight="1" x14ac:dyDescent="0.25">
      <c r="A38" s="15"/>
      <c r="B38" s="15"/>
      <c r="C38" s="15"/>
      <c r="D38" s="36" t="s">
        <v>3486</v>
      </c>
      <c r="E38" s="36">
        <v>94462028</v>
      </c>
      <c r="F38" s="36">
        <v>3113973880</v>
      </c>
      <c r="G38" s="36" t="s">
        <v>3487</v>
      </c>
      <c r="H38" s="36" t="s">
        <v>2730</v>
      </c>
      <c r="I38" s="36" t="s">
        <v>421</v>
      </c>
      <c r="J38" s="61">
        <v>82000</v>
      </c>
      <c r="K38" s="57"/>
      <c r="L38" s="61">
        <v>82000</v>
      </c>
      <c r="M38" s="57" t="s">
        <v>234</v>
      </c>
      <c r="N38" s="64"/>
      <c r="O38" s="65"/>
      <c r="P38" s="66"/>
      <c r="Q38" s="15" t="s">
        <v>3353</v>
      </c>
      <c r="R38" s="15" t="s">
        <v>20</v>
      </c>
      <c r="S38" s="15"/>
      <c r="T38" s="36" t="s">
        <v>3397</v>
      </c>
      <c r="U38" s="36" t="s">
        <v>2730</v>
      </c>
      <c r="V38" s="47" t="s">
        <v>3488</v>
      </c>
      <c r="W38" s="15"/>
      <c r="X38" s="15"/>
      <c r="Y38" s="15"/>
      <c r="Z38" s="15"/>
    </row>
    <row r="39" spans="1:26" ht="14.25" customHeight="1" x14ac:dyDescent="0.25">
      <c r="A39" s="15"/>
      <c r="B39" s="15"/>
      <c r="C39" s="15"/>
      <c r="D39" s="36" t="s">
        <v>3489</v>
      </c>
      <c r="E39" s="36">
        <v>9763698</v>
      </c>
      <c r="F39" s="36" t="s">
        <v>3490</v>
      </c>
      <c r="G39" s="36" t="s">
        <v>3491</v>
      </c>
      <c r="H39" s="36" t="s">
        <v>2730</v>
      </c>
      <c r="I39" s="36" t="s">
        <v>421</v>
      </c>
      <c r="J39" s="61">
        <v>82000</v>
      </c>
      <c r="K39" s="57"/>
      <c r="L39" s="61">
        <v>82000</v>
      </c>
      <c r="M39" s="57" t="s">
        <v>234</v>
      </c>
      <c r="N39" s="64"/>
      <c r="O39" s="65"/>
      <c r="P39" s="66"/>
      <c r="Q39" s="15" t="s">
        <v>3353</v>
      </c>
      <c r="R39" s="15" t="s">
        <v>20</v>
      </c>
      <c r="S39" s="15"/>
      <c r="T39" s="36" t="s">
        <v>3358</v>
      </c>
      <c r="U39" s="36" t="s">
        <v>3492</v>
      </c>
      <c r="V39" s="47" t="s">
        <v>3493</v>
      </c>
      <c r="W39" s="14"/>
      <c r="X39" s="15"/>
      <c r="Y39" s="15"/>
      <c r="Z39" s="15"/>
    </row>
    <row r="40" spans="1:26" ht="14.25" customHeight="1" x14ac:dyDescent="0.25">
      <c r="A40" s="15"/>
      <c r="B40" s="15"/>
      <c r="C40" s="15"/>
      <c r="D40" s="36" t="s">
        <v>3494</v>
      </c>
      <c r="E40" s="36">
        <v>1115187893</v>
      </c>
      <c r="F40" s="36" t="s">
        <v>3495</v>
      </c>
      <c r="G40" s="36" t="s">
        <v>3496</v>
      </c>
      <c r="H40" s="36" t="s">
        <v>2730</v>
      </c>
      <c r="I40" s="36" t="s">
        <v>421</v>
      </c>
      <c r="J40" s="61">
        <v>82000</v>
      </c>
      <c r="K40" s="57"/>
      <c r="L40" s="61">
        <v>82000</v>
      </c>
      <c r="M40" s="57" t="s">
        <v>234</v>
      </c>
      <c r="N40" s="64"/>
      <c r="O40" s="65"/>
      <c r="P40" s="66"/>
      <c r="Q40" s="15" t="s">
        <v>3353</v>
      </c>
      <c r="R40" s="15" t="s">
        <v>20</v>
      </c>
      <c r="S40" s="15"/>
      <c r="T40" s="36" t="s">
        <v>3358</v>
      </c>
      <c r="U40" s="36" t="s">
        <v>3462</v>
      </c>
      <c r="V40" s="47" t="s">
        <v>3497</v>
      </c>
      <c r="W40" s="14"/>
      <c r="X40" s="15"/>
      <c r="Y40" s="15"/>
      <c r="Z40" s="15"/>
    </row>
    <row r="41" spans="1:26" ht="14.25" customHeight="1" x14ac:dyDescent="0.25">
      <c r="A41" s="15"/>
      <c r="B41" s="15"/>
      <c r="C41" s="15" t="s">
        <v>3498</v>
      </c>
      <c r="D41" s="36" t="s">
        <v>3499</v>
      </c>
      <c r="E41" s="36">
        <v>94252691</v>
      </c>
      <c r="F41" s="36">
        <v>3103841899</v>
      </c>
      <c r="G41" s="36" t="s">
        <v>3107</v>
      </c>
      <c r="H41" s="36" t="s">
        <v>2730</v>
      </c>
      <c r="I41" s="36" t="s">
        <v>421</v>
      </c>
      <c r="J41" s="61">
        <v>82000</v>
      </c>
      <c r="K41" s="57"/>
      <c r="L41" s="61">
        <v>82000</v>
      </c>
      <c r="M41" s="57" t="s">
        <v>234</v>
      </c>
      <c r="N41" s="36"/>
      <c r="O41" s="61"/>
      <c r="P41" s="66"/>
      <c r="Q41" s="15" t="s">
        <v>3353</v>
      </c>
      <c r="R41" s="15" t="s">
        <v>20</v>
      </c>
      <c r="S41" s="15"/>
      <c r="T41" s="36" t="s">
        <v>3471</v>
      </c>
      <c r="U41" s="36" t="s">
        <v>3500</v>
      </c>
      <c r="V41" s="47" t="s">
        <v>311</v>
      </c>
      <c r="W41" s="14"/>
      <c r="X41" s="15"/>
      <c r="Y41" s="15"/>
      <c r="Z41" s="15"/>
    </row>
    <row r="42" spans="1:26" ht="14.25" customHeight="1" x14ac:dyDescent="0.25">
      <c r="A42" s="26">
        <v>45576</v>
      </c>
      <c r="B42" s="15" t="s">
        <v>564</v>
      </c>
      <c r="C42" s="15"/>
      <c r="D42" s="36" t="s">
        <v>3501</v>
      </c>
      <c r="E42" s="36">
        <v>1115189722</v>
      </c>
      <c r="F42" s="36" t="s">
        <v>3502</v>
      </c>
      <c r="G42" s="36" t="s">
        <v>3335</v>
      </c>
      <c r="H42" s="36" t="s">
        <v>2730</v>
      </c>
      <c r="I42" s="36" t="s">
        <v>421</v>
      </c>
      <c r="J42" s="61">
        <v>82000</v>
      </c>
      <c r="K42" s="57"/>
      <c r="L42" s="61">
        <v>82000</v>
      </c>
      <c r="M42" s="57" t="s">
        <v>234</v>
      </c>
      <c r="N42" s="64"/>
      <c r="O42" s="65"/>
      <c r="P42" s="66"/>
      <c r="Q42" s="15" t="s">
        <v>3353</v>
      </c>
      <c r="R42" s="15" t="s">
        <v>20</v>
      </c>
      <c r="S42" s="15"/>
      <c r="T42" s="36" t="s">
        <v>3503</v>
      </c>
      <c r="U42" s="36" t="s">
        <v>3504</v>
      </c>
      <c r="V42" s="47" t="s">
        <v>3505</v>
      </c>
      <c r="W42" s="14"/>
      <c r="X42" s="15"/>
      <c r="Y42" s="15"/>
      <c r="Z42" s="15"/>
    </row>
    <row r="43" spans="1:26" ht="14.25" customHeight="1" x14ac:dyDescent="0.25">
      <c r="A43" s="26">
        <v>45583</v>
      </c>
      <c r="B43" s="15" t="s">
        <v>564</v>
      </c>
      <c r="C43" s="15"/>
      <c r="D43" s="36" t="s">
        <v>3506</v>
      </c>
      <c r="E43" s="36">
        <v>1115182087</v>
      </c>
      <c r="F43" s="36" t="s">
        <v>3507</v>
      </c>
      <c r="G43" s="36" t="s">
        <v>3508</v>
      </c>
      <c r="H43" s="36" t="s">
        <v>3141</v>
      </c>
      <c r="I43" s="36" t="s">
        <v>421</v>
      </c>
      <c r="J43" s="61">
        <v>82000</v>
      </c>
      <c r="K43" s="57"/>
      <c r="L43" s="61">
        <v>82000</v>
      </c>
      <c r="M43" s="57" t="s">
        <v>234</v>
      </c>
      <c r="N43" s="64"/>
      <c r="O43" s="65"/>
      <c r="P43" s="66"/>
      <c r="Q43" s="15" t="s">
        <v>3353</v>
      </c>
      <c r="R43" s="15" t="s">
        <v>20</v>
      </c>
      <c r="S43" s="15"/>
      <c r="T43" s="36" t="s">
        <v>3397</v>
      </c>
      <c r="U43" s="36" t="s">
        <v>3509</v>
      </c>
      <c r="V43" s="47" t="s">
        <v>3510</v>
      </c>
      <c r="W43" s="14"/>
      <c r="X43" s="15"/>
      <c r="Y43" s="15"/>
      <c r="Z43" s="15"/>
    </row>
    <row r="44" spans="1:26" ht="14.25" customHeight="1" x14ac:dyDescent="0.25">
      <c r="A44" s="26">
        <v>45602</v>
      </c>
      <c r="B44" s="15" t="s">
        <v>564</v>
      </c>
      <c r="C44" s="15"/>
      <c r="D44" s="36" t="s">
        <v>3511</v>
      </c>
      <c r="E44" s="36">
        <v>1115188557</v>
      </c>
      <c r="F44" s="36" t="s">
        <v>3512</v>
      </c>
      <c r="G44" s="36" t="s">
        <v>3513</v>
      </c>
      <c r="H44" s="36" t="s">
        <v>2730</v>
      </c>
      <c r="I44" s="36" t="s">
        <v>421</v>
      </c>
      <c r="J44" s="61">
        <v>82000</v>
      </c>
      <c r="K44" s="57"/>
      <c r="L44" s="61">
        <v>82000</v>
      </c>
      <c r="M44" s="57" t="s">
        <v>234</v>
      </c>
      <c r="N44" s="64"/>
      <c r="O44" s="65"/>
      <c r="P44" s="66"/>
      <c r="Q44" s="15" t="s">
        <v>3353</v>
      </c>
      <c r="R44" s="15" t="s">
        <v>20</v>
      </c>
      <c r="S44" s="15"/>
      <c r="T44" s="36" t="s">
        <v>3514</v>
      </c>
      <c r="U44" s="36" t="s">
        <v>3515</v>
      </c>
      <c r="V44" s="119" t="s">
        <v>3516</v>
      </c>
      <c r="W44" s="14"/>
      <c r="X44" s="15"/>
      <c r="Y44" s="15"/>
      <c r="Z44" s="15"/>
    </row>
    <row r="45" spans="1:26" ht="14.25" customHeight="1" x14ac:dyDescent="0.25">
      <c r="A45" s="26">
        <v>45602</v>
      </c>
      <c r="B45" s="15" t="s">
        <v>564</v>
      </c>
      <c r="C45" s="15" t="s">
        <v>3498</v>
      </c>
      <c r="D45" s="15" t="s">
        <v>3517</v>
      </c>
      <c r="E45" s="17">
        <v>1115192732</v>
      </c>
      <c r="F45" s="36" t="s">
        <v>3518</v>
      </c>
      <c r="G45" s="36" t="s">
        <v>3519</v>
      </c>
      <c r="H45" s="36" t="s">
        <v>3354</v>
      </c>
      <c r="I45" s="36" t="s">
        <v>421</v>
      </c>
      <c r="J45" s="61">
        <v>82000</v>
      </c>
      <c r="K45" s="57"/>
      <c r="L45" s="61">
        <v>82000</v>
      </c>
      <c r="M45" s="57" t="s">
        <v>234</v>
      </c>
      <c r="N45" s="64"/>
      <c r="O45" s="65"/>
      <c r="P45" s="66"/>
      <c r="Q45" s="15" t="s">
        <v>3353</v>
      </c>
      <c r="R45" s="15" t="s">
        <v>20</v>
      </c>
      <c r="S45" s="15"/>
      <c r="T45" s="15" t="s">
        <v>3520</v>
      </c>
      <c r="U45" s="36" t="s">
        <v>3521</v>
      </c>
      <c r="V45" s="47" t="s">
        <v>3522</v>
      </c>
      <c r="W45" s="14"/>
      <c r="X45" s="15"/>
      <c r="Y45" s="15"/>
      <c r="Z45" s="15"/>
    </row>
    <row r="46" spans="1:26" ht="14.25" customHeight="1" x14ac:dyDescent="0.25">
      <c r="A46" s="26"/>
      <c r="B46" s="15" t="s">
        <v>564</v>
      </c>
      <c r="C46" s="15"/>
      <c r="D46" s="15" t="s">
        <v>3523</v>
      </c>
      <c r="E46" s="17">
        <v>29324944</v>
      </c>
      <c r="F46" s="17" t="s">
        <v>3524</v>
      </c>
      <c r="G46" s="17" t="s">
        <v>3525</v>
      </c>
      <c r="H46" s="17" t="s">
        <v>2730</v>
      </c>
      <c r="I46" s="36" t="s">
        <v>3135</v>
      </c>
      <c r="J46" s="61">
        <v>152000</v>
      </c>
      <c r="K46" s="57"/>
      <c r="L46" s="61">
        <v>152000</v>
      </c>
      <c r="M46" s="57" t="s">
        <v>234</v>
      </c>
      <c r="N46" s="64"/>
      <c r="O46" s="65"/>
      <c r="P46" s="66"/>
      <c r="Q46" s="15" t="s">
        <v>3353</v>
      </c>
      <c r="R46" s="15" t="s">
        <v>20</v>
      </c>
      <c r="S46" s="15"/>
      <c r="T46" s="15" t="s">
        <v>3526</v>
      </c>
      <c r="U46" s="36" t="s">
        <v>3527</v>
      </c>
      <c r="V46" s="47" t="s">
        <v>3528</v>
      </c>
      <c r="W46" s="14"/>
      <c r="X46" s="15"/>
      <c r="Y46" s="15"/>
      <c r="Z46" s="15"/>
    </row>
    <row r="47" spans="1:26" ht="14.25" customHeight="1" x14ac:dyDescent="0.25">
      <c r="A47" s="26">
        <v>45622</v>
      </c>
      <c r="B47" s="15" t="s">
        <v>564</v>
      </c>
      <c r="C47" s="15"/>
      <c r="D47" s="36" t="s">
        <v>3529</v>
      </c>
      <c r="E47" s="36">
        <v>1004696676</v>
      </c>
      <c r="F47" s="36" t="s">
        <v>3530</v>
      </c>
      <c r="G47" s="36" t="s">
        <v>3531</v>
      </c>
      <c r="H47" s="36" t="s">
        <v>3028</v>
      </c>
      <c r="I47" s="36" t="s">
        <v>1783</v>
      </c>
      <c r="J47" s="61">
        <v>82000</v>
      </c>
      <c r="K47" s="57"/>
      <c r="L47" s="61">
        <v>82000</v>
      </c>
      <c r="M47" s="57" t="s">
        <v>234</v>
      </c>
      <c r="N47" s="64"/>
      <c r="O47" s="65"/>
      <c r="P47" s="66"/>
      <c r="Q47" s="15" t="s">
        <v>3532</v>
      </c>
      <c r="R47" s="15" t="s">
        <v>20</v>
      </c>
      <c r="S47" s="15"/>
      <c r="T47" s="36" t="s">
        <v>3206</v>
      </c>
      <c r="U47" s="36" t="s">
        <v>3533</v>
      </c>
      <c r="V47" s="47" t="s">
        <v>311</v>
      </c>
      <c r="W47" s="14"/>
      <c r="X47" s="15"/>
      <c r="Y47" s="15"/>
      <c r="Z47" s="15"/>
    </row>
    <row r="48" spans="1:26" ht="14.25" customHeight="1" x14ac:dyDescent="0.25">
      <c r="A48" s="127">
        <v>45654</v>
      </c>
      <c r="B48" s="15" t="s">
        <v>564</v>
      </c>
      <c r="C48" s="15"/>
      <c r="D48" s="36" t="s">
        <v>3534</v>
      </c>
      <c r="E48" s="36">
        <v>1115182511</v>
      </c>
      <c r="F48" s="36" t="s">
        <v>3535</v>
      </c>
      <c r="G48" s="36" t="s">
        <v>3536</v>
      </c>
      <c r="H48" s="36" t="s">
        <v>2730</v>
      </c>
      <c r="I48" s="36" t="s">
        <v>1783</v>
      </c>
      <c r="J48" s="61">
        <v>82000</v>
      </c>
      <c r="K48" s="57"/>
      <c r="L48" s="61">
        <v>82000</v>
      </c>
      <c r="M48" s="57" t="s">
        <v>234</v>
      </c>
      <c r="N48" s="64"/>
      <c r="O48" s="65"/>
      <c r="P48" s="66"/>
      <c r="Q48" s="15" t="s">
        <v>3353</v>
      </c>
      <c r="R48" s="15" t="s">
        <v>20</v>
      </c>
      <c r="S48" s="15"/>
      <c r="T48" s="36" t="s">
        <v>3537</v>
      </c>
      <c r="U48" s="36" t="s">
        <v>3538</v>
      </c>
      <c r="V48" s="47" t="s">
        <v>3539</v>
      </c>
      <c r="W48" s="14"/>
      <c r="X48" s="15"/>
      <c r="Y48" s="15"/>
      <c r="Z48" s="15"/>
    </row>
    <row r="49" spans="1:26" ht="14.25" customHeight="1" x14ac:dyDescent="0.25">
      <c r="A49" s="26">
        <v>45636</v>
      </c>
      <c r="B49" s="15" t="s">
        <v>564</v>
      </c>
      <c r="C49" s="15"/>
      <c r="D49" s="36" t="s">
        <v>3540</v>
      </c>
      <c r="E49" s="36">
        <v>94463646</v>
      </c>
      <c r="F49" s="36">
        <v>3218588763</v>
      </c>
      <c r="G49" s="36" t="s">
        <v>3352</v>
      </c>
      <c r="H49" s="36" t="s">
        <v>2730</v>
      </c>
      <c r="I49" s="36" t="s">
        <v>1783</v>
      </c>
      <c r="J49" s="61">
        <v>82000</v>
      </c>
      <c r="K49" s="57"/>
      <c r="L49" s="61">
        <v>82000</v>
      </c>
      <c r="M49" s="57" t="s">
        <v>234</v>
      </c>
      <c r="N49" s="64"/>
      <c r="O49" s="65"/>
      <c r="P49" s="66"/>
      <c r="Q49" s="15" t="s">
        <v>3353</v>
      </c>
      <c r="R49" s="15" t="s">
        <v>20</v>
      </c>
      <c r="S49" s="15"/>
      <c r="T49" s="36" t="s">
        <v>3541</v>
      </c>
      <c r="U49" s="36" t="s">
        <v>3542</v>
      </c>
      <c r="V49" s="47" t="s">
        <v>3543</v>
      </c>
      <c r="W49" s="14"/>
      <c r="X49" s="15"/>
      <c r="Y49" s="15"/>
      <c r="Z49" s="15"/>
    </row>
    <row r="50" spans="1:26" ht="14.25" customHeight="1" x14ac:dyDescent="0.25">
      <c r="A50" s="26">
        <v>45644</v>
      </c>
      <c r="B50" s="15" t="s">
        <v>564</v>
      </c>
      <c r="C50" s="15"/>
      <c r="D50" s="36" t="s">
        <v>3544</v>
      </c>
      <c r="E50" s="36">
        <v>66961563</v>
      </c>
      <c r="F50" s="36" t="s">
        <v>3545</v>
      </c>
      <c r="G50" s="36" t="s">
        <v>3546</v>
      </c>
      <c r="H50" s="36" t="s">
        <v>2730</v>
      </c>
      <c r="I50" s="36" t="s">
        <v>1783</v>
      </c>
      <c r="J50" s="61">
        <v>82000</v>
      </c>
      <c r="K50" s="57"/>
      <c r="L50" s="61">
        <v>82000</v>
      </c>
      <c r="M50" s="57" t="s">
        <v>234</v>
      </c>
      <c r="N50" s="64"/>
      <c r="O50" s="65"/>
      <c r="P50" s="66"/>
      <c r="Q50" s="15" t="s">
        <v>3353</v>
      </c>
      <c r="R50" s="15" t="s">
        <v>20</v>
      </c>
      <c r="S50" s="15"/>
      <c r="T50" s="36" t="s">
        <v>3547</v>
      </c>
      <c r="U50" s="36" t="s">
        <v>3548</v>
      </c>
      <c r="V50" s="47" t="s">
        <v>3549</v>
      </c>
      <c r="W50" s="14"/>
      <c r="X50" s="15"/>
      <c r="Y50" s="15"/>
      <c r="Z50" s="15"/>
    </row>
    <row r="51" spans="1:26" ht="14.25" customHeight="1" x14ac:dyDescent="0.25">
      <c r="A51" s="26">
        <v>45681</v>
      </c>
      <c r="B51" s="15" t="s">
        <v>564</v>
      </c>
      <c r="C51" s="15"/>
      <c r="D51" s="36" t="s">
        <v>3550</v>
      </c>
      <c r="E51" s="36">
        <v>98260039</v>
      </c>
      <c r="F51" s="36" t="s">
        <v>3551</v>
      </c>
      <c r="G51" s="36" t="s">
        <v>3552</v>
      </c>
      <c r="H51" s="36" t="s">
        <v>2730</v>
      </c>
      <c r="I51" s="36" t="s">
        <v>421</v>
      </c>
      <c r="J51" s="61">
        <v>82000</v>
      </c>
      <c r="K51" s="57"/>
      <c r="L51" s="61">
        <v>82000</v>
      </c>
      <c r="M51" s="57" t="s">
        <v>234</v>
      </c>
      <c r="N51" s="64"/>
      <c r="O51" s="65"/>
      <c r="P51" s="66"/>
      <c r="Q51" s="15" t="s">
        <v>3353</v>
      </c>
      <c r="R51" s="15" t="s">
        <v>20</v>
      </c>
      <c r="S51" s="15"/>
      <c r="T51" s="36" t="s">
        <v>3553</v>
      </c>
      <c r="U51" s="36" t="s">
        <v>3554</v>
      </c>
      <c r="V51" s="47" t="s">
        <v>3555</v>
      </c>
      <c r="W51" s="14"/>
      <c r="X51" s="15"/>
      <c r="Y51" s="15"/>
      <c r="Z51" s="15"/>
    </row>
    <row r="52" spans="1:26" ht="14.25" customHeight="1" x14ac:dyDescent="0.25">
      <c r="A52" s="26">
        <v>45744</v>
      </c>
      <c r="B52" s="15" t="s">
        <v>564</v>
      </c>
      <c r="C52" s="15"/>
      <c r="D52" s="36" t="s">
        <v>3556</v>
      </c>
      <c r="E52" s="36">
        <v>38141996</v>
      </c>
      <c r="F52" s="36" t="s">
        <v>3557</v>
      </c>
      <c r="G52" s="36" t="s">
        <v>3558</v>
      </c>
      <c r="H52" s="36" t="s">
        <v>3141</v>
      </c>
      <c r="I52" s="36" t="s">
        <v>421</v>
      </c>
      <c r="J52" s="61">
        <v>82000</v>
      </c>
      <c r="K52" s="57"/>
      <c r="L52" s="61">
        <v>82000</v>
      </c>
      <c r="M52" s="57" t="s">
        <v>234</v>
      </c>
      <c r="N52" s="64"/>
      <c r="O52" s="65"/>
      <c r="P52" s="66"/>
      <c r="Q52" s="15" t="s">
        <v>3353</v>
      </c>
      <c r="R52" s="15" t="s">
        <v>20</v>
      </c>
      <c r="S52" s="15"/>
      <c r="T52" s="36" t="s">
        <v>3559</v>
      </c>
      <c r="U52" s="36" t="s">
        <v>3560</v>
      </c>
      <c r="V52" s="47" t="s">
        <v>3561</v>
      </c>
      <c r="W52" s="14"/>
      <c r="X52" s="15"/>
      <c r="Y52" s="15"/>
      <c r="Z52" s="15"/>
    </row>
    <row r="53" spans="1:26" ht="14.25" customHeight="1" x14ac:dyDescent="0.25">
      <c r="A53" s="26">
        <v>45722</v>
      </c>
      <c r="B53" s="15" t="s">
        <v>564</v>
      </c>
      <c r="C53" s="15"/>
      <c r="D53" s="36" t="s">
        <v>3562</v>
      </c>
      <c r="E53" s="36">
        <v>1114822681</v>
      </c>
      <c r="F53" s="36" t="s">
        <v>3563</v>
      </c>
      <c r="G53" s="36" t="s">
        <v>3564</v>
      </c>
      <c r="H53" s="36" t="s">
        <v>2730</v>
      </c>
      <c r="I53" s="36" t="s">
        <v>421</v>
      </c>
      <c r="J53" s="61">
        <v>82000</v>
      </c>
      <c r="K53" s="57"/>
      <c r="L53" s="61">
        <v>82000</v>
      </c>
      <c r="M53" s="57" t="s">
        <v>234</v>
      </c>
      <c r="N53" s="64"/>
      <c r="O53" s="65"/>
      <c r="P53" s="66"/>
      <c r="Q53" s="15" t="s">
        <v>3353</v>
      </c>
      <c r="R53" s="15" t="s">
        <v>20</v>
      </c>
      <c r="S53" s="15"/>
      <c r="T53" s="36" t="s">
        <v>3565</v>
      </c>
      <c r="U53" s="36" t="s">
        <v>3548</v>
      </c>
      <c r="V53" s="47" t="s">
        <v>3566</v>
      </c>
      <c r="W53" s="14"/>
      <c r="X53" s="15"/>
      <c r="Y53" s="15"/>
      <c r="Z53" s="15"/>
    </row>
    <row r="54" spans="1:26" ht="14.25" customHeight="1" x14ac:dyDescent="0.25">
      <c r="A54" s="26">
        <v>45757</v>
      </c>
      <c r="B54" s="15" t="s">
        <v>564</v>
      </c>
      <c r="C54" s="15"/>
      <c r="D54" s="36" t="s">
        <v>3567</v>
      </c>
      <c r="E54" s="36">
        <v>66964369</v>
      </c>
      <c r="F54" s="36" t="s">
        <v>3568</v>
      </c>
      <c r="G54" s="36" t="s">
        <v>3569</v>
      </c>
      <c r="H54" s="36" t="s">
        <v>2730</v>
      </c>
      <c r="I54" s="36" t="s">
        <v>421</v>
      </c>
      <c r="J54" s="61">
        <v>82000</v>
      </c>
      <c r="K54" s="57"/>
      <c r="L54" s="61">
        <v>82000</v>
      </c>
      <c r="M54" s="57" t="s">
        <v>234</v>
      </c>
      <c r="N54" s="64"/>
      <c r="O54" s="65"/>
      <c r="P54" s="66"/>
      <c r="Q54" s="15" t="s">
        <v>3353</v>
      </c>
      <c r="R54" s="15" t="s">
        <v>20</v>
      </c>
      <c r="S54" s="15"/>
      <c r="T54" s="36" t="s">
        <v>3471</v>
      </c>
      <c r="U54" s="36" t="s">
        <v>3570</v>
      </c>
      <c r="V54" s="47" t="s">
        <v>311</v>
      </c>
      <c r="W54" s="14"/>
      <c r="X54" s="15"/>
      <c r="Y54" s="15"/>
      <c r="Z54" s="15"/>
    </row>
    <row r="55" spans="1:26" ht="14.25" customHeight="1" x14ac:dyDescent="0.25">
      <c r="A55" s="26">
        <v>45769</v>
      </c>
      <c r="B55" s="15" t="s">
        <v>419</v>
      </c>
      <c r="C55" s="15"/>
      <c r="D55" s="36" t="s">
        <v>3571</v>
      </c>
      <c r="E55" s="36">
        <v>900549654</v>
      </c>
      <c r="F55" s="36">
        <v>3117619093</v>
      </c>
      <c r="G55" s="36" t="s">
        <v>3572</v>
      </c>
      <c r="H55" s="36" t="s">
        <v>2730</v>
      </c>
      <c r="I55" s="36" t="s">
        <v>3573</v>
      </c>
      <c r="J55" s="61">
        <v>152000</v>
      </c>
      <c r="K55" s="57"/>
      <c r="L55" s="61">
        <v>180880</v>
      </c>
      <c r="M55" s="57" t="s">
        <v>234</v>
      </c>
      <c r="N55" s="36"/>
      <c r="O55" s="61"/>
      <c r="P55" s="66"/>
      <c r="Q55" s="15" t="s">
        <v>3353</v>
      </c>
      <c r="R55" s="15" t="s">
        <v>20</v>
      </c>
      <c r="S55" s="15"/>
      <c r="T55" s="36" t="s">
        <v>3574</v>
      </c>
      <c r="U55" s="36"/>
      <c r="V55" s="47" t="s">
        <v>311</v>
      </c>
      <c r="W55" s="14"/>
      <c r="X55" s="15"/>
      <c r="Y55" s="15"/>
      <c r="Z55" s="15"/>
    </row>
    <row r="56" spans="1:26" ht="14.25" customHeight="1" x14ac:dyDescent="0.25">
      <c r="A56" s="26">
        <v>45769</v>
      </c>
      <c r="B56" s="15" t="s">
        <v>419</v>
      </c>
      <c r="C56" s="15"/>
      <c r="D56" s="36" t="s">
        <v>3575</v>
      </c>
      <c r="E56" s="36">
        <v>16350618</v>
      </c>
      <c r="F56" s="36" t="s">
        <v>3576</v>
      </c>
      <c r="G56" s="36" t="s">
        <v>3577</v>
      </c>
      <c r="H56" s="36" t="s">
        <v>2730</v>
      </c>
      <c r="I56" s="36" t="s">
        <v>421</v>
      </c>
      <c r="J56" s="61">
        <v>82000</v>
      </c>
      <c r="K56" s="57"/>
      <c r="L56" s="61">
        <v>82000</v>
      </c>
      <c r="M56" s="57" t="s">
        <v>234</v>
      </c>
      <c r="N56" s="64"/>
      <c r="O56" s="65"/>
      <c r="P56" s="66"/>
      <c r="Q56" s="15" t="s">
        <v>3353</v>
      </c>
      <c r="R56" s="15" t="s">
        <v>20</v>
      </c>
      <c r="S56" s="15"/>
      <c r="T56" s="36" t="s">
        <v>3578</v>
      </c>
      <c r="U56" s="36" t="s">
        <v>3579</v>
      </c>
      <c r="V56" s="47" t="s">
        <v>311</v>
      </c>
      <c r="W56" s="14"/>
      <c r="X56" s="15"/>
      <c r="Y56" s="15"/>
      <c r="Z56" s="15"/>
    </row>
    <row r="57" spans="1:26" ht="14.25" customHeight="1" x14ac:dyDescent="0.25">
      <c r="A57" s="128">
        <v>45773</v>
      </c>
      <c r="B57" s="15" t="s">
        <v>419</v>
      </c>
      <c r="C57" s="15"/>
      <c r="D57" s="15" t="s">
        <v>3580</v>
      </c>
      <c r="E57" s="17">
        <v>94386399</v>
      </c>
      <c r="F57" s="17">
        <v>3113785031</v>
      </c>
      <c r="G57" s="15" t="s">
        <v>3581</v>
      </c>
      <c r="H57" s="36" t="s">
        <v>2730</v>
      </c>
      <c r="I57" s="36" t="s">
        <v>421</v>
      </c>
      <c r="J57" s="61">
        <v>82000</v>
      </c>
      <c r="K57" s="57"/>
      <c r="L57" s="61">
        <v>82000</v>
      </c>
      <c r="M57" s="57" t="s">
        <v>234</v>
      </c>
      <c r="N57" s="64"/>
      <c r="O57" s="65"/>
      <c r="P57" s="66"/>
      <c r="Q57" s="15" t="s">
        <v>3353</v>
      </c>
      <c r="R57" s="15" t="s">
        <v>20</v>
      </c>
      <c r="S57" s="15"/>
      <c r="T57" s="36" t="s">
        <v>3582</v>
      </c>
      <c r="U57" s="36" t="s">
        <v>3583</v>
      </c>
      <c r="V57" s="47" t="s">
        <v>311</v>
      </c>
      <c r="W57" s="14"/>
      <c r="X57" s="15"/>
      <c r="Y57" s="15"/>
      <c r="Z57" s="15"/>
    </row>
    <row r="58" spans="1:26" ht="14.25" customHeight="1" x14ac:dyDescent="0.25">
      <c r="A58" s="26">
        <v>45813</v>
      </c>
      <c r="B58" s="15" t="s">
        <v>21</v>
      </c>
      <c r="C58" s="15"/>
      <c r="D58" s="15" t="s">
        <v>3584</v>
      </c>
      <c r="E58" s="17">
        <v>1500867</v>
      </c>
      <c r="F58" s="17"/>
      <c r="G58" s="36" t="s">
        <v>3585</v>
      </c>
      <c r="H58" s="36" t="s">
        <v>2730</v>
      </c>
      <c r="I58" s="36" t="s">
        <v>3573</v>
      </c>
      <c r="J58" s="61">
        <v>152000</v>
      </c>
      <c r="K58" s="57"/>
      <c r="L58" s="61">
        <v>152000</v>
      </c>
      <c r="M58" s="57" t="s">
        <v>234</v>
      </c>
      <c r="N58" s="64"/>
      <c r="O58" s="65"/>
      <c r="P58" s="66"/>
      <c r="Q58" s="15" t="s">
        <v>3353</v>
      </c>
      <c r="R58" s="15" t="s">
        <v>20</v>
      </c>
      <c r="S58" s="15"/>
      <c r="T58" s="36" t="s">
        <v>3586</v>
      </c>
      <c r="U58" s="36"/>
      <c r="V58" s="47" t="s">
        <v>311</v>
      </c>
      <c r="W58" s="14"/>
      <c r="X58" s="15"/>
      <c r="Y58" s="15"/>
      <c r="Z58" s="15"/>
    </row>
    <row r="59" spans="1:26" ht="14.25" customHeight="1" x14ac:dyDescent="0.25">
      <c r="A59" s="26">
        <v>45814</v>
      </c>
      <c r="B59" s="15" t="s">
        <v>419</v>
      </c>
      <c r="C59" s="15"/>
      <c r="D59" s="36" t="s">
        <v>5478</v>
      </c>
      <c r="E59" s="36">
        <v>1113629376</v>
      </c>
      <c r="F59" s="36" t="s">
        <v>3587</v>
      </c>
      <c r="G59" s="36" t="s">
        <v>3121</v>
      </c>
      <c r="H59" s="36" t="s">
        <v>2730</v>
      </c>
      <c r="I59" s="36" t="s">
        <v>3135</v>
      </c>
      <c r="J59" s="61">
        <v>122000</v>
      </c>
      <c r="K59" s="57"/>
      <c r="L59" s="61">
        <v>122000</v>
      </c>
      <c r="M59" s="57" t="s">
        <v>234</v>
      </c>
      <c r="N59" s="64"/>
      <c r="O59" s="65"/>
      <c r="P59" s="66"/>
      <c r="Q59" s="15" t="s">
        <v>3353</v>
      </c>
      <c r="R59" s="15" t="s">
        <v>20</v>
      </c>
      <c r="S59" s="15"/>
      <c r="T59" s="36" t="s">
        <v>3588</v>
      </c>
      <c r="U59" s="36" t="s">
        <v>3589</v>
      </c>
      <c r="V59" s="47" t="s">
        <v>3590</v>
      </c>
      <c r="W59" s="14"/>
      <c r="X59" s="15"/>
      <c r="Y59" s="15"/>
      <c r="Z59" s="15"/>
    </row>
    <row r="60" spans="1:26" ht="14.25" customHeight="1" x14ac:dyDescent="0.25">
      <c r="A60" s="26">
        <v>45821</v>
      </c>
      <c r="B60" s="15" t="s">
        <v>21</v>
      </c>
      <c r="C60" s="15"/>
      <c r="D60" s="36" t="s">
        <v>3591</v>
      </c>
      <c r="E60" s="36">
        <v>1117013203</v>
      </c>
      <c r="F60" s="36" t="s">
        <v>3592</v>
      </c>
      <c r="G60" s="36" t="s">
        <v>3593</v>
      </c>
      <c r="H60" s="36" t="s">
        <v>2730</v>
      </c>
      <c r="I60" s="36" t="s">
        <v>421</v>
      </c>
      <c r="J60" s="61">
        <v>82000</v>
      </c>
      <c r="K60" s="57"/>
      <c r="L60" s="61">
        <v>82000</v>
      </c>
      <c r="M60" s="57" t="s">
        <v>234</v>
      </c>
      <c r="N60" s="64"/>
      <c r="O60" s="65"/>
      <c r="P60" s="66"/>
      <c r="Q60" s="15" t="s">
        <v>3353</v>
      </c>
      <c r="R60" s="15" t="s">
        <v>20</v>
      </c>
      <c r="S60" s="15"/>
      <c r="T60" s="36" t="s">
        <v>3594</v>
      </c>
      <c r="U60" s="36"/>
      <c r="V60" s="47" t="s">
        <v>3595</v>
      </c>
      <c r="W60" s="14"/>
      <c r="X60" s="15"/>
      <c r="Y60" s="15"/>
      <c r="Z60" s="15"/>
    </row>
    <row r="61" spans="1:26" ht="14.25" customHeight="1" x14ac:dyDescent="0.25">
      <c r="A61" s="26">
        <v>45832</v>
      </c>
      <c r="B61" s="15" t="s">
        <v>419</v>
      </c>
      <c r="C61" s="15"/>
      <c r="D61" s="36" t="s">
        <v>3596</v>
      </c>
      <c r="E61" s="36">
        <v>1115192304</v>
      </c>
      <c r="F61" s="36" t="s">
        <v>3597</v>
      </c>
      <c r="G61" s="36" t="s">
        <v>3074</v>
      </c>
      <c r="H61" s="36" t="s">
        <v>2730</v>
      </c>
      <c r="I61" s="36" t="s">
        <v>421</v>
      </c>
      <c r="J61" s="61">
        <v>82000</v>
      </c>
      <c r="K61" s="57"/>
      <c r="L61" s="61">
        <v>82000</v>
      </c>
      <c r="M61" s="57" t="s">
        <v>234</v>
      </c>
      <c r="N61" s="64"/>
      <c r="O61" s="65"/>
      <c r="P61" s="66"/>
      <c r="Q61" s="15" t="s">
        <v>3353</v>
      </c>
      <c r="R61" s="15" t="s">
        <v>20</v>
      </c>
      <c r="S61" s="15"/>
      <c r="T61" s="36" t="s">
        <v>3598</v>
      </c>
      <c r="U61" s="36" t="s">
        <v>3599</v>
      </c>
      <c r="V61" s="47" t="s">
        <v>3600</v>
      </c>
      <c r="W61" s="14"/>
      <c r="X61" s="15"/>
      <c r="Y61" s="15"/>
      <c r="Z61" s="15"/>
    </row>
    <row r="62" spans="1:26" ht="14.25" customHeight="1" x14ac:dyDescent="0.25">
      <c r="A62" s="26">
        <v>45881</v>
      </c>
      <c r="B62" s="15" t="s">
        <v>419</v>
      </c>
      <c r="C62" s="15" t="s">
        <v>1903</v>
      </c>
      <c r="D62" s="36" t="s">
        <v>3601</v>
      </c>
      <c r="E62" s="36">
        <v>1007757108</v>
      </c>
      <c r="F62" s="36">
        <v>3146866180</v>
      </c>
      <c r="G62" s="36" t="s">
        <v>3602</v>
      </c>
      <c r="H62" s="36" t="s">
        <v>3354</v>
      </c>
      <c r="I62" s="36" t="s">
        <v>421</v>
      </c>
      <c r="J62" s="61">
        <v>82000</v>
      </c>
      <c r="K62" s="57"/>
      <c r="L62" s="61">
        <v>82000</v>
      </c>
      <c r="M62" s="57" t="s">
        <v>234</v>
      </c>
      <c r="N62" s="64"/>
      <c r="O62" s="65"/>
      <c r="P62" s="66"/>
      <c r="Q62" s="15" t="s">
        <v>3353</v>
      </c>
      <c r="R62" s="15"/>
      <c r="S62" s="15"/>
      <c r="T62" s="36" t="s">
        <v>3603</v>
      </c>
      <c r="U62" s="36" t="s">
        <v>3293</v>
      </c>
      <c r="V62" s="63"/>
      <c r="W62" s="14"/>
      <c r="X62" s="15"/>
      <c r="Y62" s="15"/>
      <c r="Z62" s="15"/>
    </row>
    <row r="63" spans="1:26" ht="14.25" customHeight="1" x14ac:dyDescent="0.25">
      <c r="A63" s="129">
        <v>45946</v>
      </c>
      <c r="B63" s="104" t="s">
        <v>419</v>
      </c>
      <c r="C63" s="104"/>
      <c r="D63" s="132" t="s">
        <v>3623</v>
      </c>
      <c r="E63" s="132">
        <v>1102720367</v>
      </c>
      <c r="F63" s="132" t="s">
        <v>3624</v>
      </c>
      <c r="G63" s="132" t="s">
        <v>3625</v>
      </c>
      <c r="H63" s="132" t="s">
        <v>3626</v>
      </c>
      <c r="I63" s="132" t="s">
        <v>421</v>
      </c>
      <c r="J63" s="133">
        <v>82000</v>
      </c>
      <c r="K63" s="134"/>
      <c r="L63" s="133">
        <v>82000</v>
      </c>
      <c r="M63" s="57" t="s">
        <v>234</v>
      </c>
      <c r="N63" s="137"/>
      <c r="O63" s="138"/>
      <c r="P63" s="135"/>
      <c r="Q63" s="104" t="s">
        <v>3353</v>
      </c>
      <c r="R63" s="104" t="s">
        <v>20</v>
      </c>
      <c r="S63" s="104"/>
      <c r="T63" s="132" t="s">
        <v>3627</v>
      </c>
      <c r="U63" s="132"/>
      <c r="V63" s="139"/>
      <c r="W63" s="14"/>
      <c r="X63" s="15"/>
      <c r="Y63" s="15"/>
      <c r="Z63" s="15"/>
    </row>
    <row r="64" spans="1:26" ht="14.25" customHeight="1" x14ac:dyDescent="0.25">
      <c r="A64" s="129">
        <v>45589</v>
      </c>
      <c r="B64" s="104" t="s">
        <v>419</v>
      </c>
      <c r="C64" s="104"/>
      <c r="D64" s="132" t="s">
        <v>3628</v>
      </c>
      <c r="E64" s="132">
        <v>1112774527</v>
      </c>
      <c r="F64" s="132" t="s">
        <v>3629</v>
      </c>
      <c r="G64" s="132" t="s">
        <v>3630</v>
      </c>
      <c r="H64" s="132" t="s">
        <v>2730</v>
      </c>
      <c r="I64" s="132" t="s">
        <v>421</v>
      </c>
      <c r="J64" s="133">
        <v>82000</v>
      </c>
      <c r="K64" s="134"/>
      <c r="L64" s="133">
        <v>82000</v>
      </c>
      <c r="M64" s="57" t="s">
        <v>234</v>
      </c>
      <c r="N64" s="137"/>
      <c r="O64" s="138"/>
      <c r="P64" s="135"/>
      <c r="Q64" s="104" t="s">
        <v>3353</v>
      </c>
      <c r="R64" s="104" t="s">
        <v>20</v>
      </c>
      <c r="S64" s="104"/>
      <c r="T64" s="132" t="s">
        <v>3631</v>
      </c>
      <c r="U64" s="132"/>
      <c r="V64" s="136" t="s">
        <v>3632</v>
      </c>
      <c r="W64" s="14"/>
      <c r="X64" s="15"/>
      <c r="Y64" s="15"/>
      <c r="Z64" s="15"/>
    </row>
    <row r="65" spans="1:26" ht="14.25" customHeight="1" x14ac:dyDescent="0.25">
      <c r="A65" s="15"/>
      <c r="B65" s="15"/>
      <c r="C65" s="15"/>
      <c r="D65" s="64" t="s">
        <v>3644</v>
      </c>
      <c r="E65" s="64">
        <v>821001449</v>
      </c>
      <c r="F65" s="36"/>
      <c r="G65" s="36"/>
      <c r="H65" s="36"/>
      <c r="I65" s="64" t="s">
        <v>35</v>
      </c>
      <c r="J65" s="65">
        <v>122000</v>
      </c>
      <c r="K65" s="18">
        <v>23180</v>
      </c>
      <c r="L65" s="65">
        <v>145180</v>
      </c>
      <c r="M65" s="57" t="s">
        <v>234</v>
      </c>
      <c r="N65" s="36"/>
      <c r="O65" s="61"/>
      <c r="P65" s="66"/>
      <c r="Q65" s="28" t="s">
        <v>3353</v>
      </c>
      <c r="R65" s="28" t="s">
        <v>20</v>
      </c>
      <c r="S65" s="15"/>
      <c r="T65" s="64" t="s">
        <v>3645</v>
      </c>
      <c r="U65" s="36"/>
      <c r="V65" s="84" t="s">
        <v>3646</v>
      </c>
      <c r="W65" s="14"/>
      <c r="X65" s="15"/>
      <c r="Y65" s="15"/>
      <c r="Z65" s="15"/>
    </row>
    <row r="66" spans="1:26" ht="14.25" customHeight="1" x14ac:dyDescent="0.25">
      <c r="A66" s="26">
        <v>45995</v>
      </c>
      <c r="B66" s="15" t="s">
        <v>419</v>
      </c>
      <c r="C66" s="15"/>
      <c r="D66" s="36" t="s">
        <v>5551</v>
      </c>
      <c r="E66" s="36">
        <v>94462294</v>
      </c>
      <c r="F66" s="36">
        <v>3158620310</v>
      </c>
      <c r="G66" s="36" t="s">
        <v>3483</v>
      </c>
      <c r="H66" s="36" t="s">
        <v>2730</v>
      </c>
      <c r="I66" s="36" t="s">
        <v>421</v>
      </c>
      <c r="J66" s="61">
        <v>82000</v>
      </c>
      <c r="K66" s="57"/>
      <c r="L66" s="61">
        <v>82000</v>
      </c>
      <c r="M66" s="57" t="s">
        <v>234</v>
      </c>
      <c r="N66" s="36"/>
      <c r="O66" s="61"/>
      <c r="P66" s="66"/>
      <c r="Q66" s="15" t="s">
        <v>3353</v>
      </c>
      <c r="R66" s="15" t="s">
        <v>20</v>
      </c>
      <c r="S66" s="15"/>
      <c r="T66" s="36" t="s">
        <v>5552</v>
      </c>
      <c r="U66" s="36" t="s">
        <v>3358</v>
      </c>
      <c r="V66" s="63"/>
      <c r="W66" s="14"/>
      <c r="X66" s="15"/>
      <c r="Y66" s="15"/>
      <c r="Z66" s="15"/>
    </row>
    <row r="67" spans="1:26" ht="14.25" customHeight="1" x14ac:dyDescent="0.25">
      <c r="A67" s="26">
        <v>46004</v>
      </c>
      <c r="B67" s="15" t="s">
        <v>419</v>
      </c>
      <c r="C67" s="15"/>
      <c r="D67" s="36" t="s">
        <v>5570</v>
      </c>
      <c r="E67" s="36">
        <v>1116440894</v>
      </c>
      <c r="F67" s="36">
        <v>3174567439</v>
      </c>
      <c r="G67" s="36" t="s">
        <v>4561</v>
      </c>
      <c r="H67" s="36" t="s">
        <v>2730</v>
      </c>
      <c r="I67" s="36" t="s">
        <v>421</v>
      </c>
      <c r="J67" s="61">
        <v>82000</v>
      </c>
      <c r="K67" s="57"/>
      <c r="L67" s="61">
        <v>82000</v>
      </c>
      <c r="M67" s="57" t="s">
        <v>234</v>
      </c>
      <c r="N67" s="36"/>
      <c r="O67" s="61"/>
      <c r="P67" s="66"/>
      <c r="Q67" s="15" t="s">
        <v>3353</v>
      </c>
      <c r="R67" s="15" t="s">
        <v>20</v>
      </c>
      <c r="S67" s="15"/>
      <c r="T67" s="36" t="s">
        <v>5571</v>
      </c>
      <c r="U67" s="36" t="s">
        <v>5572</v>
      </c>
      <c r="V67" s="63"/>
      <c r="W67" s="14"/>
      <c r="X67" s="15"/>
      <c r="Y67" s="15"/>
      <c r="Z67" s="15"/>
    </row>
    <row r="68" spans="1:26" ht="14.25" customHeight="1" x14ac:dyDescent="0.25">
      <c r="A68" s="15"/>
      <c r="B68" s="15"/>
      <c r="C68" s="15"/>
      <c r="D68" s="36"/>
      <c r="E68" s="36"/>
      <c r="F68" s="36"/>
      <c r="G68" s="36"/>
      <c r="H68" s="36"/>
      <c r="I68" s="36"/>
      <c r="J68" s="61"/>
      <c r="K68" s="57"/>
      <c r="L68" s="61"/>
      <c r="M68" s="57"/>
      <c r="N68" s="36"/>
      <c r="O68" s="61"/>
      <c r="P68" s="66"/>
      <c r="Q68" s="15"/>
      <c r="R68" s="15"/>
      <c r="S68" s="15"/>
      <c r="T68" s="36"/>
      <c r="U68" s="36"/>
      <c r="V68" s="63"/>
      <c r="W68" s="14"/>
      <c r="X68" s="15"/>
      <c r="Y68" s="15"/>
      <c r="Z68" s="15"/>
    </row>
    <row r="69" spans="1:26" ht="14.25" customHeight="1" x14ac:dyDescent="0.25">
      <c r="A69" s="15"/>
      <c r="B69" s="15"/>
      <c r="C69" s="15"/>
      <c r="D69" s="36"/>
      <c r="E69" s="36"/>
      <c r="F69" s="36"/>
      <c r="G69" s="36"/>
      <c r="H69" s="36"/>
      <c r="I69" s="36"/>
      <c r="J69" s="61"/>
      <c r="K69" s="57"/>
      <c r="L69" s="61"/>
      <c r="M69" s="57"/>
      <c r="N69" s="36"/>
      <c r="O69" s="61"/>
      <c r="P69" s="66"/>
      <c r="Q69" s="15"/>
      <c r="R69" s="15"/>
      <c r="S69" s="15"/>
      <c r="T69" s="36"/>
      <c r="U69" s="36"/>
      <c r="V69" s="63"/>
      <c r="W69" s="14"/>
      <c r="X69" s="15"/>
      <c r="Y69" s="15"/>
      <c r="Z69" s="15"/>
    </row>
    <row r="70" spans="1:26" ht="14.25" customHeight="1" x14ac:dyDescent="0.25">
      <c r="A70" s="15"/>
      <c r="B70" s="15"/>
      <c r="C70" s="15"/>
      <c r="D70" s="36"/>
      <c r="E70" s="36"/>
      <c r="F70" s="36"/>
      <c r="G70" s="36"/>
      <c r="H70" s="36"/>
      <c r="I70" s="36"/>
      <c r="J70" s="61"/>
      <c r="K70" s="57"/>
      <c r="L70" s="61"/>
      <c r="M70" s="57"/>
      <c r="N70" s="36"/>
      <c r="O70" s="61"/>
      <c r="P70" s="66"/>
      <c r="Q70" s="15"/>
      <c r="R70" s="15"/>
      <c r="S70" s="15"/>
      <c r="T70" s="36"/>
      <c r="U70" s="36"/>
      <c r="V70" s="63"/>
      <c r="W70" s="14"/>
      <c r="X70" s="15"/>
      <c r="Y70" s="15"/>
      <c r="Z70" s="15"/>
    </row>
    <row r="71" spans="1:26" ht="14.25" customHeight="1" x14ac:dyDescent="0.25">
      <c r="A71" s="15"/>
      <c r="B71" s="15"/>
      <c r="C71" s="15"/>
      <c r="D71" s="36"/>
      <c r="E71" s="36"/>
      <c r="F71" s="36"/>
      <c r="G71" s="36"/>
      <c r="H71" s="36"/>
      <c r="I71" s="36"/>
      <c r="J71" s="61"/>
      <c r="K71" s="57"/>
      <c r="L71" s="61"/>
      <c r="M71" s="57"/>
      <c r="N71" s="36"/>
      <c r="O71" s="61"/>
      <c r="P71" s="66"/>
      <c r="Q71" s="15"/>
      <c r="R71" s="15"/>
      <c r="S71" s="15"/>
      <c r="T71" s="36"/>
      <c r="U71" s="36"/>
      <c r="V71" s="63"/>
      <c r="W71" s="14"/>
      <c r="X71" s="15"/>
      <c r="Y71" s="15"/>
      <c r="Z71" s="15"/>
    </row>
    <row r="72" spans="1:26" ht="14.25" customHeight="1" x14ac:dyDescent="0.25">
      <c r="A72" s="15"/>
      <c r="B72" s="15"/>
      <c r="C72" s="15"/>
      <c r="D72" s="36"/>
      <c r="E72" s="36"/>
      <c r="F72" s="36"/>
      <c r="G72" s="36"/>
      <c r="H72" s="36"/>
      <c r="I72" s="36"/>
      <c r="J72" s="61"/>
      <c r="K72" s="57"/>
      <c r="L72" s="61"/>
      <c r="M72" s="57"/>
      <c r="N72" s="36"/>
      <c r="O72" s="61"/>
      <c r="P72" s="66"/>
      <c r="Q72" s="15"/>
      <c r="R72" s="15"/>
      <c r="S72" s="15"/>
      <c r="T72" s="36"/>
      <c r="U72" s="36"/>
      <c r="V72" s="63"/>
      <c r="W72" s="14"/>
      <c r="X72" s="15"/>
      <c r="Y72" s="15"/>
      <c r="Z72" s="15"/>
    </row>
    <row r="73" spans="1:26" ht="14.25" customHeight="1" x14ac:dyDescent="0.25">
      <c r="A73" s="15"/>
      <c r="B73" s="15"/>
      <c r="C73" s="15"/>
      <c r="D73" s="36"/>
      <c r="E73" s="36"/>
      <c r="F73" s="36"/>
      <c r="G73" s="36"/>
      <c r="H73" s="36"/>
      <c r="I73" s="36"/>
      <c r="J73" s="61"/>
      <c r="K73" s="57"/>
      <c r="L73" s="61"/>
      <c r="M73" s="57"/>
      <c r="N73" s="36"/>
      <c r="O73" s="61"/>
      <c r="P73" s="66"/>
      <c r="Q73" s="15"/>
      <c r="R73" s="15"/>
      <c r="S73" s="15"/>
      <c r="T73" s="36"/>
      <c r="U73" s="36"/>
      <c r="V73" s="63"/>
      <c r="W73" s="14"/>
      <c r="X73" s="15"/>
      <c r="Y73" s="15"/>
      <c r="Z73" s="15"/>
    </row>
    <row r="74" spans="1:26" ht="14.25" customHeight="1" x14ac:dyDescent="0.25">
      <c r="A74" s="15"/>
      <c r="B74" s="15"/>
      <c r="C74" s="15"/>
      <c r="D74" s="36"/>
      <c r="E74" s="36"/>
      <c r="F74" s="36"/>
      <c r="G74" s="36"/>
      <c r="H74" s="36"/>
      <c r="I74" s="36"/>
      <c r="J74" s="61"/>
      <c r="K74" s="57"/>
      <c r="L74" s="61"/>
      <c r="M74" s="57"/>
      <c r="N74" s="36"/>
      <c r="O74" s="61"/>
      <c r="P74" s="66"/>
      <c r="Q74" s="15"/>
      <c r="R74" s="15"/>
      <c r="S74" s="15"/>
      <c r="T74" s="36"/>
      <c r="U74" s="36"/>
      <c r="V74" s="63"/>
      <c r="W74" s="14"/>
      <c r="X74" s="15"/>
      <c r="Y74" s="15"/>
      <c r="Z74" s="15"/>
    </row>
    <row r="75" spans="1:26" ht="14.25" customHeight="1" x14ac:dyDescent="0.25">
      <c r="A75" s="15"/>
      <c r="B75" s="15"/>
      <c r="C75" s="15"/>
      <c r="D75" s="36"/>
      <c r="E75" s="36"/>
      <c r="F75" s="36"/>
      <c r="G75" s="36"/>
      <c r="H75" s="36"/>
      <c r="I75" s="36"/>
      <c r="J75" s="61"/>
      <c r="K75" s="57"/>
      <c r="L75" s="61"/>
      <c r="M75" s="57"/>
      <c r="N75" s="36"/>
      <c r="O75" s="61"/>
      <c r="P75" s="66"/>
      <c r="Q75" s="15"/>
      <c r="R75" s="15"/>
      <c r="S75" s="15"/>
      <c r="T75" s="36"/>
      <c r="U75" s="36"/>
      <c r="V75" s="63"/>
      <c r="W75" s="14"/>
      <c r="X75" s="15"/>
      <c r="Y75" s="15"/>
      <c r="Z75" s="15"/>
    </row>
    <row r="76" spans="1:26" ht="14.25" customHeight="1" x14ac:dyDescent="0.25">
      <c r="A76" s="14"/>
      <c r="B76" s="14"/>
      <c r="C76" s="14"/>
      <c r="D76" s="36"/>
      <c r="E76" s="36"/>
      <c r="F76" s="36"/>
      <c r="G76" s="36"/>
      <c r="H76" s="36"/>
      <c r="I76" s="36"/>
      <c r="J76" s="61"/>
      <c r="K76" s="57"/>
      <c r="L76" s="61"/>
      <c r="M76" s="57"/>
      <c r="N76" s="36"/>
      <c r="O76" s="61"/>
      <c r="P76" s="66"/>
      <c r="Q76" s="15"/>
      <c r="R76" s="15"/>
      <c r="S76" s="15"/>
      <c r="T76" s="36"/>
      <c r="U76" s="36"/>
      <c r="V76" s="114"/>
      <c r="W76" s="14"/>
      <c r="X76" s="14"/>
      <c r="Y76" s="14"/>
      <c r="Z76" s="14"/>
    </row>
    <row r="77" spans="1:26" ht="14.25" customHeight="1" x14ac:dyDescent="0.25">
      <c r="A77" s="14"/>
      <c r="B77" s="14"/>
      <c r="C77" s="14"/>
      <c r="D77" s="36"/>
      <c r="E77" s="36"/>
      <c r="F77" s="36"/>
      <c r="G77" s="36"/>
      <c r="H77" s="36"/>
      <c r="I77" s="36"/>
      <c r="J77" s="61"/>
      <c r="K77" s="57"/>
      <c r="L77" s="61"/>
      <c r="M77" s="57"/>
      <c r="N77" s="36"/>
      <c r="O77" s="61"/>
      <c r="P77" s="66"/>
      <c r="Q77" s="15"/>
      <c r="R77" s="15"/>
      <c r="S77" s="15"/>
      <c r="T77" s="36"/>
      <c r="U77" s="36"/>
      <c r="V77" s="63"/>
      <c r="W77" s="14"/>
      <c r="X77" s="14"/>
      <c r="Y77" s="14"/>
      <c r="Z77" s="14"/>
    </row>
    <row r="78" spans="1:26" ht="14.25" customHeight="1" x14ac:dyDescent="0.25">
      <c r="A78" s="14"/>
      <c r="B78" s="14"/>
      <c r="C78" s="14"/>
      <c r="D78" s="36"/>
      <c r="E78" s="36"/>
      <c r="F78" s="36"/>
      <c r="G78" s="36"/>
      <c r="H78" s="36"/>
      <c r="I78" s="36"/>
      <c r="J78" s="61"/>
      <c r="K78" s="57"/>
      <c r="L78" s="61"/>
      <c r="M78" s="57"/>
      <c r="N78" s="36"/>
      <c r="O78" s="61"/>
      <c r="P78" s="66"/>
      <c r="Q78" s="15"/>
      <c r="R78" s="15"/>
      <c r="S78" s="15"/>
      <c r="T78" s="36"/>
      <c r="U78" s="36"/>
      <c r="V78" s="63"/>
      <c r="W78" s="14"/>
      <c r="X78" s="14"/>
      <c r="Y78" s="14"/>
      <c r="Z78" s="14"/>
    </row>
    <row r="79" spans="1:26" ht="14.25" customHeight="1" x14ac:dyDescent="0.25">
      <c r="A79" s="14"/>
      <c r="B79" s="14"/>
      <c r="C79" s="14"/>
      <c r="D79" s="36"/>
      <c r="E79" s="36"/>
      <c r="F79" s="36"/>
      <c r="G79" s="36"/>
      <c r="H79" s="36"/>
      <c r="I79" s="36"/>
      <c r="J79" s="61"/>
      <c r="K79" s="57"/>
      <c r="L79" s="61"/>
      <c r="M79" s="57"/>
      <c r="N79" s="36"/>
      <c r="O79" s="61"/>
      <c r="P79" s="66"/>
      <c r="Q79" s="15"/>
      <c r="R79" s="15"/>
      <c r="S79" s="15"/>
      <c r="T79" s="36"/>
      <c r="U79" s="36"/>
      <c r="V79" s="63"/>
      <c r="W79" s="14"/>
      <c r="X79" s="14"/>
      <c r="Y79" s="14"/>
      <c r="Z79" s="14"/>
    </row>
    <row r="80" spans="1:26" ht="14.25" customHeight="1" x14ac:dyDescent="0.25">
      <c r="A80" s="14"/>
      <c r="B80" s="14"/>
      <c r="C80" s="14"/>
      <c r="D80" s="36"/>
      <c r="E80" s="36"/>
      <c r="F80" s="36"/>
      <c r="G80" s="36"/>
      <c r="H80" s="36"/>
      <c r="I80" s="36"/>
      <c r="J80" s="61"/>
      <c r="K80" s="57"/>
      <c r="L80" s="61"/>
      <c r="M80" s="57"/>
      <c r="N80" s="36"/>
      <c r="O80" s="61"/>
      <c r="P80" s="66"/>
      <c r="Q80" s="15"/>
      <c r="R80" s="15"/>
      <c r="S80" s="15"/>
      <c r="T80" s="36"/>
      <c r="U80" s="36"/>
      <c r="V80" s="63"/>
      <c r="W80" s="14"/>
      <c r="X80" s="14"/>
      <c r="Y80" s="14"/>
      <c r="Z80" s="14"/>
    </row>
    <row r="81" spans="1:26" ht="14.25" customHeight="1" x14ac:dyDescent="0.25">
      <c r="A81" s="14"/>
      <c r="B81" s="14"/>
      <c r="C81" s="14"/>
      <c r="D81" s="36"/>
      <c r="E81" s="36"/>
      <c r="F81" s="36"/>
      <c r="G81" s="36"/>
      <c r="H81" s="36"/>
      <c r="I81" s="36"/>
      <c r="J81" s="61"/>
      <c r="K81" s="57"/>
      <c r="L81" s="61"/>
      <c r="M81" s="57"/>
      <c r="N81" s="36"/>
      <c r="O81" s="61"/>
      <c r="P81" s="66"/>
      <c r="Q81" s="15"/>
      <c r="R81" s="15"/>
      <c r="S81" s="15"/>
      <c r="T81" s="36"/>
      <c r="U81" s="36"/>
      <c r="V81" s="63"/>
      <c r="W81" s="14"/>
      <c r="X81" s="14"/>
      <c r="Y81" s="14"/>
      <c r="Z81" s="14"/>
    </row>
    <row r="82" spans="1:26" ht="14.25" customHeight="1" x14ac:dyDescent="0.25">
      <c r="A82" s="14"/>
      <c r="B82" s="14"/>
      <c r="C82" s="14"/>
      <c r="D82" s="36"/>
      <c r="E82" s="36"/>
      <c r="F82" s="36"/>
      <c r="G82" s="36"/>
      <c r="H82" s="36"/>
      <c r="I82" s="36"/>
      <c r="J82" s="61"/>
      <c r="K82" s="57"/>
      <c r="L82" s="61"/>
      <c r="M82" s="57"/>
      <c r="N82" s="36"/>
      <c r="O82" s="61"/>
      <c r="P82" s="66"/>
      <c r="Q82" s="15"/>
      <c r="R82" s="15"/>
      <c r="S82" s="15"/>
      <c r="T82" s="36"/>
      <c r="U82" s="36"/>
      <c r="V82" s="63"/>
      <c r="W82" s="14"/>
      <c r="X82" s="14"/>
      <c r="Y82" s="14"/>
      <c r="Z82" s="14"/>
    </row>
    <row r="83" spans="1:26" ht="14.25" customHeight="1" x14ac:dyDescent="0.25">
      <c r="A83" s="14"/>
      <c r="B83" s="14"/>
      <c r="C83" s="14"/>
      <c r="D83" s="36"/>
      <c r="E83" s="36"/>
      <c r="F83" s="36"/>
      <c r="G83" s="36"/>
      <c r="H83" s="36"/>
      <c r="I83" s="36"/>
      <c r="J83" s="61"/>
      <c r="K83" s="57"/>
      <c r="L83" s="61"/>
      <c r="M83" s="57"/>
      <c r="N83" s="36"/>
      <c r="O83" s="61"/>
      <c r="P83" s="66"/>
      <c r="Q83" s="15"/>
      <c r="R83" s="15"/>
      <c r="S83" s="15"/>
      <c r="T83" s="36"/>
      <c r="U83" s="36"/>
      <c r="V83" s="63"/>
      <c r="W83" s="14"/>
      <c r="X83" s="14"/>
      <c r="Y83" s="14"/>
      <c r="Z83" s="14"/>
    </row>
    <row r="84" spans="1:26" ht="14.25" customHeight="1" x14ac:dyDescent="0.25">
      <c r="A84" s="14"/>
      <c r="B84" s="14"/>
      <c r="C84" s="14"/>
      <c r="D84" s="36"/>
      <c r="E84" s="36"/>
      <c r="F84" s="36"/>
      <c r="G84" s="36"/>
      <c r="H84" s="36"/>
      <c r="I84" s="36"/>
      <c r="J84" s="61"/>
      <c r="K84" s="57"/>
      <c r="L84" s="61"/>
      <c r="M84" s="57"/>
      <c r="N84" s="36"/>
      <c r="O84" s="61"/>
      <c r="P84" s="66"/>
      <c r="Q84" s="15"/>
      <c r="R84" s="15"/>
      <c r="S84" s="15"/>
      <c r="T84" s="36"/>
      <c r="U84" s="36"/>
      <c r="V84" s="63"/>
      <c r="W84" s="14"/>
      <c r="X84" s="14"/>
      <c r="Y84" s="14"/>
      <c r="Z84" s="14"/>
    </row>
    <row r="85" spans="1:26" ht="14.25" customHeight="1" x14ac:dyDescent="0.25">
      <c r="A85" s="14"/>
      <c r="B85" s="14"/>
      <c r="C85" s="14"/>
      <c r="D85" s="36"/>
      <c r="E85" s="36"/>
      <c r="F85" s="36"/>
      <c r="G85" s="36"/>
      <c r="H85" s="36"/>
      <c r="I85" s="36"/>
      <c r="J85" s="61"/>
      <c r="K85" s="57"/>
      <c r="L85" s="61"/>
      <c r="M85" s="57"/>
      <c r="N85" s="36"/>
      <c r="O85" s="61"/>
      <c r="P85" s="66"/>
      <c r="Q85" s="15"/>
      <c r="R85" s="15"/>
      <c r="S85" s="15"/>
      <c r="T85" s="36"/>
      <c r="U85" s="36"/>
      <c r="V85" s="63"/>
      <c r="W85" s="14"/>
      <c r="X85" s="14"/>
      <c r="Y85" s="14"/>
      <c r="Z85" s="14"/>
    </row>
    <row r="86" spans="1:26" ht="14.25" customHeight="1" x14ac:dyDescent="0.25">
      <c r="A86" s="14"/>
      <c r="B86" s="14"/>
      <c r="C86" s="14"/>
      <c r="D86" s="15"/>
      <c r="E86" s="17"/>
      <c r="F86" s="17"/>
      <c r="G86" s="17"/>
      <c r="H86" s="17"/>
      <c r="I86" s="15"/>
      <c r="J86" s="27"/>
      <c r="K86" s="111"/>
      <c r="L86" s="61"/>
      <c r="M86" s="57"/>
      <c r="N86" s="36"/>
      <c r="O86" s="61"/>
      <c r="P86" s="66"/>
      <c r="Q86" s="15"/>
      <c r="R86" s="15"/>
      <c r="S86" s="15"/>
      <c r="T86" s="15"/>
      <c r="U86" s="15"/>
      <c r="V86" s="15"/>
      <c r="W86" s="14"/>
      <c r="X86" s="14"/>
      <c r="Y86" s="14"/>
      <c r="Z86" s="14"/>
    </row>
    <row r="87" spans="1:26" ht="14.25" customHeight="1" x14ac:dyDescent="0.25">
      <c r="A87" s="14"/>
      <c r="B87" s="14"/>
      <c r="C87" s="14"/>
      <c r="D87" s="36"/>
      <c r="E87" s="36"/>
      <c r="F87" s="36"/>
      <c r="G87" s="36"/>
      <c r="H87" s="36"/>
      <c r="I87" s="36"/>
      <c r="J87" s="61"/>
      <c r="K87" s="111"/>
      <c r="L87" s="61"/>
      <c r="M87" s="57"/>
      <c r="N87" s="36"/>
      <c r="O87" s="61"/>
      <c r="P87" s="66"/>
      <c r="Q87" s="15"/>
      <c r="R87" s="15"/>
      <c r="S87" s="15"/>
      <c r="T87" s="36"/>
      <c r="U87" s="36"/>
      <c r="V87" s="63"/>
      <c r="W87" s="14"/>
      <c r="X87" s="14"/>
      <c r="Y87" s="14"/>
      <c r="Z87" s="14"/>
    </row>
    <row r="88" spans="1:26" ht="14.25" customHeight="1" x14ac:dyDescent="0.25">
      <c r="A88" s="14"/>
      <c r="B88" s="14"/>
      <c r="C88" s="14"/>
      <c r="D88" s="36"/>
      <c r="E88" s="36"/>
      <c r="F88" s="36"/>
      <c r="G88" s="36"/>
      <c r="H88" s="36"/>
      <c r="I88" s="36"/>
      <c r="J88" s="61"/>
      <c r="K88" s="57"/>
      <c r="L88" s="61"/>
      <c r="M88" s="57"/>
      <c r="N88" s="36"/>
      <c r="O88" s="61"/>
      <c r="P88" s="66"/>
      <c r="Q88" s="15"/>
      <c r="R88" s="15"/>
      <c r="S88" s="15"/>
      <c r="T88" s="36"/>
      <c r="U88" s="36"/>
      <c r="V88" s="63"/>
      <c r="W88" s="14"/>
      <c r="X88" s="14"/>
      <c r="Y88" s="14"/>
      <c r="Z88" s="14"/>
    </row>
    <row r="89" spans="1:26" ht="14.25" customHeight="1" x14ac:dyDescent="0.25">
      <c r="A89" s="14"/>
      <c r="B89" s="14"/>
      <c r="C89" s="14"/>
      <c r="D89" s="36"/>
      <c r="E89" s="36"/>
      <c r="F89" s="36"/>
      <c r="G89" s="36"/>
      <c r="H89" s="36"/>
      <c r="I89" s="36"/>
      <c r="J89" s="61"/>
      <c r="K89" s="57"/>
      <c r="L89" s="61"/>
      <c r="M89" s="57"/>
      <c r="N89" s="36"/>
      <c r="O89" s="61"/>
      <c r="P89" s="66"/>
      <c r="Q89" s="15"/>
      <c r="R89" s="15"/>
      <c r="S89" s="15"/>
      <c r="T89" s="36"/>
      <c r="U89" s="36"/>
      <c r="V89" s="63"/>
      <c r="W89" s="14"/>
      <c r="X89" s="14"/>
      <c r="Y89" s="14"/>
      <c r="Z89" s="14"/>
    </row>
    <row r="90" spans="1:26" ht="14.25" customHeight="1" x14ac:dyDescent="0.25">
      <c r="A90" s="14"/>
      <c r="B90" s="14"/>
      <c r="C90" s="14"/>
      <c r="D90" s="36"/>
      <c r="E90" s="36"/>
      <c r="F90" s="36"/>
      <c r="G90" s="36"/>
      <c r="H90" s="36"/>
      <c r="I90" s="36"/>
      <c r="J90" s="61"/>
      <c r="K90" s="57"/>
      <c r="L90" s="61"/>
      <c r="M90" s="57"/>
      <c r="N90" s="36"/>
      <c r="O90" s="61"/>
      <c r="P90" s="66"/>
      <c r="Q90" s="15"/>
      <c r="R90" s="15"/>
      <c r="S90" s="15"/>
      <c r="T90" s="36"/>
      <c r="U90" s="36"/>
      <c r="V90" s="63"/>
      <c r="W90" s="14"/>
      <c r="X90" s="14"/>
      <c r="Y90" s="14"/>
      <c r="Z90" s="14"/>
    </row>
    <row r="91" spans="1:26" ht="14.25" customHeight="1" x14ac:dyDescent="0.25">
      <c r="A91" s="14"/>
      <c r="B91" s="14"/>
      <c r="C91" s="14"/>
      <c r="D91" s="36"/>
      <c r="E91" s="36"/>
      <c r="F91" s="36"/>
      <c r="G91" s="36"/>
      <c r="H91" s="36"/>
      <c r="I91" s="36"/>
      <c r="J91" s="61"/>
      <c r="K91" s="57"/>
      <c r="L91" s="61"/>
      <c r="M91" s="57"/>
      <c r="N91" s="36"/>
      <c r="O91" s="61"/>
      <c r="P91" s="66"/>
      <c r="Q91" s="15"/>
      <c r="R91" s="15"/>
      <c r="S91" s="15"/>
      <c r="T91" s="36"/>
      <c r="U91" s="36"/>
      <c r="V91" s="63"/>
      <c r="W91" s="14"/>
      <c r="X91" s="14"/>
      <c r="Y91" s="14"/>
      <c r="Z91" s="14"/>
    </row>
    <row r="92" spans="1:26" ht="14.25" customHeight="1" x14ac:dyDescent="0.25">
      <c r="A92" s="14"/>
      <c r="B92" s="14"/>
      <c r="C92" s="14"/>
      <c r="D92" s="36"/>
      <c r="E92" s="36"/>
      <c r="F92" s="36"/>
      <c r="G92" s="36"/>
      <c r="H92" s="36"/>
      <c r="I92" s="36"/>
      <c r="J92" s="61"/>
      <c r="K92" s="57"/>
      <c r="L92" s="61"/>
      <c r="M92" s="57"/>
      <c r="N92" s="36"/>
      <c r="O92" s="61"/>
      <c r="P92" s="66"/>
      <c r="Q92" s="15"/>
      <c r="R92" s="15"/>
      <c r="S92" s="15"/>
      <c r="T92" s="36"/>
      <c r="U92" s="36"/>
      <c r="V92" s="63"/>
      <c r="W92" s="14"/>
      <c r="X92" s="14"/>
      <c r="Y92" s="14"/>
      <c r="Z92" s="14"/>
    </row>
    <row r="93" spans="1:26" ht="14.25" customHeight="1" x14ac:dyDescent="0.25">
      <c r="A93" s="14"/>
      <c r="B93" s="14"/>
      <c r="C93" s="14"/>
      <c r="D93" s="36"/>
      <c r="E93" s="36"/>
      <c r="F93" s="36"/>
      <c r="G93" s="36"/>
      <c r="H93" s="36"/>
      <c r="I93" s="36"/>
      <c r="J93" s="61"/>
      <c r="K93" s="57"/>
      <c r="L93" s="61"/>
      <c r="M93" s="57"/>
      <c r="N93" s="36"/>
      <c r="O93" s="61"/>
      <c r="P93" s="66"/>
      <c r="Q93" s="15"/>
      <c r="R93" s="15"/>
      <c r="S93" s="15"/>
      <c r="T93" s="36"/>
      <c r="U93" s="36"/>
      <c r="V93" s="63"/>
      <c r="W93" s="14"/>
      <c r="X93" s="14"/>
      <c r="Y93" s="14"/>
      <c r="Z93" s="14"/>
    </row>
    <row r="94" spans="1:26" ht="14.25" customHeight="1" x14ac:dyDescent="0.25">
      <c r="A94" s="14"/>
      <c r="B94" s="14"/>
      <c r="C94" s="14"/>
      <c r="D94" s="36"/>
      <c r="E94" s="36"/>
      <c r="F94" s="36"/>
      <c r="G94" s="36"/>
      <c r="H94" s="36"/>
      <c r="I94" s="36"/>
      <c r="J94" s="61"/>
      <c r="K94" s="57"/>
      <c r="L94" s="61"/>
      <c r="M94" s="57"/>
      <c r="N94" s="36"/>
      <c r="O94" s="61"/>
      <c r="P94" s="66"/>
      <c r="Q94" s="15"/>
      <c r="R94" s="15"/>
      <c r="S94" s="15"/>
      <c r="T94" s="36"/>
      <c r="U94" s="36"/>
      <c r="V94" s="63"/>
      <c r="W94" s="14"/>
      <c r="X94" s="14"/>
      <c r="Y94" s="14"/>
      <c r="Z94" s="14"/>
    </row>
    <row r="95" spans="1:26" ht="14.25" customHeight="1" x14ac:dyDescent="0.25">
      <c r="A95" s="14"/>
      <c r="B95" s="14"/>
      <c r="C95" s="14"/>
      <c r="D95" s="36"/>
      <c r="E95" s="36"/>
      <c r="F95" s="36"/>
      <c r="G95" s="36"/>
      <c r="H95" s="36"/>
      <c r="I95" s="36"/>
      <c r="J95" s="61"/>
      <c r="K95" s="57"/>
      <c r="L95" s="61"/>
      <c r="M95" s="57"/>
      <c r="N95" s="36"/>
      <c r="O95" s="61"/>
      <c r="P95" s="66"/>
      <c r="Q95" s="15"/>
      <c r="R95" s="15"/>
      <c r="S95" s="15"/>
      <c r="T95" s="36"/>
      <c r="U95" s="36"/>
      <c r="V95" s="63"/>
      <c r="W95" s="14"/>
      <c r="X95" s="14"/>
      <c r="Y95" s="14"/>
      <c r="Z95" s="14"/>
    </row>
    <row r="96" spans="1:26" ht="14.25" customHeight="1" x14ac:dyDescent="0.25">
      <c r="A96" s="14"/>
      <c r="B96" s="14"/>
      <c r="C96" s="14"/>
      <c r="D96" s="36"/>
      <c r="E96" s="36"/>
      <c r="F96" s="36"/>
      <c r="G96" s="36"/>
      <c r="H96" s="36"/>
      <c r="I96" s="36"/>
      <c r="J96" s="61"/>
      <c r="K96" s="57"/>
      <c r="L96" s="61"/>
      <c r="M96" s="57"/>
      <c r="N96" s="36"/>
      <c r="O96" s="61"/>
      <c r="P96" s="66"/>
      <c r="Q96" s="15"/>
      <c r="R96" s="15"/>
      <c r="S96" s="15"/>
      <c r="T96" s="36"/>
      <c r="U96" s="36"/>
      <c r="V96" s="63"/>
      <c r="W96" s="14"/>
      <c r="X96" s="14"/>
      <c r="Y96" s="14"/>
      <c r="Z96" s="14"/>
    </row>
    <row r="97" spans="1:26" ht="14.25" customHeight="1" x14ac:dyDescent="0.25">
      <c r="A97" s="14"/>
      <c r="B97" s="14"/>
      <c r="C97" s="14"/>
      <c r="D97" s="36"/>
      <c r="E97" s="36"/>
      <c r="F97" s="36"/>
      <c r="G97" s="36"/>
      <c r="H97" s="36"/>
      <c r="I97" s="36"/>
      <c r="J97" s="61"/>
      <c r="K97" s="57"/>
      <c r="L97" s="61"/>
      <c r="M97" s="57"/>
      <c r="N97" s="36"/>
      <c r="O97" s="61"/>
      <c r="P97" s="66"/>
      <c r="Q97" s="15"/>
      <c r="R97" s="15"/>
      <c r="S97" s="15"/>
      <c r="T97" s="36"/>
      <c r="U97" s="36"/>
      <c r="V97" s="63"/>
      <c r="W97" s="14"/>
      <c r="X97" s="14"/>
      <c r="Y97" s="14"/>
      <c r="Z97" s="14"/>
    </row>
    <row r="98" spans="1:26" ht="14.25" customHeight="1" x14ac:dyDescent="0.25">
      <c r="A98" s="14"/>
      <c r="B98" s="14"/>
      <c r="C98" s="14"/>
      <c r="D98" s="36"/>
      <c r="E98" s="36"/>
      <c r="F98" s="36"/>
      <c r="G98" s="36"/>
      <c r="H98" s="36"/>
      <c r="I98" s="36"/>
      <c r="J98" s="61"/>
      <c r="K98" s="57"/>
      <c r="L98" s="61"/>
      <c r="M98" s="57"/>
      <c r="N98" s="36"/>
      <c r="O98" s="61"/>
      <c r="P98" s="66"/>
      <c r="Q98" s="15"/>
      <c r="R98" s="15"/>
      <c r="S98" s="15"/>
      <c r="T98" s="36"/>
      <c r="U98" s="36"/>
      <c r="V98" s="63"/>
      <c r="W98" s="14"/>
      <c r="X98" s="14"/>
      <c r="Y98" s="14"/>
      <c r="Z98" s="14"/>
    </row>
    <row r="99" spans="1:26" ht="14.25" customHeight="1" x14ac:dyDescent="0.25">
      <c r="A99" s="14"/>
      <c r="B99" s="14"/>
      <c r="C99" s="14"/>
      <c r="D99" s="36"/>
      <c r="E99" s="36"/>
      <c r="F99" s="36"/>
      <c r="G99" s="36"/>
      <c r="H99" s="36"/>
      <c r="I99" s="36"/>
      <c r="J99" s="61"/>
      <c r="K99" s="57"/>
      <c r="L99" s="61"/>
      <c r="M99" s="57"/>
      <c r="N99" s="36"/>
      <c r="O99" s="61"/>
      <c r="P99" s="66"/>
      <c r="Q99" s="15"/>
      <c r="R99" s="15"/>
      <c r="S99" s="15"/>
      <c r="T99" s="36"/>
      <c r="U99" s="36"/>
      <c r="V99" s="63"/>
      <c r="W99" s="14"/>
      <c r="X99" s="14"/>
      <c r="Y99" s="14"/>
      <c r="Z99" s="14"/>
    </row>
    <row r="100" spans="1:26" ht="14.25" customHeight="1" x14ac:dyDescent="0.25">
      <c r="A100" s="14"/>
      <c r="B100" s="14"/>
      <c r="C100" s="14"/>
      <c r="D100" s="36"/>
      <c r="E100" s="36"/>
      <c r="F100" s="36"/>
      <c r="G100" s="36"/>
      <c r="H100" s="36"/>
      <c r="I100" s="36"/>
      <c r="J100" s="61"/>
      <c r="K100" s="57"/>
      <c r="L100" s="61"/>
      <c r="M100" s="57"/>
      <c r="N100" s="36"/>
      <c r="O100" s="61"/>
      <c r="P100" s="66"/>
      <c r="Q100" s="15"/>
      <c r="R100" s="15"/>
      <c r="S100" s="15"/>
      <c r="T100" s="36"/>
      <c r="U100" s="36"/>
      <c r="V100" s="63"/>
      <c r="W100" s="14"/>
      <c r="X100" s="14"/>
      <c r="Y100" s="14"/>
      <c r="Z100" s="14"/>
    </row>
    <row r="101" spans="1:26" ht="14.25" customHeight="1" x14ac:dyDescent="0.25">
      <c r="A101" s="14"/>
      <c r="B101" s="14"/>
      <c r="C101" s="14"/>
      <c r="D101" s="36"/>
      <c r="E101" s="36"/>
      <c r="F101" s="36"/>
      <c r="G101" s="36"/>
      <c r="H101" s="36"/>
      <c r="I101" s="36"/>
      <c r="J101" s="61"/>
      <c r="K101" s="57"/>
      <c r="L101" s="61"/>
      <c r="M101" s="57"/>
      <c r="N101" s="36"/>
      <c r="O101" s="61"/>
      <c r="P101" s="66"/>
      <c r="Q101" s="15"/>
      <c r="R101" s="15"/>
      <c r="S101" s="15"/>
      <c r="T101" s="36"/>
      <c r="U101" s="36"/>
      <c r="V101" s="63"/>
      <c r="W101" s="14"/>
      <c r="X101" s="14"/>
      <c r="Y101" s="14"/>
      <c r="Z101" s="14"/>
    </row>
    <row r="102" spans="1:26" ht="14.25" customHeight="1" x14ac:dyDescent="0.25">
      <c r="A102" s="14"/>
      <c r="B102" s="14"/>
      <c r="C102" s="14"/>
      <c r="D102" s="36"/>
      <c r="E102" s="36"/>
      <c r="F102" s="36"/>
      <c r="G102" s="36"/>
      <c r="H102" s="36"/>
      <c r="I102" s="36"/>
      <c r="J102" s="61"/>
      <c r="K102" s="57"/>
      <c r="L102" s="61"/>
      <c r="M102" s="57"/>
      <c r="N102" s="36"/>
      <c r="O102" s="61"/>
      <c r="P102" s="66"/>
      <c r="Q102" s="15"/>
      <c r="R102" s="15"/>
      <c r="S102" s="15"/>
      <c r="T102" s="36"/>
      <c r="U102" s="36"/>
      <c r="V102" s="63"/>
      <c r="W102" s="14"/>
      <c r="X102" s="14"/>
      <c r="Y102" s="14"/>
      <c r="Z102" s="14"/>
    </row>
    <row r="103" spans="1:26" ht="14.25" customHeight="1" x14ac:dyDescent="0.25">
      <c r="A103" s="14"/>
      <c r="B103" s="14"/>
      <c r="C103" s="14"/>
      <c r="D103" s="36"/>
      <c r="E103" s="36"/>
      <c r="F103" s="36"/>
      <c r="G103" s="36"/>
      <c r="H103" s="36"/>
      <c r="I103" s="36"/>
      <c r="J103" s="61"/>
      <c r="K103" s="57"/>
      <c r="L103" s="61"/>
      <c r="M103" s="57"/>
      <c r="N103" s="36"/>
      <c r="O103" s="61"/>
      <c r="P103" s="66"/>
      <c r="Q103" s="15"/>
      <c r="R103" s="15"/>
      <c r="S103" s="15"/>
      <c r="T103" s="36"/>
      <c r="U103" s="36"/>
      <c r="V103" s="63"/>
      <c r="W103" s="14"/>
      <c r="X103" s="14"/>
      <c r="Y103" s="14"/>
      <c r="Z103" s="14"/>
    </row>
    <row r="104" spans="1:26" ht="14.25" customHeight="1" x14ac:dyDescent="0.25">
      <c r="A104" s="14"/>
      <c r="B104" s="14"/>
      <c r="C104" s="14"/>
      <c r="D104" s="36"/>
      <c r="E104" s="36"/>
      <c r="F104" s="36"/>
      <c r="G104" s="36"/>
      <c r="H104" s="36"/>
      <c r="I104" s="36"/>
      <c r="J104" s="61"/>
      <c r="K104" s="57"/>
      <c r="L104" s="61"/>
      <c r="M104" s="57"/>
      <c r="N104" s="36"/>
      <c r="O104" s="61"/>
      <c r="P104" s="66"/>
      <c r="Q104" s="15"/>
      <c r="R104" s="15"/>
      <c r="S104" s="15"/>
      <c r="T104" s="36"/>
      <c r="U104" s="36"/>
      <c r="V104" s="63"/>
      <c r="W104" s="14"/>
      <c r="X104" s="14"/>
      <c r="Y104" s="14"/>
      <c r="Z104" s="14"/>
    </row>
    <row r="105" spans="1:26" ht="14.25" customHeight="1" x14ac:dyDescent="0.25">
      <c r="A105" s="14"/>
      <c r="B105" s="14"/>
      <c r="C105" s="14"/>
      <c r="D105" s="36"/>
      <c r="E105" s="36"/>
      <c r="F105" s="36"/>
      <c r="G105" s="36"/>
      <c r="H105" s="36"/>
      <c r="I105" s="36"/>
      <c r="J105" s="61"/>
      <c r="K105" s="57"/>
      <c r="L105" s="61"/>
      <c r="M105" s="57"/>
      <c r="N105" s="36"/>
      <c r="O105" s="61"/>
      <c r="P105" s="66"/>
      <c r="Q105" s="15"/>
      <c r="R105" s="15"/>
      <c r="S105" s="15"/>
      <c r="T105" s="36"/>
      <c r="U105" s="36"/>
      <c r="V105" s="63"/>
      <c r="W105" s="14"/>
      <c r="X105" s="14"/>
      <c r="Y105" s="14"/>
      <c r="Z105" s="14"/>
    </row>
    <row r="106" spans="1:26" ht="14.25" customHeight="1" x14ac:dyDescent="0.25">
      <c r="A106" s="14"/>
      <c r="B106" s="14"/>
      <c r="C106" s="14"/>
      <c r="D106" s="36"/>
      <c r="E106" s="36"/>
      <c r="F106" s="36"/>
      <c r="G106" s="36"/>
      <c r="H106" s="36"/>
      <c r="I106" s="36"/>
      <c r="J106" s="61"/>
      <c r="K106" s="57"/>
      <c r="L106" s="61"/>
      <c r="M106" s="57"/>
      <c r="N106" s="36"/>
      <c r="O106" s="61"/>
      <c r="P106" s="66"/>
      <c r="Q106" s="15"/>
      <c r="R106" s="15"/>
      <c r="S106" s="15"/>
      <c r="T106" s="36"/>
      <c r="U106" s="36"/>
      <c r="V106" s="63"/>
      <c r="W106" s="14"/>
      <c r="X106" s="14"/>
      <c r="Y106" s="14"/>
      <c r="Z106" s="14"/>
    </row>
    <row r="107" spans="1:26" ht="14.25" customHeight="1" x14ac:dyDescent="0.25">
      <c r="A107" s="14"/>
      <c r="B107" s="14"/>
      <c r="C107" s="14"/>
      <c r="D107" s="36"/>
      <c r="E107" s="36"/>
      <c r="F107" s="36"/>
      <c r="G107" s="36"/>
      <c r="H107" s="36"/>
      <c r="I107" s="36"/>
      <c r="J107" s="61"/>
      <c r="K107" s="57"/>
      <c r="L107" s="61"/>
      <c r="M107" s="57"/>
      <c r="N107" s="36"/>
      <c r="O107" s="61"/>
      <c r="P107" s="66"/>
      <c r="Q107" s="15"/>
      <c r="R107" s="15"/>
      <c r="S107" s="15"/>
      <c r="T107" s="36"/>
      <c r="U107" s="36"/>
      <c r="V107" s="63"/>
      <c r="W107" s="14"/>
      <c r="X107" s="14"/>
      <c r="Y107" s="14"/>
      <c r="Z107" s="14"/>
    </row>
    <row r="108" spans="1:26" ht="14.25" customHeight="1" x14ac:dyDescent="0.25">
      <c r="A108" s="14"/>
      <c r="B108" s="14"/>
      <c r="C108" s="14"/>
      <c r="D108" s="36"/>
      <c r="E108" s="36"/>
      <c r="F108" s="36"/>
      <c r="G108" s="36"/>
      <c r="H108" s="36"/>
      <c r="I108" s="36"/>
      <c r="J108" s="61"/>
      <c r="K108" s="57"/>
      <c r="L108" s="61"/>
      <c r="M108" s="57"/>
      <c r="N108" s="36"/>
      <c r="O108" s="61"/>
      <c r="P108" s="66"/>
      <c r="Q108" s="15"/>
      <c r="R108" s="15"/>
      <c r="S108" s="15"/>
      <c r="T108" s="36"/>
      <c r="U108" s="36"/>
      <c r="V108" s="63"/>
      <c r="W108" s="14"/>
      <c r="X108" s="14"/>
      <c r="Y108" s="14"/>
      <c r="Z108" s="14"/>
    </row>
    <row r="109" spans="1:26" ht="14.25" customHeight="1" x14ac:dyDescent="0.25">
      <c r="A109" s="14"/>
      <c r="B109" s="14"/>
      <c r="C109" s="14"/>
      <c r="D109" s="36"/>
      <c r="E109" s="36"/>
      <c r="F109" s="36"/>
      <c r="G109" s="36"/>
      <c r="H109" s="36"/>
      <c r="I109" s="36"/>
      <c r="J109" s="61"/>
      <c r="K109" s="57"/>
      <c r="L109" s="61"/>
      <c r="M109" s="57"/>
      <c r="N109" s="36"/>
      <c r="O109" s="61"/>
      <c r="P109" s="66"/>
      <c r="Q109" s="15"/>
      <c r="R109" s="15"/>
      <c r="S109" s="15"/>
      <c r="T109" s="36"/>
      <c r="U109" s="36"/>
      <c r="V109" s="63"/>
      <c r="W109" s="14"/>
      <c r="X109" s="14"/>
      <c r="Y109" s="14"/>
      <c r="Z109" s="14"/>
    </row>
    <row r="110" spans="1:26" ht="14.25" customHeight="1" x14ac:dyDescent="0.25">
      <c r="A110" s="14"/>
      <c r="B110" s="14"/>
      <c r="C110" s="14"/>
      <c r="D110" s="36"/>
      <c r="E110" s="36"/>
      <c r="F110" s="36"/>
      <c r="G110" s="36"/>
      <c r="H110" s="36"/>
      <c r="I110" s="36"/>
      <c r="J110" s="61"/>
      <c r="K110" s="57"/>
      <c r="L110" s="61"/>
      <c r="M110" s="57"/>
      <c r="N110" s="36"/>
      <c r="O110" s="61"/>
      <c r="P110" s="66"/>
      <c r="Q110" s="15"/>
      <c r="R110" s="15"/>
      <c r="S110" s="15"/>
      <c r="T110" s="36"/>
      <c r="U110" s="36"/>
      <c r="V110" s="63"/>
      <c r="W110" s="14"/>
      <c r="X110" s="14"/>
      <c r="Y110" s="14"/>
      <c r="Z110" s="14"/>
    </row>
    <row r="111" spans="1:26" ht="14.25" customHeight="1" x14ac:dyDescent="0.25">
      <c r="A111" s="14"/>
      <c r="B111" s="14"/>
      <c r="C111" s="14"/>
      <c r="D111" s="36"/>
      <c r="E111" s="36"/>
      <c r="F111" s="36"/>
      <c r="G111" s="36"/>
      <c r="H111" s="36"/>
      <c r="I111" s="36"/>
      <c r="J111" s="61"/>
      <c r="K111" s="57"/>
      <c r="L111" s="61"/>
      <c r="M111" s="57"/>
      <c r="N111" s="36"/>
      <c r="O111" s="61"/>
      <c r="P111" s="66"/>
      <c r="Q111" s="15"/>
      <c r="R111" s="15"/>
      <c r="S111" s="15"/>
      <c r="T111" s="36"/>
      <c r="U111" s="36"/>
      <c r="V111" s="114"/>
      <c r="W111" s="14"/>
      <c r="X111" s="14"/>
      <c r="Y111" s="14"/>
      <c r="Z111" s="14"/>
    </row>
    <row r="112" spans="1:26" ht="14.25" customHeight="1" x14ac:dyDescent="0.25">
      <c r="A112" s="14"/>
      <c r="B112" s="14"/>
      <c r="C112" s="14"/>
      <c r="D112" s="36"/>
      <c r="E112" s="36"/>
      <c r="F112" s="36"/>
      <c r="G112" s="36"/>
      <c r="H112" s="36"/>
      <c r="I112" s="36"/>
      <c r="J112" s="61"/>
      <c r="K112" s="57"/>
      <c r="L112" s="61"/>
      <c r="M112" s="57"/>
      <c r="N112" s="36"/>
      <c r="O112" s="61"/>
      <c r="P112" s="66"/>
      <c r="Q112" s="15"/>
      <c r="R112" s="15"/>
      <c r="S112" s="15"/>
      <c r="T112" s="36"/>
      <c r="U112" s="36"/>
      <c r="V112" s="63"/>
      <c r="W112" s="14"/>
      <c r="X112" s="14"/>
      <c r="Y112" s="14"/>
      <c r="Z112" s="14"/>
    </row>
    <row r="113" spans="1:26" ht="14.25" customHeight="1" x14ac:dyDescent="0.25">
      <c r="A113" s="14"/>
      <c r="B113" s="14"/>
      <c r="C113" s="14"/>
      <c r="D113" s="36"/>
      <c r="E113" s="36"/>
      <c r="F113" s="36"/>
      <c r="G113" s="36"/>
      <c r="H113" s="36"/>
      <c r="I113" s="36"/>
      <c r="J113" s="61"/>
      <c r="K113" s="57"/>
      <c r="L113" s="61"/>
      <c r="M113" s="57"/>
      <c r="N113" s="36"/>
      <c r="O113" s="61"/>
      <c r="P113" s="66"/>
      <c r="Q113" s="15"/>
      <c r="R113" s="15"/>
      <c r="S113" s="15"/>
      <c r="T113" s="36"/>
      <c r="U113" s="36"/>
      <c r="V113" s="63"/>
      <c r="W113" s="14"/>
      <c r="X113" s="14"/>
      <c r="Y113" s="14"/>
      <c r="Z113" s="14"/>
    </row>
    <row r="114" spans="1:26" ht="14.25" customHeight="1" x14ac:dyDescent="0.25">
      <c r="A114" s="14"/>
      <c r="B114" s="14"/>
      <c r="C114" s="14"/>
      <c r="D114" s="36"/>
      <c r="E114" s="36"/>
      <c r="F114" s="36"/>
      <c r="G114" s="36"/>
      <c r="H114" s="36"/>
      <c r="I114" s="36"/>
      <c r="J114" s="61"/>
      <c r="K114" s="57"/>
      <c r="L114" s="61"/>
      <c r="M114" s="57"/>
      <c r="N114" s="36"/>
      <c r="O114" s="61"/>
      <c r="P114" s="66"/>
      <c r="Q114" s="15"/>
      <c r="R114" s="15"/>
      <c r="S114" s="15"/>
      <c r="T114" s="36"/>
      <c r="U114" s="36"/>
      <c r="V114" s="63"/>
      <c r="W114" s="14"/>
      <c r="X114" s="14"/>
      <c r="Y114" s="14"/>
      <c r="Z114" s="14"/>
    </row>
    <row r="115" spans="1:26" ht="14.25" customHeight="1" x14ac:dyDescent="0.25">
      <c r="A115" s="14"/>
      <c r="B115" s="14"/>
      <c r="C115" s="14"/>
      <c r="D115" s="36"/>
      <c r="E115" s="36"/>
      <c r="F115" s="36"/>
      <c r="G115" s="36"/>
      <c r="H115" s="36"/>
      <c r="I115" s="36"/>
      <c r="J115" s="61"/>
      <c r="K115" s="57"/>
      <c r="L115" s="61"/>
      <c r="M115" s="57"/>
      <c r="N115" s="36"/>
      <c r="O115" s="61"/>
      <c r="P115" s="66"/>
      <c r="Q115" s="15"/>
      <c r="R115" s="15"/>
      <c r="S115" s="15"/>
      <c r="T115" s="36"/>
      <c r="U115" s="36"/>
      <c r="V115" s="63"/>
      <c r="W115" s="14"/>
      <c r="X115" s="14"/>
      <c r="Y115" s="14"/>
      <c r="Z115" s="14"/>
    </row>
    <row r="116" spans="1:26" ht="14.25" customHeight="1" x14ac:dyDescent="0.25">
      <c r="A116" s="14"/>
      <c r="B116" s="14"/>
      <c r="C116" s="14"/>
      <c r="D116" s="36"/>
      <c r="E116" s="36"/>
      <c r="F116" s="36"/>
      <c r="G116" s="36"/>
      <c r="H116" s="36"/>
      <c r="I116" s="36"/>
      <c r="J116" s="61"/>
      <c r="K116" s="57"/>
      <c r="L116" s="61"/>
      <c r="M116" s="57"/>
      <c r="N116" s="36"/>
      <c r="O116" s="61"/>
      <c r="P116" s="66"/>
      <c r="Q116" s="15"/>
      <c r="R116" s="15"/>
      <c r="S116" s="15"/>
      <c r="T116" s="36"/>
      <c r="U116" s="36"/>
      <c r="V116" s="63"/>
      <c r="W116" s="14"/>
      <c r="X116" s="14"/>
      <c r="Y116" s="14"/>
      <c r="Z116" s="14"/>
    </row>
    <row r="117" spans="1:26" ht="14.25" customHeight="1" x14ac:dyDescent="0.25">
      <c r="A117" s="14"/>
      <c r="B117" s="14"/>
      <c r="C117" s="14"/>
      <c r="D117" s="36"/>
      <c r="E117" s="36"/>
      <c r="F117" s="36"/>
      <c r="G117" s="36"/>
      <c r="H117" s="36"/>
      <c r="I117" s="36"/>
      <c r="J117" s="61"/>
      <c r="K117" s="57"/>
      <c r="L117" s="61"/>
      <c r="M117" s="57"/>
      <c r="N117" s="36"/>
      <c r="O117" s="61"/>
      <c r="P117" s="66"/>
      <c r="Q117" s="15"/>
      <c r="R117" s="15"/>
      <c r="S117" s="15"/>
      <c r="T117" s="36"/>
      <c r="U117" s="36"/>
      <c r="V117" s="63"/>
      <c r="W117" s="14"/>
      <c r="X117" s="14"/>
      <c r="Y117" s="14"/>
      <c r="Z117" s="14"/>
    </row>
    <row r="118" spans="1:26" ht="14.25" customHeight="1" x14ac:dyDescent="0.25">
      <c r="A118" s="14"/>
      <c r="B118" s="14"/>
      <c r="C118" s="14"/>
      <c r="D118" s="36"/>
      <c r="E118" s="36"/>
      <c r="F118" s="36"/>
      <c r="G118" s="36"/>
      <c r="H118" s="36"/>
      <c r="I118" s="36"/>
      <c r="J118" s="61"/>
      <c r="K118" s="57"/>
      <c r="L118" s="61"/>
      <c r="M118" s="57"/>
      <c r="N118" s="36"/>
      <c r="O118" s="61"/>
      <c r="P118" s="66"/>
      <c r="Q118" s="15"/>
      <c r="R118" s="15"/>
      <c r="S118" s="15"/>
      <c r="T118" s="36"/>
      <c r="U118" s="36"/>
      <c r="V118" s="63"/>
      <c r="W118" s="14"/>
      <c r="X118" s="14"/>
      <c r="Y118" s="14"/>
      <c r="Z118" s="14"/>
    </row>
    <row r="119" spans="1:26" ht="14.25" customHeight="1" x14ac:dyDescent="0.25">
      <c r="A119" s="14"/>
      <c r="B119" s="14"/>
      <c r="C119" s="14"/>
      <c r="D119" s="36"/>
      <c r="E119" s="36"/>
      <c r="F119" s="36"/>
      <c r="G119" s="36"/>
      <c r="H119" s="36"/>
      <c r="I119" s="36"/>
      <c r="J119" s="61"/>
      <c r="K119" s="57"/>
      <c r="L119" s="61"/>
      <c r="M119" s="57"/>
      <c r="N119" s="36"/>
      <c r="O119" s="61"/>
      <c r="P119" s="66"/>
      <c r="Q119" s="15"/>
      <c r="R119" s="15"/>
      <c r="S119" s="15"/>
      <c r="T119" s="36"/>
      <c r="U119" s="36"/>
      <c r="V119" s="63"/>
      <c r="W119" s="14"/>
      <c r="X119" s="14"/>
      <c r="Y119" s="14"/>
      <c r="Z119" s="14"/>
    </row>
    <row r="120" spans="1:26" ht="14.25" customHeight="1" x14ac:dyDescent="0.25">
      <c r="A120" s="14"/>
      <c r="B120" s="14"/>
      <c r="C120" s="14"/>
      <c r="D120" s="36"/>
      <c r="E120" s="36"/>
      <c r="F120" s="36"/>
      <c r="G120" s="36"/>
      <c r="H120" s="36"/>
      <c r="I120" s="36"/>
      <c r="J120" s="61"/>
      <c r="K120" s="57"/>
      <c r="L120" s="61"/>
      <c r="M120" s="57"/>
      <c r="N120" s="36"/>
      <c r="O120" s="61"/>
      <c r="P120" s="66"/>
      <c r="Q120" s="15"/>
      <c r="R120" s="15"/>
      <c r="S120" s="15"/>
      <c r="T120" s="36"/>
      <c r="U120" s="36"/>
      <c r="V120" s="63"/>
      <c r="W120" s="14"/>
      <c r="X120" s="14"/>
      <c r="Y120" s="14"/>
      <c r="Z120" s="14"/>
    </row>
    <row r="121" spans="1:26" ht="14.25" customHeight="1" x14ac:dyDescent="0.25">
      <c r="A121" s="14"/>
      <c r="B121" s="14"/>
      <c r="C121" s="14"/>
      <c r="D121" s="36"/>
      <c r="E121" s="36"/>
      <c r="F121" s="36"/>
      <c r="G121" s="36"/>
      <c r="H121" s="36"/>
      <c r="I121" s="36"/>
      <c r="J121" s="61"/>
      <c r="K121" s="57"/>
      <c r="L121" s="61"/>
      <c r="M121" s="57"/>
      <c r="N121" s="36"/>
      <c r="O121" s="61"/>
      <c r="P121" s="66"/>
      <c r="Q121" s="15"/>
      <c r="R121" s="15"/>
      <c r="S121" s="15"/>
      <c r="T121" s="36"/>
      <c r="U121" s="36"/>
      <c r="V121" s="63"/>
      <c r="W121" s="14"/>
      <c r="X121" s="14"/>
      <c r="Y121" s="14"/>
      <c r="Z121" s="14"/>
    </row>
    <row r="122" spans="1:26" ht="14.25" customHeight="1" x14ac:dyDescent="0.25">
      <c r="A122" s="14"/>
      <c r="B122" s="14"/>
      <c r="C122" s="14"/>
      <c r="D122" s="36"/>
      <c r="E122" s="36"/>
      <c r="F122" s="36"/>
      <c r="G122" s="36"/>
      <c r="H122" s="36"/>
      <c r="I122" s="36"/>
      <c r="J122" s="61"/>
      <c r="K122" s="57"/>
      <c r="L122" s="61"/>
      <c r="M122" s="57"/>
      <c r="N122" s="36"/>
      <c r="O122" s="61"/>
      <c r="P122" s="66"/>
      <c r="Q122" s="15"/>
      <c r="R122" s="15"/>
      <c r="S122" s="15"/>
      <c r="T122" s="36"/>
      <c r="U122" s="36"/>
      <c r="V122" s="63"/>
      <c r="W122" s="14"/>
      <c r="X122" s="14"/>
      <c r="Y122" s="14"/>
      <c r="Z122" s="14"/>
    </row>
    <row r="123" spans="1:26" ht="14.25" customHeight="1" x14ac:dyDescent="0.25">
      <c r="A123" s="14"/>
      <c r="B123" s="14"/>
      <c r="C123" s="14"/>
      <c r="D123" s="36"/>
      <c r="E123" s="36"/>
      <c r="F123" s="36"/>
      <c r="G123" s="36"/>
      <c r="H123" s="36"/>
      <c r="I123" s="36"/>
      <c r="J123" s="61"/>
      <c r="K123" s="57"/>
      <c r="L123" s="61"/>
      <c r="M123" s="57"/>
      <c r="N123" s="36"/>
      <c r="O123" s="61"/>
      <c r="P123" s="66"/>
      <c r="Q123" s="15"/>
      <c r="R123" s="15"/>
      <c r="S123" s="15"/>
      <c r="T123" s="36"/>
      <c r="U123" s="36"/>
      <c r="V123" s="63"/>
      <c r="W123" s="14"/>
      <c r="X123" s="14"/>
      <c r="Y123" s="14"/>
      <c r="Z123" s="14"/>
    </row>
    <row r="124" spans="1:26" ht="14.25" customHeight="1" x14ac:dyDescent="0.25">
      <c r="A124" s="14"/>
      <c r="B124" s="14"/>
      <c r="C124" s="14"/>
      <c r="D124" s="36"/>
      <c r="E124" s="36"/>
      <c r="F124" s="36"/>
      <c r="G124" s="36"/>
      <c r="H124" s="36"/>
      <c r="I124" s="36"/>
      <c r="J124" s="61"/>
      <c r="K124" s="57"/>
      <c r="L124" s="61"/>
      <c r="M124" s="57"/>
      <c r="N124" s="36"/>
      <c r="O124" s="61"/>
      <c r="P124" s="66"/>
      <c r="Q124" s="15"/>
      <c r="R124" s="15"/>
      <c r="S124" s="15"/>
      <c r="T124" s="36"/>
      <c r="U124" s="36"/>
      <c r="V124" s="63"/>
      <c r="W124" s="14"/>
      <c r="X124" s="14"/>
      <c r="Y124" s="14"/>
      <c r="Z124" s="14"/>
    </row>
    <row r="125" spans="1:26" ht="14.25" customHeight="1" x14ac:dyDescent="0.25">
      <c r="A125" s="14"/>
      <c r="B125" s="14"/>
      <c r="C125" s="14"/>
      <c r="D125" s="36"/>
      <c r="E125" s="36"/>
      <c r="F125" s="36"/>
      <c r="G125" s="36"/>
      <c r="H125" s="36"/>
      <c r="I125" s="36"/>
      <c r="J125" s="61"/>
      <c r="K125" s="57"/>
      <c r="L125" s="61"/>
      <c r="M125" s="57"/>
      <c r="N125" s="36"/>
      <c r="O125" s="61"/>
      <c r="P125" s="66"/>
      <c r="Q125" s="15"/>
      <c r="R125" s="15"/>
      <c r="S125" s="15"/>
      <c r="T125" s="36"/>
      <c r="U125" s="36"/>
      <c r="V125" s="63"/>
      <c r="W125" s="14"/>
      <c r="X125" s="14"/>
      <c r="Y125" s="14"/>
      <c r="Z125" s="14"/>
    </row>
    <row r="126" spans="1:26" ht="14.25" customHeight="1" x14ac:dyDescent="0.25">
      <c r="A126" s="14"/>
      <c r="B126" s="14"/>
      <c r="C126" s="14"/>
      <c r="D126" s="36"/>
      <c r="E126" s="36"/>
      <c r="F126" s="36"/>
      <c r="G126" s="36"/>
      <c r="H126" s="36"/>
      <c r="I126" s="36"/>
      <c r="J126" s="61"/>
      <c r="K126" s="57"/>
      <c r="L126" s="61"/>
      <c r="M126" s="57"/>
      <c r="N126" s="36"/>
      <c r="O126" s="61"/>
      <c r="P126" s="66"/>
      <c r="Q126" s="15"/>
      <c r="R126" s="15"/>
      <c r="S126" s="15"/>
      <c r="T126" s="36"/>
      <c r="U126" s="36"/>
      <c r="V126" s="63"/>
      <c r="W126" s="14"/>
      <c r="X126" s="14"/>
      <c r="Y126" s="14"/>
      <c r="Z126" s="14"/>
    </row>
    <row r="127" spans="1:26" ht="14.25" customHeight="1" x14ac:dyDescent="0.25">
      <c r="A127" s="14"/>
      <c r="B127" s="14"/>
      <c r="C127" s="14"/>
      <c r="D127" s="36"/>
      <c r="E127" s="36"/>
      <c r="F127" s="36"/>
      <c r="G127" s="36"/>
      <c r="H127" s="36"/>
      <c r="I127" s="36"/>
      <c r="J127" s="61"/>
      <c r="K127" s="57"/>
      <c r="L127" s="61"/>
      <c r="M127" s="57"/>
      <c r="N127" s="36"/>
      <c r="O127" s="61"/>
      <c r="P127" s="66"/>
      <c r="Q127" s="15"/>
      <c r="R127" s="15"/>
      <c r="S127" s="15"/>
      <c r="T127" s="36"/>
      <c r="U127" s="36"/>
      <c r="V127" s="63"/>
      <c r="W127" s="14"/>
      <c r="X127" s="14"/>
      <c r="Y127" s="14"/>
      <c r="Z127" s="14"/>
    </row>
    <row r="128" spans="1:26" ht="14.25" customHeight="1" x14ac:dyDescent="0.25">
      <c r="A128" s="14"/>
      <c r="B128" s="14"/>
      <c r="C128" s="14"/>
      <c r="D128" s="36"/>
      <c r="E128" s="36"/>
      <c r="F128" s="36"/>
      <c r="G128" s="36"/>
      <c r="H128" s="36"/>
      <c r="I128" s="36"/>
      <c r="J128" s="61"/>
      <c r="K128" s="57"/>
      <c r="L128" s="61"/>
      <c r="M128" s="57"/>
      <c r="N128" s="36"/>
      <c r="O128" s="61"/>
      <c r="P128" s="66"/>
      <c r="Q128" s="15"/>
      <c r="R128" s="15"/>
      <c r="S128" s="15"/>
      <c r="T128" s="36"/>
      <c r="U128" s="36"/>
      <c r="V128" s="63"/>
      <c r="W128" s="14"/>
      <c r="X128" s="14"/>
      <c r="Y128" s="14"/>
      <c r="Z128" s="14"/>
    </row>
    <row r="129" spans="1:26" ht="14.25" customHeight="1" x14ac:dyDescent="0.25">
      <c r="A129" s="14"/>
      <c r="B129" s="14"/>
      <c r="C129" s="14"/>
      <c r="D129" s="36"/>
      <c r="E129" s="36"/>
      <c r="F129" s="36"/>
      <c r="G129" s="36"/>
      <c r="H129" s="36"/>
      <c r="I129" s="36"/>
      <c r="J129" s="61"/>
      <c r="K129" s="57"/>
      <c r="L129" s="61"/>
      <c r="M129" s="57"/>
      <c r="N129" s="36"/>
      <c r="O129" s="61"/>
      <c r="P129" s="66"/>
      <c r="Q129" s="15"/>
      <c r="R129" s="15"/>
      <c r="S129" s="15"/>
      <c r="T129" s="36"/>
      <c r="U129" s="36"/>
      <c r="V129" s="63"/>
      <c r="W129" s="14"/>
      <c r="X129" s="14"/>
      <c r="Y129" s="14"/>
      <c r="Z129" s="14"/>
    </row>
    <row r="130" spans="1:26" ht="14.25" customHeight="1" x14ac:dyDescent="0.25">
      <c r="A130" s="14"/>
      <c r="B130" s="14"/>
      <c r="C130" s="14"/>
      <c r="D130" s="36"/>
      <c r="E130" s="36"/>
      <c r="F130" s="36"/>
      <c r="G130" s="36"/>
      <c r="H130" s="36"/>
      <c r="I130" s="36"/>
      <c r="J130" s="61"/>
      <c r="K130" s="57"/>
      <c r="L130" s="61"/>
      <c r="M130" s="57"/>
      <c r="N130" s="36"/>
      <c r="O130" s="61"/>
      <c r="P130" s="66"/>
      <c r="Q130" s="15"/>
      <c r="R130" s="15"/>
      <c r="S130" s="15"/>
      <c r="T130" s="36"/>
      <c r="U130" s="36"/>
      <c r="V130" s="63"/>
      <c r="W130" s="14"/>
      <c r="X130" s="14"/>
      <c r="Y130" s="14"/>
      <c r="Z130" s="14"/>
    </row>
    <row r="131" spans="1:26" ht="14.25" customHeight="1" x14ac:dyDescent="0.25">
      <c r="A131" s="14"/>
      <c r="B131" s="14"/>
      <c r="C131" s="14"/>
      <c r="D131" s="36"/>
      <c r="E131" s="36"/>
      <c r="F131" s="36"/>
      <c r="G131" s="36"/>
      <c r="H131" s="36"/>
      <c r="I131" s="36"/>
      <c r="J131" s="61"/>
      <c r="K131" s="57"/>
      <c r="L131" s="61"/>
      <c r="M131" s="57"/>
      <c r="N131" s="36"/>
      <c r="O131" s="61"/>
      <c r="P131" s="66"/>
      <c r="Q131" s="15"/>
      <c r="R131" s="15"/>
      <c r="S131" s="15"/>
      <c r="T131" s="36"/>
      <c r="U131" s="36"/>
      <c r="V131" s="63"/>
      <c r="W131" s="14"/>
      <c r="X131" s="14"/>
      <c r="Y131" s="14"/>
      <c r="Z131" s="14"/>
    </row>
    <row r="132" spans="1:26" ht="14.25" customHeight="1" x14ac:dyDescent="0.25">
      <c r="A132" s="14"/>
      <c r="B132" s="14"/>
      <c r="C132" s="14"/>
      <c r="D132" s="36"/>
      <c r="E132" s="36"/>
      <c r="F132" s="36"/>
      <c r="G132" s="36"/>
      <c r="H132" s="36"/>
      <c r="I132" s="36"/>
      <c r="J132" s="61"/>
      <c r="K132" s="57"/>
      <c r="L132" s="61"/>
      <c r="M132" s="57"/>
      <c r="N132" s="36"/>
      <c r="O132" s="61"/>
      <c r="P132" s="66"/>
      <c r="Q132" s="15"/>
      <c r="R132" s="15"/>
      <c r="S132" s="15"/>
      <c r="T132" s="36"/>
      <c r="U132" s="36"/>
      <c r="V132" s="63"/>
      <c r="W132" s="14"/>
      <c r="X132" s="14"/>
      <c r="Y132" s="14"/>
      <c r="Z132" s="14"/>
    </row>
    <row r="133" spans="1:26" ht="14.25" customHeight="1" x14ac:dyDescent="0.25">
      <c r="A133" s="14"/>
      <c r="B133" s="14"/>
      <c r="C133" s="14"/>
      <c r="D133" s="36"/>
      <c r="E133" s="36"/>
      <c r="F133" s="36"/>
      <c r="G133" s="36"/>
      <c r="H133" s="36"/>
      <c r="I133" s="36"/>
      <c r="J133" s="61"/>
      <c r="K133" s="36"/>
      <c r="L133" s="61"/>
      <c r="M133" s="57"/>
      <c r="N133" s="36"/>
      <c r="O133" s="61"/>
      <c r="P133" s="66"/>
      <c r="Q133" s="15"/>
      <c r="R133" s="15"/>
      <c r="S133" s="15"/>
      <c r="T133" s="36"/>
      <c r="U133" s="36"/>
      <c r="V133" s="63"/>
      <c r="W133" s="14"/>
      <c r="X133" s="14"/>
      <c r="Y133" s="14"/>
      <c r="Z133" s="14"/>
    </row>
    <row r="134" spans="1:26" ht="14.25" customHeight="1" x14ac:dyDescent="0.25">
      <c r="A134" s="14"/>
      <c r="B134" s="14"/>
      <c r="C134" s="14"/>
      <c r="D134" s="36"/>
      <c r="E134" s="36"/>
      <c r="F134" s="36"/>
      <c r="G134" s="36"/>
      <c r="H134" s="36"/>
      <c r="I134" s="36"/>
      <c r="J134" s="61"/>
      <c r="K134" s="36"/>
      <c r="L134" s="61"/>
      <c r="M134" s="57"/>
      <c r="N134" s="36"/>
      <c r="O134" s="61"/>
      <c r="P134" s="66"/>
      <c r="Q134" s="15"/>
      <c r="R134" s="15"/>
      <c r="S134" s="15"/>
      <c r="T134" s="36"/>
      <c r="U134" s="36"/>
      <c r="V134" s="63"/>
      <c r="W134" s="14"/>
      <c r="X134" s="14"/>
      <c r="Y134" s="14"/>
      <c r="Z134" s="14"/>
    </row>
    <row r="135" spans="1:26" ht="14.25" customHeight="1" x14ac:dyDescent="0.25">
      <c r="A135" s="14"/>
      <c r="B135" s="14"/>
      <c r="C135" s="14"/>
      <c r="D135" s="36"/>
      <c r="E135" s="36"/>
      <c r="F135" s="36"/>
      <c r="G135" s="36"/>
      <c r="H135" s="36"/>
      <c r="I135" s="36"/>
      <c r="J135" s="61"/>
      <c r="K135" s="36"/>
      <c r="L135" s="61"/>
      <c r="M135" s="57"/>
      <c r="N135" s="36"/>
      <c r="O135" s="61"/>
      <c r="P135" s="66"/>
      <c r="Q135" s="15"/>
      <c r="R135" s="15"/>
      <c r="S135" s="15"/>
      <c r="T135" s="36"/>
      <c r="U135" s="36"/>
      <c r="V135" s="63"/>
      <c r="W135" s="14"/>
      <c r="X135" s="14"/>
      <c r="Y135" s="14"/>
      <c r="Z135" s="14"/>
    </row>
    <row r="136" spans="1:26" ht="14.25" customHeight="1" x14ac:dyDescent="0.25">
      <c r="A136" s="14"/>
      <c r="B136" s="14"/>
      <c r="C136" s="14"/>
      <c r="D136" s="36"/>
      <c r="E136" s="36"/>
      <c r="F136" s="36"/>
      <c r="G136" s="36"/>
      <c r="H136" s="36"/>
      <c r="I136" s="36"/>
      <c r="J136" s="61"/>
      <c r="K136" s="36"/>
      <c r="L136" s="61"/>
      <c r="M136" s="57"/>
      <c r="N136" s="36"/>
      <c r="O136" s="61"/>
      <c r="P136" s="66"/>
      <c r="Q136" s="15"/>
      <c r="R136" s="15"/>
      <c r="S136" s="15"/>
      <c r="T136" s="36"/>
      <c r="U136" s="36"/>
      <c r="V136" s="63"/>
      <c r="W136" s="14"/>
      <c r="X136" s="14"/>
      <c r="Y136" s="14"/>
      <c r="Z136" s="14"/>
    </row>
    <row r="137" spans="1:26" ht="14.25" customHeight="1" x14ac:dyDescent="0.25">
      <c r="A137" s="14"/>
      <c r="B137" s="14"/>
      <c r="C137" s="14"/>
      <c r="D137" s="36"/>
      <c r="E137" s="36"/>
      <c r="F137" s="36"/>
      <c r="G137" s="36"/>
      <c r="H137" s="36"/>
      <c r="I137" s="36"/>
      <c r="J137" s="61"/>
      <c r="K137" s="36"/>
      <c r="L137" s="61"/>
      <c r="M137" s="57"/>
      <c r="N137" s="36"/>
      <c r="O137" s="61"/>
      <c r="P137" s="66"/>
      <c r="Q137" s="15"/>
      <c r="R137" s="15"/>
      <c r="S137" s="15"/>
      <c r="T137" s="36"/>
      <c r="U137" s="36"/>
      <c r="V137" s="63"/>
      <c r="W137" s="14"/>
      <c r="X137" s="14"/>
      <c r="Y137" s="14"/>
      <c r="Z137" s="14"/>
    </row>
    <row r="138" spans="1:26" ht="14.25" customHeight="1" x14ac:dyDescent="0.25">
      <c r="A138" s="14"/>
      <c r="B138" s="14"/>
      <c r="C138" s="14"/>
      <c r="D138" s="36"/>
      <c r="E138" s="36"/>
      <c r="F138" s="36"/>
      <c r="G138" s="36"/>
      <c r="H138" s="36"/>
      <c r="I138" s="36"/>
      <c r="J138" s="61"/>
      <c r="K138" s="36"/>
      <c r="L138" s="61"/>
      <c r="M138" s="57"/>
      <c r="N138" s="36"/>
      <c r="O138" s="61"/>
      <c r="P138" s="66"/>
      <c r="Q138" s="15"/>
      <c r="R138" s="15"/>
      <c r="S138" s="15"/>
      <c r="T138" s="36"/>
      <c r="U138" s="36"/>
      <c r="V138" s="63"/>
      <c r="W138" s="14"/>
      <c r="X138" s="14"/>
      <c r="Y138" s="14"/>
      <c r="Z138" s="14"/>
    </row>
    <row r="139" spans="1:26" ht="14.25" customHeight="1" x14ac:dyDescent="0.25">
      <c r="A139" s="14"/>
      <c r="B139" s="14"/>
      <c r="C139" s="14"/>
      <c r="D139" s="36"/>
      <c r="E139" s="36"/>
      <c r="F139" s="36"/>
      <c r="G139" s="36"/>
      <c r="H139" s="36"/>
      <c r="I139" s="36"/>
      <c r="J139" s="61"/>
      <c r="K139" s="36"/>
      <c r="L139" s="61"/>
      <c r="M139" s="57"/>
      <c r="N139" s="36"/>
      <c r="O139" s="61"/>
      <c r="P139" s="66"/>
      <c r="Q139" s="15"/>
      <c r="R139" s="15"/>
      <c r="S139" s="15"/>
      <c r="T139" s="36"/>
      <c r="U139" s="36"/>
      <c r="V139" s="63"/>
      <c r="W139" s="14"/>
      <c r="X139" s="14"/>
      <c r="Y139" s="14"/>
      <c r="Z139" s="14"/>
    </row>
    <row r="140" spans="1:26" ht="14.25" customHeight="1" x14ac:dyDescent="0.25">
      <c r="A140" s="14"/>
      <c r="B140" s="14"/>
      <c r="C140" s="14"/>
      <c r="D140" s="36"/>
      <c r="E140" s="36"/>
      <c r="F140" s="36"/>
      <c r="G140" s="36"/>
      <c r="H140" s="36"/>
      <c r="I140" s="36"/>
      <c r="J140" s="61"/>
      <c r="K140" s="36"/>
      <c r="L140" s="61"/>
      <c r="M140" s="57"/>
      <c r="N140" s="36"/>
      <c r="O140" s="61"/>
      <c r="P140" s="66"/>
      <c r="Q140" s="15"/>
      <c r="R140" s="15"/>
      <c r="S140" s="15"/>
      <c r="T140" s="36"/>
      <c r="U140" s="36"/>
      <c r="V140" s="63"/>
      <c r="W140" s="14"/>
      <c r="X140" s="14"/>
      <c r="Y140" s="14"/>
      <c r="Z140" s="14"/>
    </row>
    <row r="141" spans="1:26" ht="14.25" customHeight="1" x14ac:dyDescent="0.25">
      <c r="A141" s="14"/>
      <c r="B141" s="14"/>
      <c r="C141" s="14"/>
      <c r="D141" s="36"/>
      <c r="E141" s="36"/>
      <c r="F141" s="36"/>
      <c r="G141" s="36"/>
      <c r="H141" s="36"/>
      <c r="I141" s="36"/>
      <c r="J141" s="61"/>
      <c r="K141" s="36"/>
      <c r="L141" s="61"/>
      <c r="M141" s="57"/>
      <c r="N141" s="36"/>
      <c r="O141" s="61"/>
      <c r="P141" s="66"/>
      <c r="Q141" s="15"/>
      <c r="R141" s="15"/>
      <c r="S141" s="15"/>
      <c r="T141" s="36"/>
      <c r="U141" s="36"/>
      <c r="V141" s="63"/>
      <c r="W141" s="14"/>
      <c r="X141" s="14"/>
      <c r="Y141" s="14"/>
      <c r="Z141" s="14"/>
    </row>
    <row r="142" spans="1:26" ht="14.25" customHeight="1" x14ac:dyDescent="0.25">
      <c r="A142" s="14"/>
      <c r="B142" s="14"/>
      <c r="C142" s="14"/>
      <c r="D142" s="36"/>
      <c r="E142" s="36"/>
      <c r="F142" s="36"/>
      <c r="G142" s="36"/>
      <c r="H142" s="36"/>
      <c r="I142" s="36"/>
      <c r="J142" s="61"/>
      <c r="K142" s="36"/>
      <c r="L142" s="61"/>
      <c r="M142" s="57"/>
      <c r="N142" s="36"/>
      <c r="O142" s="61"/>
      <c r="P142" s="66"/>
      <c r="Q142" s="15"/>
      <c r="R142" s="15"/>
      <c r="S142" s="15"/>
      <c r="T142" s="36"/>
      <c r="U142" s="36"/>
      <c r="V142" s="63"/>
      <c r="W142" s="14"/>
      <c r="X142" s="14"/>
      <c r="Y142" s="14"/>
      <c r="Z142" s="14"/>
    </row>
    <row r="143" spans="1:26" ht="14.25" customHeight="1" x14ac:dyDescent="0.25">
      <c r="A143" s="14"/>
      <c r="B143" s="14"/>
      <c r="C143" s="14"/>
      <c r="D143" s="36"/>
      <c r="E143" s="36"/>
      <c r="F143" s="36"/>
      <c r="G143" s="36"/>
      <c r="H143" s="36"/>
      <c r="I143" s="36"/>
      <c r="J143" s="61"/>
      <c r="K143" s="36"/>
      <c r="L143" s="61"/>
      <c r="M143" s="57"/>
      <c r="N143" s="36"/>
      <c r="O143" s="61"/>
      <c r="P143" s="66"/>
      <c r="Q143" s="15"/>
      <c r="R143" s="15"/>
      <c r="S143" s="15"/>
      <c r="T143" s="36"/>
      <c r="U143" s="36"/>
      <c r="V143" s="63"/>
      <c r="W143" s="14"/>
      <c r="X143" s="14"/>
      <c r="Y143" s="14"/>
      <c r="Z143" s="14"/>
    </row>
    <row r="144" spans="1:26" ht="14.25" customHeight="1" x14ac:dyDescent="0.25">
      <c r="A144" s="14"/>
      <c r="B144" s="14"/>
      <c r="C144" s="14"/>
      <c r="D144" s="36"/>
      <c r="E144" s="36"/>
      <c r="F144" s="36"/>
      <c r="G144" s="36"/>
      <c r="H144" s="36"/>
      <c r="I144" s="36"/>
      <c r="J144" s="61"/>
      <c r="K144" s="36"/>
      <c r="L144" s="61"/>
      <c r="M144" s="57"/>
      <c r="N144" s="36"/>
      <c r="O144" s="61"/>
      <c r="P144" s="66"/>
      <c r="Q144" s="15"/>
      <c r="R144" s="15"/>
      <c r="S144" s="15"/>
      <c r="T144" s="36"/>
      <c r="U144" s="36"/>
      <c r="V144" s="63"/>
      <c r="W144" s="14"/>
      <c r="X144" s="14"/>
      <c r="Y144" s="14"/>
      <c r="Z144" s="14"/>
    </row>
    <row r="145" spans="1:26" ht="14.25" customHeight="1" x14ac:dyDescent="0.25">
      <c r="A145" s="14"/>
      <c r="B145" s="14"/>
      <c r="C145" s="14"/>
      <c r="D145" s="36"/>
      <c r="E145" s="36"/>
      <c r="F145" s="36"/>
      <c r="G145" s="36"/>
      <c r="H145" s="36"/>
      <c r="I145" s="36"/>
      <c r="J145" s="61"/>
      <c r="K145" s="36"/>
      <c r="L145" s="61"/>
      <c r="M145" s="57"/>
      <c r="N145" s="36"/>
      <c r="O145" s="61"/>
      <c r="P145" s="66"/>
      <c r="Q145" s="15"/>
      <c r="R145" s="15"/>
      <c r="S145" s="15"/>
      <c r="T145" s="36"/>
      <c r="U145" s="36"/>
      <c r="V145" s="63"/>
      <c r="W145" s="14"/>
      <c r="X145" s="14"/>
      <c r="Y145" s="14"/>
      <c r="Z145" s="14"/>
    </row>
    <row r="146" spans="1:26" ht="14.25" customHeight="1" x14ac:dyDescent="0.25">
      <c r="A146" s="14"/>
      <c r="B146" s="14"/>
      <c r="C146" s="14"/>
      <c r="D146" s="36"/>
      <c r="E146" s="36"/>
      <c r="F146" s="36"/>
      <c r="G146" s="36"/>
      <c r="H146" s="36"/>
      <c r="I146" s="36"/>
      <c r="J146" s="61"/>
      <c r="K146" s="36"/>
      <c r="L146" s="61"/>
      <c r="M146" s="57"/>
      <c r="N146" s="36"/>
      <c r="O146" s="61"/>
      <c r="P146" s="66"/>
      <c r="Q146" s="15"/>
      <c r="R146" s="15"/>
      <c r="S146" s="15"/>
      <c r="T146" s="36"/>
      <c r="U146" s="36"/>
      <c r="V146" s="63"/>
      <c r="W146" s="14"/>
      <c r="X146" s="14"/>
      <c r="Y146" s="14"/>
      <c r="Z146" s="14"/>
    </row>
    <row r="147" spans="1:26" ht="14.25" customHeight="1" x14ac:dyDescent="0.25">
      <c r="A147" s="14"/>
      <c r="B147" s="14"/>
      <c r="C147" s="14"/>
      <c r="D147" s="36"/>
      <c r="E147" s="36"/>
      <c r="F147" s="36"/>
      <c r="G147" s="36"/>
      <c r="H147" s="36"/>
      <c r="I147" s="36"/>
      <c r="J147" s="61"/>
      <c r="K147" s="36"/>
      <c r="L147" s="61"/>
      <c r="M147" s="57"/>
      <c r="N147" s="36"/>
      <c r="O147" s="61"/>
      <c r="P147" s="66"/>
      <c r="Q147" s="15"/>
      <c r="R147" s="15"/>
      <c r="S147" s="15"/>
      <c r="T147" s="36"/>
      <c r="U147" s="36"/>
      <c r="V147" s="63"/>
      <c r="W147" s="14"/>
      <c r="X147" s="14"/>
      <c r="Y147" s="14"/>
      <c r="Z147" s="14"/>
    </row>
    <row r="148" spans="1:26" ht="14.25" customHeight="1" x14ac:dyDescent="0.25">
      <c r="A148" s="14"/>
      <c r="B148" s="14"/>
      <c r="C148" s="14"/>
      <c r="D148" s="36"/>
      <c r="E148" s="36"/>
      <c r="F148" s="36"/>
      <c r="G148" s="36"/>
      <c r="H148" s="36"/>
      <c r="I148" s="36"/>
      <c r="J148" s="61"/>
      <c r="K148" s="36"/>
      <c r="L148" s="61"/>
      <c r="M148" s="57"/>
      <c r="N148" s="36"/>
      <c r="O148" s="61"/>
      <c r="P148" s="66"/>
      <c r="Q148" s="15"/>
      <c r="R148" s="15"/>
      <c r="S148" s="15"/>
      <c r="T148" s="36"/>
      <c r="U148" s="36"/>
      <c r="V148" s="63"/>
      <c r="W148" s="14"/>
      <c r="X148" s="14"/>
      <c r="Y148" s="14"/>
      <c r="Z148" s="14"/>
    </row>
    <row r="149" spans="1:26" ht="14.25" customHeight="1" x14ac:dyDescent="0.25">
      <c r="A149" s="14"/>
      <c r="B149" s="14"/>
      <c r="C149" s="14"/>
      <c r="D149" s="36"/>
      <c r="E149" s="36"/>
      <c r="F149" s="36"/>
      <c r="G149" s="36"/>
      <c r="H149" s="36"/>
      <c r="I149" s="36"/>
      <c r="J149" s="61"/>
      <c r="K149" s="36"/>
      <c r="L149" s="61"/>
      <c r="M149" s="57"/>
      <c r="N149" s="36"/>
      <c r="O149" s="61"/>
      <c r="P149" s="66"/>
      <c r="Q149" s="15"/>
      <c r="R149" s="15"/>
      <c r="S149" s="15"/>
      <c r="T149" s="36"/>
      <c r="U149" s="36"/>
      <c r="V149" s="63"/>
      <c r="W149" s="14"/>
      <c r="X149" s="14"/>
      <c r="Y149" s="14"/>
      <c r="Z149" s="14"/>
    </row>
    <row r="150" spans="1:26" ht="14.25" customHeight="1" x14ac:dyDescent="0.25">
      <c r="A150" s="14"/>
      <c r="B150" s="14"/>
      <c r="C150" s="14"/>
      <c r="D150" s="36"/>
      <c r="E150" s="36"/>
      <c r="F150" s="36"/>
      <c r="G150" s="36"/>
      <c r="H150" s="36"/>
      <c r="I150" s="36"/>
      <c r="J150" s="61"/>
      <c r="K150" s="36"/>
      <c r="L150" s="61"/>
      <c r="M150" s="57"/>
      <c r="N150" s="36"/>
      <c r="O150" s="61"/>
      <c r="P150" s="66"/>
      <c r="Q150" s="15"/>
      <c r="R150" s="15"/>
      <c r="S150" s="15"/>
      <c r="T150" s="36"/>
      <c r="U150" s="36"/>
      <c r="V150" s="63"/>
      <c r="W150" s="14"/>
      <c r="X150" s="14"/>
      <c r="Y150" s="14"/>
      <c r="Z150" s="14"/>
    </row>
    <row r="151" spans="1:26" ht="14.25" customHeight="1" x14ac:dyDescent="0.25">
      <c r="A151" s="14"/>
      <c r="B151" s="14"/>
      <c r="C151" s="14"/>
      <c r="D151" s="36"/>
      <c r="E151" s="36"/>
      <c r="F151" s="36"/>
      <c r="G151" s="36"/>
      <c r="H151" s="36"/>
      <c r="I151" s="36"/>
      <c r="J151" s="61"/>
      <c r="K151" s="36"/>
      <c r="L151" s="61"/>
      <c r="M151" s="57"/>
      <c r="N151" s="36"/>
      <c r="O151" s="61"/>
      <c r="P151" s="66"/>
      <c r="Q151" s="15"/>
      <c r="R151" s="15"/>
      <c r="S151" s="15"/>
      <c r="T151" s="36"/>
      <c r="U151" s="36"/>
      <c r="V151" s="63"/>
      <c r="W151" s="14"/>
      <c r="X151" s="14"/>
      <c r="Y151" s="14"/>
      <c r="Z151" s="14"/>
    </row>
    <row r="152" spans="1:26" ht="14.25" customHeight="1" x14ac:dyDescent="0.25">
      <c r="A152" s="14"/>
      <c r="B152" s="14"/>
      <c r="C152" s="14"/>
      <c r="D152" s="36"/>
      <c r="E152" s="36"/>
      <c r="F152" s="36"/>
      <c r="G152" s="36"/>
      <c r="H152" s="36"/>
      <c r="I152" s="36"/>
      <c r="J152" s="61"/>
      <c r="K152" s="36"/>
      <c r="L152" s="61"/>
      <c r="M152" s="57"/>
      <c r="N152" s="36"/>
      <c r="O152" s="61"/>
      <c r="P152" s="66"/>
      <c r="Q152" s="15"/>
      <c r="R152" s="15"/>
      <c r="S152" s="15"/>
      <c r="T152" s="36"/>
      <c r="U152" s="36"/>
      <c r="V152" s="63"/>
      <c r="W152" s="14"/>
      <c r="X152" s="14"/>
      <c r="Y152" s="14"/>
      <c r="Z152" s="14"/>
    </row>
    <row r="153" spans="1:26" ht="14.25" customHeight="1" x14ac:dyDescent="0.25">
      <c r="A153" s="14"/>
      <c r="B153" s="14"/>
      <c r="C153" s="14"/>
      <c r="D153" s="36"/>
      <c r="E153" s="36"/>
      <c r="F153" s="36"/>
      <c r="G153" s="36"/>
      <c r="H153" s="36"/>
      <c r="I153" s="36"/>
      <c r="J153" s="61"/>
      <c r="K153" s="36"/>
      <c r="L153" s="61"/>
      <c r="M153" s="57"/>
      <c r="N153" s="36"/>
      <c r="O153" s="61"/>
      <c r="P153" s="66"/>
      <c r="Q153" s="15"/>
      <c r="R153" s="15"/>
      <c r="S153" s="15"/>
      <c r="T153" s="36"/>
      <c r="U153" s="36"/>
      <c r="V153" s="63"/>
      <c r="W153" s="14"/>
      <c r="X153" s="14"/>
      <c r="Y153" s="14"/>
      <c r="Z153" s="14"/>
    </row>
    <row r="154" spans="1:26" ht="14.25" customHeight="1" x14ac:dyDescent="0.25">
      <c r="A154" s="14"/>
      <c r="B154" s="14"/>
      <c r="C154" s="14"/>
      <c r="D154" s="36"/>
      <c r="E154" s="36"/>
      <c r="F154" s="36"/>
      <c r="G154" s="36"/>
      <c r="H154" s="36"/>
      <c r="I154" s="36"/>
      <c r="J154" s="61"/>
      <c r="K154" s="36"/>
      <c r="L154" s="61"/>
      <c r="M154" s="57"/>
      <c r="N154" s="36"/>
      <c r="O154" s="61"/>
      <c r="P154" s="66"/>
      <c r="Q154" s="15"/>
      <c r="R154" s="15"/>
      <c r="S154" s="15"/>
      <c r="T154" s="36"/>
      <c r="U154" s="36"/>
      <c r="V154" s="63"/>
      <c r="W154" s="14"/>
      <c r="X154" s="14"/>
      <c r="Y154" s="14"/>
      <c r="Z154" s="14"/>
    </row>
    <row r="155" spans="1:26" ht="14.25" customHeight="1" x14ac:dyDescent="0.25">
      <c r="A155" s="14"/>
      <c r="B155" s="14"/>
      <c r="C155" s="14"/>
      <c r="D155" s="36"/>
      <c r="E155" s="36"/>
      <c r="F155" s="36"/>
      <c r="G155" s="36"/>
      <c r="H155" s="36"/>
      <c r="I155" s="36"/>
      <c r="J155" s="61"/>
      <c r="K155" s="36"/>
      <c r="L155" s="61"/>
      <c r="M155" s="57"/>
      <c r="N155" s="36"/>
      <c r="O155" s="61"/>
      <c r="P155" s="66"/>
      <c r="Q155" s="15"/>
      <c r="R155" s="15"/>
      <c r="S155" s="15"/>
      <c r="T155" s="36"/>
      <c r="U155" s="36"/>
      <c r="V155" s="63"/>
      <c r="W155" s="14"/>
      <c r="X155" s="14"/>
      <c r="Y155" s="14"/>
      <c r="Z155" s="14"/>
    </row>
    <row r="156" spans="1:26" ht="14.25" customHeight="1" x14ac:dyDescent="0.25">
      <c r="A156" s="14"/>
      <c r="B156" s="14"/>
      <c r="C156" s="14"/>
      <c r="D156" s="36"/>
      <c r="E156" s="36"/>
      <c r="F156" s="36"/>
      <c r="G156" s="36"/>
      <c r="H156" s="36"/>
      <c r="I156" s="36"/>
      <c r="J156" s="61"/>
      <c r="K156" s="36"/>
      <c r="L156" s="61"/>
      <c r="M156" s="57"/>
      <c r="N156" s="36"/>
      <c r="O156" s="61"/>
      <c r="P156" s="66"/>
      <c r="Q156" s="15"/>
      <c r="R156" s="15"/>
      <c r="S156" s="15"/>
      <c r="T156" s="36"/>
      <c r="U156" s="36"/>
      <c r="V156" s="63"/>
      <c r="W156" s="14"/>
      <c r="X156" s="14"/>
      <c r="Y156" s="14"/>
      <c r="Z156" s="14"/>
    </row>
    <row r="157" spans="1:26" ht="14.25" customHeight="1" x14ac:dyDescent="0.25">
      <c r="A157" s="14"/>
      <c r="B157" s="14"/>
      <c r="C157" s="14"/>
      <c r="D157" s="36"/>
      <c r="E157" s="36"/>
      <c r="F157" s="36"/>
      <c r="G157" s="36"/>
      <c r="H157" s="36"/>
      <c r="I157" s="36"/>
      <c r="J157" s="61"/>
      <c r="K157" s="36"/>
      <c r="L157" s="61"/>
      <c r="M157" s="57"/>
      <c r="N157" s="36"/>
      <c r="O157" s="61"/>
      <c r="P157" s="66"/>
      <c r="Q157" s="15"/>
      <c r="R157" s="15"/>
      <c r="S157" s="15"/>
      <c r="T157" s="36"/>
      <c r="U157" s="36"/>
      <c r="V157" s="63"/>
      <c r="W157" s="14"/>
      <c r="X157" s="14"/>
      <c r="Y157" s="14"/>
      <c r="Z157" s="14"/>
    </row>
    <row r="158" spans="1:26" ht="14.25" customHeight="1" x14ac:dyDescent="0.25">
      <c r="A158" s="14"/>
      <c r="B158" s="14"/>
      <c r="C158" s="14"/>
      <c r="D158" s="36"/>
      <c r="E158" s="36"/>
      <c r="F158" s="36"/>
      <c r="G158" s="36"/>
      <c r="H158" s="36"/>
      <c r="I158" s="36"/>
      <c r="J158" s="61"/>
      <c r="K158" s="36"/>
      <c r="L158" s="61"/>
      <c r="M158" s="57"/>
      <c r="N158" s="36"/>
      <c r="O158" s="61"/>
      <c r="P158" s="66"/>
      <c r="Q158" s="15"/>
      <c r="R158" s="15"/>
      <c r="S158" s="15"/>
      <c r="T158" s="36"/>
      <c r="U158" s="36"/>
      <c r="V158" s="63"/>
      <c r="W158" s="14"/>
      <c r="X158" s="14"/>
      <c r="Y158" s="14"/>
      <c r="Z158" s="14"/>
    </row>
    <row r="159" spans="1:26" ht="14.25" customHeight="1" x14ac:dyDescent="0.25">
      <c r="A159" s="14"/>
      <c r="B159" s="14"/>
      <c r="C159" s="14"/>
      <c r="D159" s="36"/>
      <c r="E159" s="36"/>
      <c r="F159" s="36"/>
      <c r="G159" s="36"/>
      <c r="H159" s="36"/>
      <c r="I159" s="36"/>
      <c r="J159" s="61"/>
      <c r="K159" s="36"/>
      <c r="L159" s="61"/>
      <c r="M159" s="57"/>
      <c r="N159" s="36"/>
      <c r="O159" s="61"/>
      <c r="P159" s="66"/>
      <c r="Q159" s="15"/>
      <c r="R159" s="15"/>
      <c r="S159" s="15"/>
      <c r="T159" s="36"/>
      <c r="U159" s="36"/>
      <c r="V159" s="63"/>
      <c r="W159" s="14"/>
      <c r="X159" s="14"/>
      <c r="Y159" s="14"/>
      <c r="Z159" s="14"/>
    </row>
    <row r="160" spans="1:26" ht="14.25" customHeight="1" x14ac:dyDescent="0.25">
      <c r="A160" s="14"/>
      <c r="B160" s="14"/>
      <c r="C160" s="14"/>
      <c r="D160" s="36"/>
      <c r="E160" s="36"/>
      <c r="F160" s="36"/>
      <c r="G160" s="36"/>
      <c r="H160" s="36"/>
      <c r="I160" s="36"/>
      <c r="J160" s="61"/>
      <c r="K160" s="57"/>
      <c r="L160" s="61"/>
      <c r="M160" s="57"/>
      <c r="N160" s="36"/>
      <c r="O160" s="61"/>
      <c r="P160" s="66"/>
      <c r="Q160" s="15"/>
      <c r="R160" s="15"/>
      <c r="S160" s="15"/>
      <c r="T160" s="36"/>
      <c r="U160" s="36"/>
      <c r="V160" s="114"/>
      <c r="W160" s="14"/>
      <c r="X160" s="14"/>
      <c r="Y160" s="14"/>
      <c r="Z160" s="14"/>
    </row>
    <row r="161" spans="1:26" ht="14.25" customHeight="1" x14ac:dyDescent="0.25">
      <c r="A161" s="14"/>
      <c r="B161" s="14"/>
      <c r="C161" s="14"/>
      <c r="D161" s="36"/>
      <c r="E161" s="36"/>
      <c r="F161" s="36"/>
      <c r="G161" s="36"/>
      <c r="H161" s="36"/>
      <c r="I161" s="111"/>
      <c r="J161" s="115"/>
      <c r="K161" s="116"/>
      <c r="L161" s="61"/>
      <c r="M161" s="57"/>
      <c r="N161" s="36"/>
      <c r="O161" s="61"/>
      <c r="P161" s="66"/>
      <c r="Q161" s="15"/>
      <c r="R161" s="15"/>
      <c r="S161" s="15"/>
      <c r="T161" s="36"/>
      <c r="U161" s="36"/>
      <c r="V161" s="63"/>
      <c r="W161" s="14"/>
      <c r="X161" s="14"/>
      <c r="Y161" s="14"/>
      <c r="Z161" s="14"/>
    </row>
    <row r="162" spans="1:26" ht="14.25" customHeight="1" x14ac:dyDescent="0.25">
      <c r="A162" s="14"/>
      <c r="B162" s="14"/>
      <c r="C162" s="14"/>
      <c r="D162" s="36"/>
      <c r="E162" s="36"/>
      <c r="F162" s="36"/>
      <c r="G162" s="36"/>
      <c r="H162" s="36"/>
      <c r="I162" s="36"/>
      <c r="J162" s="61"/>
      <c r="K162" s="36"/>
      <c r="L162" s="61"/>
      <c r="M162" s="57"/>
      <c r="N162" s="36"/>
      <c r="O162" s="61"/>
      <c r="P162" s="66"/>
      <c r="Q162" s="15"/>
      <c r="R162" s="15"/>
      <c r="S162" s="15"/>
      <c r="T162" s="36"/>
      <c r="U162" s="36"/>
      <c r="V162" s="63"/>
      <c r="W162" s="14"/>
      <c r="X162" s="14"/>
      <c r="Y162" s="14"/>
      <c r="Z162" s="14"/>
    </row>
    <row r="163" spans="1:26" ht="14.25" customHeight="1" x14ac:dyDescent="0.25">
      <c r="A163" s="14"/>
      <c r="B163" s="14"/>
      <c r="C163" s="14"/>
      <c r="D163" s="36"/>
      <c r="E163" s="36"/>
      <c r="F163" s="36"/>
      <c r="G163" s="36"/>
      <c r="H163" s="36"/>
      <c r="I163" s="36"/>
      <c r="J163" s="61"/>
      <c r="K163" s="36"/>
      <c r="L163" s="61"/>
      <c r="M163" s="57"/>
      <c r="N163" s="36"/>
      <c r="O163" s="61"/>
      <c r="P163" s="66"/>
      <c r="Q163" s="15"/>
      <c r="R163" s="15"/>
      <c r="S163" s="15"/>
      <c r="T163" s="36"/>
      <c r="U163" s="36"/>
      <c r="V163" s="63"/>
      <c r="W163" s="14"/>
      <c r="X163" s="14"/>
      <c r="Y163" s="14"/>
      <c r="Z163" s="14"/>
    </row>
    <row r="164" spans="1:26" ht="14.25" customHeight="1" x14ac:dyDescent="0.25">
      <c r="A164" s="14"/>
      <c r="B164" s="14"/>
      <c r="C164" s="14"/>
      <c r="D164" s="36"/>
      <c r="E164" s="36"/>
      <c r="F164" s="36"/>
      <c r="G164" s="36"/>
      <c r="H164" s="36"/>
      <c r="I164" s="36"/>
      <c r="J164" s="61"/>
      <c r="K164" s="36"/>
      <c r="L164" s="61"/>
      <c r="M164" s="57"/>
      <c r="N164" s="36"/>
      <c r="O164" s="61"/>
      <c r="P164" s="66"/>
      <c r="Q164" s="15"/>
      <c r="R164" s="15"/>
      <c r="S164" s="15"/>
      <c r="T164" s="36"/>
      <c r="U164" s="36"/>
      <c r="V164" s="63"/>
      <c r="W164" s="14"/>
      <c r="X164" s="14"/>
      <c r="Y164" s="14"/>
      <c r="Z164" s="14"/>
    </row>
    <row r="165" spans="1:26" ht="14.25" customHeight="1" x14ac:dyDescent="0.25">
      <c r="A165" s="14"/>
      <c r="B165" s="14"/>
      <c r="C165" s="14"/>
      <c r="D165" s="36"/>
      <c r="E165" s="36"/>
      <c r="F165" s="36"/>
      <c r="G165" s="36"/>
      <c r="H165" s="36"/>
      <c r="I165" s="36"/>
      <c r="J165" s="61"/>
      <c r="K165" s="36"/>
      <c r="L165" s="61"/>
      <c r="M165" s="57"/>
      <c r="N165" s="36"/>
      <c r="O165" s="61"/>
      <c r="P165" s="66"/>
      <c r="Q165" s="15"/>
      <c r="R165" s="15"/>
      <c r="S165" s="15"/>
      <c r="T165" s="36"/>
      <c r="U165" s="36"/>
      <c r="V165" s="63"/>
      <c r="W165" s="14"/>
      <c r="X165" s="14"/>
      <c r="Y165" s="14"/>
      <c r="Z165" s="14"/>
    </row>
    <row r="166" spans="1:26" ht="14.25" customHeight="1" x14ac:dyDescent="0.25">
      <c r="A166" s="14"/>
      <c r="B166" s="14"/>
      <c r="C166" s="14"/>
      <c r="D166" s="36"/>
      <c r="E166" s="36"/>
      <c r="F166" s="36"/>
      <c r="G166" s="36"/>
      <c r="H166" s="36"/>
      <c r="I166" s="36"/>
      <c r="J166" s="61"/>
      <c r="K166" s="36"/>
      <c r="L166" s="61"/>
      <c r="M166" s="57"/>
      <c r="N166" s="36"/>
      <c r="O166" s="61"/>
      <c r="P166" s="66"/>
      <c r="Q166" s="15"/>
      <c r="R166" s="15"/>
      <c r="S166" s="15"/>
      <c r="T166" s="36"/>
      <c r="U166" s="36"/>
      <c r="V166" s="63"/>
      <c r="W166" s="14"/>
      <c r="X166" s="14"/>
      <c r="Y166" s="14"/>
      <c r="Z166" s="14"/>
    </row>
    <row r="167" spans="1:26" ht="14.25" customHeight="1" x14ac:dyDescent="0.25">
      <c r="A167" s="14"/>
      <c r="B167" s="14"/>
      <c r="C167" s="14"/>
      <c r="D167" s="36"/>
      <c r="E167" s="36"/>
      <c r="F167" s="36"/>
      <c r="G167" s="36"/>
      <c r="H167" s="36"/>
      <c r="I167" s="36"/>
      <c r="J167" s="61"/>
      <c r="K167" s="36"/>
      <c r="L167" s="61"/>
      <c r="M167" s="57"/>
      <c r="N167" s="36"/>
      <c r="O167" s="61"/>
      <c r="P167" s="66"/>
      <c r="Q167" s="15"/>
      <c r="R167" s="15"/>
      <c r="S167" s="15"/>
      <c r="T167" s="36"/>
      <c r="U167" s="36"/>
      <c r="V167" s="63"/>
      <c r="W167" s="14"/>
      <c r="X167" s="14"/>
      <c r="Y167" s="14"/>
      <c r="Z167" s="14"/>
    </row>
    <row r="168" spans="1:26" ht="14.25" customHeight="1" x14ac:dyDescent="0.25">
      <c r="A168" s="14"/>
      <c r="B168" s="14"/>
      <c r="C168" s="14"/>
      <c r="D168" s="36"/>
      <c r="E168" s="36"/>
      <c r="F168" s="36"/>
      <c r="G168" s="36"/>
      <c r="H168" s="36"/>
      <c r="I168" s="36"/>
      <c r="J168" s="61"/>
      <c r="K168" s="36"/>
      <c r="L168" s="61"/>
      <c r="M168" s="57"/>
      <c r="N168" s="36"/>
      <c r="O168" s="61"/>
      <c r="P168" s="66"/>
      <c r="Q168" s="15"/>
      <c r="R168" s="15"/>
      <c r="S168" s="15"/>
      <c r="T168" s="36"/>
      <c r="U168" s="36"/>
      <c r="V168" s="63"/>
      <c r="W168" s="14"/>
      <c r="X168" s="14"/>
      <c r="Y168" s="14"/>
      <c r="Z168" s="14"/>
    </row>
    <row r="169" spans="1:26" ht="14.25" customHeight="1" x14ac:dyDescent="0.25">
      <c r="A169" s="14"/>
      <c r="B169" s="14"/>
      <c r="C169" s="14"/>
      <c r="D169" s="36"/>
      <c r="E169" s="36"/>
      <c r="F169" s="36"/>
      <c r="G169" s="36"/>
      <c r="H169" s="36"/>
      <c r="I169" s="36"/>
      <c r="J169" s="61"/>
      <c r="K169" s="36"/>
      <c r="L169" s="61"/>
      <c r="M169" s="57"/>
      <c r="N169" s="36"/>
      <c r="O169" s="61"/>
      <c r="P169" s="66"/>
      <c r="Q169" s="15"/>
      <c r="R169" s="15"/>
      <c r="S169" s="15"/>
      <c r="T169" s="36"/>
      <c r="U169" s="36"/>
      <c r="V169" s="63"/>
      <c r="W169" s="14"/>
      <c r="X169" s="14"/>
      <c r="Y169" s="14"/>
      <c r="Z169" s="14"/>
    </row>
    <row r="170" spans="1:26" ht="14.25" customHeight="1" x14ac:dyDescent="0.25">
      <c r="A170" s="14"/>
      <c r="B170" s="14"/>
      <c r="C170" s="14"/>
      <c r="D170" s="36"/>
      <c r="E170" s="36"/>
      <c r="F170" s="36"/>
      <c r="G170" s="36"/>
      <c r="H170" s="36"/>
      <c r="I170" s="36"/>
      <c r="J170" s="61"/>
      <c r="K170" s="36"/>
      <c r="L170" s="61"/>
      <c r="M170" s="57"/>
      <c r="N170" s="36"/>
      <c r="O170" s="61"/>
      <c r="P170" s="66"/>
      <c r="Q170" s="15"/>
      <c r="R170" s="15"/>
      <c r="S170" s="15"/>
      <c r="T170" s="36"/>
      <c r="U170" s="36"/>
      <c r="V170" s="63"/>
      <c r="W170" s="14"/>
      <c r="X170" s="14"/>
      <c r="Y170" s="14"/>
      <c r="Z170" s="14"/>
    </row>
    <row r="171" spans="1:26" ht="14.25" customHeight="1" x14ac:dyDescent="0.25">
      <c r="A171" s="14"/>
      <c r="B171" s="14"/>
      <c r="C171" s="14"/>
      <c r="D171" s="36"/>
      <c r="E171" s="36"/>
      <c r="F171" s="36"/>
      <c r="G171" s="36"/>
      <c r="H171" s="36"/>
      <c r="I171" s="36"/>
      <c r="J171" s="61"/>
      <c r="K171" s="36"/>
      <c r="L171" s="61"/>
      <c r="M171" s="57"/>
      <c r="N171" s="15"/>
      <c r="O171" s="27"/>
      <c r="P171" s="26"/>
      <c r="Q171" s="15"/>
      <c r="R171" s="15"/>
      <c r="S171" s="15"/>
      <c r="T171" s="36"/>
      <c r="U171" s="36"/>
      <c r="V171" s="63"/>
      <c r="W171" s="14"/>
      <c r="X171" s="14"/>
      <c r="Y171" s="14"/>
      <c r="Z171" s="14"/>
    </row>
    <row r="172" spans="1:26" ht="14.25" customHeight="1" x14ac:dyDescent="0.25">
      <c r="A172" s="14"/>
      <c r="B172" s="14"/>
      <c r="C172" s="14"/>
      <c r="D172" s="71"/>
      <c r="E172" s="71"/>
      <c r="F172" s="71"/>
      <c r="G172" s="71"/>
      <c r="H172" s="71"/>
      <c r="I172" s="71"/>
      <c r="J172" s="61"/>
      <c r="K172" s="15"/>
      <c r="L172" s="61"/>
      <c r="M172" s="57"/>
      <c r="N172" s="15"/>
      <c r="O172" s="27"/>
      <c r="P172" s="26"/>
      <c r="Q172" s="15"/>
      <c r="R172" s="15"/>
      <c r="S172" s="15"/>
      <c r="T172" s="71"/>
      <c r="U172" s="71"/>
      <c r="V172" s="17"/>
      <c r="W172" s="14"/>
      <c r="X172" s="14"/>
      <c r="Y172" s="14"/>
      <c r="Z172" s="14"/>
    </row>
    <row r="173" spans="1:26" ht="14.25" customHeight="1" x14ac:dyDescent="0.25">
      <c r="A173" s="14"/>
      <c r="B173" s="14"/>
      <c r="C173" s="14"/>
      <c r="D173" s="15"/>
      <c r="E173" s="17"/>
      <c r="F173" s="17"/>
      <c r="G173" s="17"/>
      <c r="H173" s="17"/>
      <c r="I173" s="15"/>
      <c r="J173" s="27"/>
      <c r="K173" s="15"/>
      <c r="L173" s="61"/>
      <c r="M173" s="57"/>
      <c r="N173" s="15"/>
      <c r="O173" s="27"/>
      <c r="P173" s="26"/>
      <c r="Q173" s="15"/>
      <c r="R173" s="15"/>
      <c r="S173" s="15"/>
      <c r="T173" s="15"/>
      <c r="U173" s="15"/>
      <c r="V173" s="15"/>
      <c r="W173" s="14"/>
      <c r="X173" s="14"/>
      <c r="Y173" s="14"/>
      <c r="Z173" s="14"/>
    </row>
    <row r="174" spans="1:26" ht="14.25" customHeight="1" x14ac:dyDescent="0.25">
      <c r="A174" s="14"/>
      <c r="B174" s="14"/>
      <c r="C174" s="14"/>
      <c r="D174" s="15"/>
      <c r="E174" s="17"/>
      <c r="F174" s="17"/>
      <c r="G174" s="17"/>
      <c r="H174" s="17"/>
      <c r="I174" s="15"/>
      <c r="J174" s="27"/>
      <c r="K174" s="15"/>
      <c r="L174" s="61"/>
      <c r="M174" s="57"/>
      <c r="N174" s="15"/>
      <c r="O174" s="27"/>
      <c r="P174" s="26"/>
      <c r="Q174" s="15"/>
      <c r="R174" s="15"/>
      <c r="S174" s="15"/>
      <c r="T174" s="15"/>
      <c r="U174" s="15"/>
      <c r="V174" s="15"/>
      <c r="W174" s="14"/>
      <c r="X174" s="14"/>
      <c r="Y174" s="14"/>
      <c r="Z174" s="14"/>
    </row>
    <row r="175" spans="1:26" ht="14.25" customHeight="1" x14ac:dyDescent="0.25">
      <c r="A175" s="14"/>
      <c r="B175" s="14"/>
      <c r="C175" s="14"/>
      <c r="D175" s="15"/>
      <c r="E175" s="17"/>
      <c r="F175" s="17"/>
      <c r="G175" s="17"/>
      <c r="H175" s="17"/>
      <c r="I175" s="15"/>
      <c r="J175" s="27"/>
      <c r="K175" s="15"/>
      <c r="L175" s="61"/>
      <c r="M175" s="57"/>
      <c r="N175" s="36"/>
      <c r="O175" s="61"/>
      <c r="P175" s="66"/>
      <c r="Q175" s="15"/>
      <c r="R175" s="15"/>
      <c r="S175" s="15"/>
      <c r="T175" s="15"/>
      <c r="U175" s="15"/>
      <c r="V175" s="15"/>
      <c r="W175" s="14"/>
      <c r="X175" s="14"/>
      <c r="Y175" s="14"/>
      <c r="Z175" s="14"/>
    </row>
    <row r="176" spans="1:26" ht="14.25" customHeight="1" x14ac:dyDescent="0.25">
      <c r="A176" s="14"/>
      <c r="B176" s="14"/>
      <c r="C176" s="14"/>
      <c r="D176" s="36"/>
      <c r="E176" s="36"/>
      <c r="F176" s="36"/>
      <c r="G176" s="36"/>
      <c r="H176" s="36"/>
      <c r="I176" s="36"/>
      <c r="J176" s="61"/>
      <c r="K176" s="14"/>
      <c r="L176" s="61"/>
      <c r="M176" s="57"/>
      <c r="N176" s="36"/>
      <c r="O176" s="61"/>
      <c r="P176" s="66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25" customHeight="1" x14ac:dyDescent="0.25">
      <c r="A177" s="14"/>
      <c r="B177" s="14"/>
      <c r="C177" s="14"/>
      <c r="D177" s="36"/>
      <c r="E177" s="36"/>
      <c r="F177" s="36"/>
      <c r="G177" s="36"/>
      <c r="H177" s="36"/>
      <c r="I177" s="36"/>
      <c r="J177" s="61"/>
      <c r="K177" s="14"/>
      <c r="L177" s="61"/>
      <c r="M177" s="57"/>
      <c r="N177" s="36"/>
      <c r="O177" s="61"/>
      <c r="P177" s="66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25" customHeight="1" x14ac:dyDescent="0.25">
      <c r="A178" s="14"/>
      <c r="B178" s="14"/>
      <c r="C178" s="14"/>
      <c r="D178" s="36"/>
      <c r="E178" s="36"/>
      <c r="F178" s="36"/>
      <c r="G178" s="36"/>
      <c r="H178" s="36"/>
      <c r="I178" s="36"/>
      <c r="J178" s="61"/>
      <c r="K178" s="14"/>
      <c r="L178" s="61"/>
      <c r="M178" s="57"/>
      <c r="N178" s="36"/>
      <c r="O178" s="61"/>
      <c r="P178" s="66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25" customHeight="1" x14ac:dyDescent="0.25">
      <c r="A179" s="14"/>
      <c r="B179" s="14"/>
      <c r="C179" s="14"/>
      <c r="D179" s="36"/>
      <c r="E179" s="36"/>
      <c r="F179" s="36"/>
      <c r="G179" s="36"/>
      <c r="H179" s="36"/>
      <c r="I179" s="36"/>
      <c r="J179" s="61"/>
      <c r="K179" s="14"/>
      <c r="L179" s="61"/>
      <c r="M179" s="57"/>
      <c r="N179" s="36"/>
      <c r="O179" s="61"/>
      <c r="P179" s="66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25" customHeight="1" x14ac:dyDescent="0.25">
      <c r="A180" s="14"/>
      <c r="B180" s="14"/>
      <c r="C180" s="14"/>
      <c r="D180" s="15"/>
      <c r="E180" s="17"/>
      <c r="F180" s="17"/>
      <c r="G180" s="17"/>
      <c r="H180" s="17"/>
      <c r="I180" s="15"/>
      <c r="J180" s="61"/>
      <c r="K180" s="14"/>
      <c r="L180" s="61"/>
      <c r="M180" s="57"/>
      <c r="N180" s="36"/>
      <c r="O180" s="61"/>
      <c r="P180" s="66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25" customHeight="1" x14ac:dyDescent="0.25">
      <c r="A181" s="14"/>
      <c r="B181" s="14"/>
      <c r="C181" s="14"/>
      <c r="D181" s="36"/>
      <c r="E181" s="36"/>
      <c r="F181" s="36"/>
      <c r="G181" s="36"/>
      <c r="H181" s="36"/>
      <c r="I181" s="36"/>
      <c r="J181" s="61"/>
      <c r="K181" s="14"/>
      <c r="L181" s="61"/>
      <c r="M181" s="57"/>
      <c r="N181" s="36"/>
      <c r="O181" s="61"/>
      <c r="P181" s="66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25" customHeight="1" x14ac:dyDescent="0.25">
      <c r="A182" s="14"/>
      <c r="B182" s="14"/>
      <c r="C182" s="14"/>
      <c r="D182" s="36"/>
      <c r="E182" s="36"/>
      <c r="F182" s="36"/>
      <c r="G182" s="36"/>
      <c r="H182" s="36"/>
      <c r="I182" s="36"/>
      <c r="J182" s="61"/>
      <c r="K182" s="14"/>
      <c r="L182" s="61"/>
      <c r="M182" s="57"/>
      <c r="N182" s="36"/>
      <c r="O182" s="61"/>
      <c r="P182" s="66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25" customHeight="1" x14ac:dyDescent="0.25">
      <c r="A183" s="14"/>
      <c r="B183" s="14"/>
      <c r="C183" s="14"/>
      <c r="D183" s="36"/>
      <c r="E183" s="36"/>
      <c r="F183" s="36"/>
      <c r="G183" s="36"/>
      <c r="H183" s="36"/>
      <c r="I183" s="36"/>
      <c r="J183" s="61"/>
      <c r="K183" s="14"/>
      <c r="L183" s="61"/>
      <c r="M183" s="57"/>
      <c r="N183" s="36"/>
      <c r="O183" s="61"/>
      <c r="P183" s="66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25" customHeight="1" x14ac:dyDescent="0.25">
      <c r="A184" s="14"/>
      <c r="B184" s="14"/>
      <c r="C184" s="14"/>
      <c r="D184" s="36"/>
      <c r="E184" s="36"/>
      <c r="F184" s="36"/>
      <c r="G184" s="36"/>
      <c r="H184" s="36"/>
      <c r="I184" s="36"/>
      <c r="J184" s="61"/>
      <c r="K184" s="14"/>
      <c r="L184" s="61"/>
      <c r="M184" s="57"/>
      <c r="N184" s="36"/>
      <c r="O184" s="61"/>
      <c r="P184" s="66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25" customHeight="1" x14ac:dyDescent="0.25">
      <c r="A185" s="14"/>
      <c r="B185" s="14"/>
      <c r="C185" s="14"/>
      <c r="D185" s="36"/>
      <c r="E185" s="36"/>
      <c r="F185" s="36"/>
      <c r="G185" s="36"/>
      <c r="H185" s="36"/>
      <c r="I185" s="36"/>
      <c r="J185" s="61"/>
      <c r="K185" s="14"/>
      <c r="L185" s="61"/>
      <c r="M185" s="57"/>
      <c r="N185" s="36"/>
      <c r="O185" s="61"/>
      <c r="P185" s="66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25" customHeight="1" x14ac:dyDescent="0.25">
      <c r="A186" s="14"/>
      <c r="B186" s="14"/>
      <c r="C186" s="14"/>
      <c r="D186" s="36"/>
      <c r="E186" s="36"/>
      <c r="F186" s="36"/>
      <c r="G186" s="36"/>
      <c r="H186" s="36"/>
      <c r="I186" s="36"/>
      <c r="J186" s="61"/>
      <c r="K186" s="14"/>
      <c r="L186" s="61"/>
      <c r="M186" s="57"/>
      <c r="N186" s="36"/>
      <c r="O186" s="61"/>
      <c r="P186" s="66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25" customHeight="1" x14ac:dyDescent="0.25">
      <c r="A187" s="14"/>
      <c r="B187" s="14"/>
      <c r="C187" s="14"/>
      <c r="D187" s="36"/>
      <c r="E187" s="36"/>
      <c r="F187" s="36"/>
      <c r="G187" s="36"/>
      <c r="H187" s="36"/>
      <c r="I187" s="36"/>
      <c r="J187" s="61"/>
      <c r="K187" s="14"/>
      <c r="L187" s="61"/>
      <c r="M187" s="57"/>
      <c r="N187" s="36"/>
      <c r="O187" s="61"/>
      <c r="P187" s="66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25" customHeight="1" x14ac:dyDescent="0.25">
      <c r="A188" s="14"/>
      <c r="B188" s="14"/>
      <c r="C188" s="14"/>
      <c r="D188" s="36"/>
      <c r="E188" s="36"/>
      <c r="F188" s="36"/>
      <c r="G188" s="36"/>
      <c r="H188" s="36"/>
      <c r="I188" s="36"/>
      <c r="J188" s="61"/>
      <c r="K188" s="14"/>
      <c r="L188" s="61"/>
      <c r="M188" s="57"/>
      <c r="N188" s="36"/>
      <c r="O188" s="61"/>
      <c r="P188" s="66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25" customHeight="1" x14ac:dyDescent="0.25">
      <c r="A189" s="14"/>
      <c r="B189" s="14"/>
      <c r="C189" s="14"/>
      <c r="D189" s="36"/>
      <c r="E189" s="36"/>
      <c r="F189" s="36"/>
      <c r="G189" s="36"/>
      <c r="H189" s="36"/>
      <c r="I189" s="36"/>
      <c r="J189" s="61"/>
      <c r="K189" s="14"/>
      <c r="L189" s="61"/>
      <c r="M189" s="57"/>
      <c r="N189" s="36"/>
      <c r="O189" s="61"/>
      <c r="P189" s="66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25" customHeight="1" x14ac:dyDescent="0.25">
      <c r="A190" s="14"/>
      <c r="B190" s="14"/>
      <c r="C190" s="14"/>
      <c r="D190" s="36"/>
      <c r="E190" s="36"/>
      <c r="F190" s="36"/>
      <c r="G190" s="36"/>
      <c r="H190" s="36"/>
      <c r="I190" s="36"/>
      <c r="J190" s="61"/>
      <c r="K190" s="14"/>
      <c r="L190" s="61"/>
      <c r="M190" s="57"/>
      <c r="N190" s="36"/>
      <c r="O190" s="61"/>
      <c r="P190" s="66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 x14ac:dyDescent="0.25">
      <c r="A191" s="14"/>
      <c r="B191" s="14"/>
      <c r="C191" s="14"/>
      <c r="D191" s="36"/>
      <c r="E191" s="36"/>
      <c r="F191" s="36"/>
      <c r="G191" s="36"/>
      <c r="H191" s="36"/>
      <c r="I191" s="36"/>
      <c r="J191" s="61"/>
      <c r="K191" s="14"/>
      <c r="L191" s="61"/>
      <c r="M191" s="57"/>
      <c r="N191" s="36"/>
      <c r="O191" s="61"/>
      <c r="P191" s="66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 x14ac:dyDescent="0.25">
      <c r="A192" s="14"/>
      <c r="B192" s="14"/>
      <c r="C192" s="14"/>
      <c r="D192" s="36"/>
      <c r="E192" s="36"/>
      <c r="F192" s="36"/>
      <c r="G192" s="36"/>
      <c r="H192" s="36"/>
      <c r="I192" s="36"/>
      <c r="J192" s="61"/>
      <c r="K192" s="14"/>
      <c r="L192" s="61"/>
      <c r="M192" s="57"/>
      <c r="N192" s="36"/>
      <c r="O192" s="61"/>
      <c r="P192" s="66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 x14ac:dyDescent="0.25">
      <c r="A193" s="14"/>
      <c r="B193" s="14"/>
      <c r="C193" s="14"/>
      <c r="D193" s="36"/>
      <c r="E193" s="36"/>
      <c r="F193" s="36"/>
      <c r="G193" s="36"/>
      <c r="H193" s="36"/>
      <c r="I193" s="36"/>
      <c r="J193" s="61"/>
      <c r="K193" s="14"/>
      <c r="L193" s="61"/>
      <c r="M193" s="57"/>
      <c r="N193" s="36"/>
      <c r="O193" s="61"/>
      <c r="P193" s="66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 x14ac:dyDescent="0.25">
      <c r="A194" s="14"/>
      <c r="B194" s="14"/>
      <c r="C194" s="14"/>
      <c r="D194" s="36"/>
      <c r="E194" s="36"/>
      <c r="F194" s="36"/>
      <c r="G194" s="36"/>
      <c r="H194" s="36"/>
      <c r="I194" s="36"/>
      <c r="J194" s="61"/>
      <c r="K194" s="14"/>
      <c r="L194" s="61"/>
      <c r="M194" s="57"/>
      <c r="N194" s="36"/>
      <c r="O194" s="61"/>
      <c r="P194" s="66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25" customHeight="1" x14ac:dyDescent="0.25">
      <c r="A195" s="14"/>
      <c r="B195" s="14"/>
      <c r="C195" s="14"/>
      <c r="D195" s="36"/>
      <c r="E195" s="36"/>
      <c r="F195" s="36"/>
      <c r="G195" s="36"/>
      <c r="H195" s="36"/>
      <c r="I195" s="36"/>
      <c r="J195" s="61"/>
      <c r="K195" s="14"/>
      <c r="L195" s="61"/>
      <c r="M195" s="57"/>
      <c r="N195" s="36"/>
      <c r="O195" s="61"/>
      <c r="P195" s="66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25" customHeight="1" x14ac:dyDescent="0.25">
      <c r="A196" s="14"/>
      <c r="B196" s="14"/>
      <c r="C196" s="14"/>
      <c r="D196" s="63"/>
      <c r="E196" s="63"/>
      <c r="F196" s="63"/>
      <c r="G196" s="63"/>
      <c r="H196" s="63"/>
      <c r="I196" s="63"/>
      <c r="J196" s="78"/>
      <c r="K196" s="14"/>
      <c r="L196" s="78"/>
      <c r="M196" s="57"/>
      <c r="N196" s="63"/>
      <c r="O196" s="78"/>
      <c r="P196" s="30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25" customHeight="1" x14ac:dyDescent="0.25">
      <c r="A197" s="14"/>
      <c r="B197" s="14"/>
      <c r="C197" s="14"/>
      <c r="D197" s="36"/>
      <c r="E197" s="36"/>
      <c r="F197" s="36"/>
      <c r="G197" s="36"/>
      <c r="H197" s="36"/>
      <c r="I197" s="36"/>
      <c r="J197" s="61"/>
      <c r="K197" s="14"/>
      <c r="L197" s="61"/>
      <c r="M197" s="57"/>
      <c r="N197" s="36"/>
      <c r="O197" s="61"/>
      <c r="P197" s="66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25" customHeight="1" x14ac:dyDescent="0.25">
      <c r="A198" s="14"/>
      <c r="B198" s="14"/>
      <c r="C198" s="14"/>
      <c r="D198" s="36"/>
      <c r="E198" s="36"/>
      <c r="F198" s="36"/>
      <c r="G198" s="36"/>
      <c r="H198" s="36"/>
      <c r="I198" s="36"/>
      <c r="J198" s="61"/>
      <c r="K198" s="14"/>
      <c r="L198" s="61"/>
      <c r="M198" s="57"/>
      <c r="N198" s="36"/>
      <c r="O198" s="61"/>
      <c r="P198" s="66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25" customHeight="1" x14ac:dyDescent="0.25">
      <c r="A199" s="14"/>
      <c r="B199" s="14"/>
      <c r="C199" s="14"/>
      <c r="D199" s="36"/>
      <c r="E199" s="36"/>
      <c r="F199" s="36"/>
      <c r="G199" s="36"/>
      <c r="H199" s="36"/>
      <c r="I199" s="36"/>
      <c r="J199" s="61"/>
      <c r="K199" s="14"/>
      <c r="L199" s="61"/>
      <c r="M199" s="57"/>
      <c r="N199" s="36"/>
      <c r="O199" s="61"/>
      <c r="P199" s="66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25" customHeight="1" x14ac:dyDescent="0.25">
      <c r="A200" s="14"/>
      <c r="B200" s="14"/>
      <c r="C200" s="14"/>
      <c r="D200" s="36"/>
      <c r="E200" s="36"/>
      <c r="F200" s="36"/>
      <c r="G200" s="36"/>
      <c r="H200" s="36"/>
      <c r="I200" s="36"/>
      <c r="J200" s="61"/>
      <c r="K200" s="14"/>
      <c r="L200" s="61"/>
      <c r="M200" s="57"/>
      <c r="N200" s="36"/>
      <c r="O200" s="61"/>
      <c r="P200" s="66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25" customHeight="1" x14ac:dyDescent="0.25">
      <c r="A201" s="14"/>
      <c r="B201" s="14"/>
      <c r="C201" s="14"/>
      <c r="D201" s="36"/>
      <c r="E201" s="36"/>
      <c r="F201" s="36"/>
      <c r="G201" s="36"/>
      <c r="H201" s="36"/>
      <c r="I201" s="36"/>
      <c r="J201" s="61"/>
      <c r="K201" s="14"/>
      <c r="L201" s="61"/>
      <c r="M201" s="57"/>
      <c r="N201" s="36"/>
      <c r="O201" s="61"/>
      <c r="P201" s="66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25" customHeight="1" x14ac:dyDescent="0.25">
      <c r="A202" s="14"/>
      <c r="B202" s="14"/>
      <c r="C202" s="14"/>
      <c r="D202" s="36"/>
      <c r="E202" s="36"/>
      <c r="F202" s="36"/>
      <c r="G202" s="36"/>
      <c r="H202" s="36"/>
      <c r="I202" s="36"/>
      <c r="J202" s="61"/>
      <c r="K202" s="14"/>
      <c r="L202" s="61"/>
      <c r="M202" s="57"/>
      <c r="N202" s="36"/>
      <c r="O202" s="61"/>
      <c r="P202" s="66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25" customHeight="1" x14ac:dyDescent="0.25">
      <c r="A203" s="14"/>
      <c r="B203" s="14"/>
      <c r="C203" s="14"/>
      <c r="D203" s="36"/>
      <c r="E203" s="36"/>
      <c r="F203" s="36"/>
      <c r="G203" s="36"/>
      <c r="H203" s="36"/>
      <c r="I203" s="36"/>
      <c r="J203" s="61"/>
      <c r="K203" s="14"/>
      <c r="L203" s="61"/>
      <c r="M203" s="57"/>
      <c r="N203" s="36"/>
      <c r="O203" s="61"/>
      <c r="P203" s="66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25" customHeight="1" x14ac:dyDescent="0.25">
      <c r="A204" s="14"/>
      <c r="B204" s="14"/>
      <c r="C204" s="14"/>
      <c r="D204" s="36"/>
      <c r="E204" s="36"/>
      <c r="F204" s="36"/>
      <c r="G204" s="36"/>
      <c r="H204" s="36"/>
      <c r="I204" s="36"/>
      <c r="J204" s="61"/>
      <c r="K204" s="14"/>
      <c r="L204" s="61"/>
      <c r="M204" s="57"/>
      <c r="N204" s="36"/>
      <c r="O204" s="61"/>
      <c r="P204" s="66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25" customHeight="1" x14ac:dyDescent="0.25">
      <c r="A205" s="14"/>
      <c r="B205" s="14"/>
      <c r="C205" s="14"/>
      <c r="D205" s="36"/>
      <c r="E205" s="36"/>
      <c r="F205" s="36"/>
      <c r="G205" s="36"/>
      <c r="H205" s="36"/>
      <c r="I205" s="36"/>
      <c r="J205" s="61"/>
      <c r="K205" s="14"/>
      <c r="L205" s="61"/>
      <c r="M205" s="57"/>
      <c r="N205" s="36"/>
      <c r="O205" s="61"/>
      <c r="P205" s="66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25" customHeight="1" x14ac:dyDescent="0.25">
      <c r="A206" s="14"/>
      <c r="B206" s="14"/>
      <c r="C206" s="14"/>
      <c r="D206" s="36"/>
      <c r="E206" s="36"/>
      <c r="F206" s="36"/>
      <c r="G206" s="36"/>
      <c r="H206" s="36"/>
      <c r="I206" s="36"/>
      <c r="J206" s="61"/>
      <c r="K206" s="14"/>
      <c r="L206" s="61"/>
      <c r="M206" s="57"/>
      <c r="N206" s="36"/>
      <c r="O206" s="61"/>
      <c r="P206" s="66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25" customHeight="1" x14ac:dyDescent="0.25">
      <c r="A207" s="14"/>
      <c r="B207" s="14"/>
      <c r="C207" s="14"/>
      <c r="D207" s="36"/>
      <c r="E207" s="36"/>
      <c r="F207" s="36"/>
      <c r="G207" s="36"/>
      <c r="H207" s="36"/>
      <c r="I207" s="36"/>
      <c r="J207" s="61"/>
      <c r="K207" s="14"/>
      <c r="L207" s="61"/>
      <c r="M207" s="57"/>
      <c r="N207" s="36"/>
      <c r="O207" s="61"/>
      <c r="P207" s="66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25" customHeight="1" x14ac:dyDescent="0.25">
      <c r="A208" s="14"/>
      <c r="B208" s="14"/>
      <c r="C208" s="14"/>
      <c r="D208" s="36"/>
      <c r="E208" s="36"/>
      <c r="F208" s="36"/>
      <c r="G208" s="36"/>
      <c r="H208" s="36"/>
      <c r="I208" s="36"/>
      <c r="J208" s="61"/>
      <c r="K208" s="14"/>
      <c r="L208" s="61"/>
      <c r="M208" s="57"/>
      <c r="N208" s="36"/>
      <c r="O208" s="61"/>
      <c r="P208" s="66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25" customHeight="1" x14ac:dyDescent="0.25">
      <c r="A209" s="14"/>
      <c r="B209" s="14"/>
      <c r="C209" s="14"/>
      <c r="D209" s="36"/>
      <c r="E209" s="36"/>
      <c r="F209" s="36"/>
      <c r="G209" s="36"/>
      <c r="H209" s="36"/>
      <c r="I209" s="36"/>
      <c r="J209" s="61"/>
      <c r="K209" s="14"/>
      <c r="L209" s="61"/>
      <c r="M209" s="57"/>
      <c r="N209" s="36"/>
      <c r="O209" s="61"/>
      <c r="P209" s="66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25" customHeight="1" x14ac:dyDescent="0.25">
      <c r="A210" s="14"/>
      <c r="B210" s="14"/>
      <c r="C210" s="14"/>
      <c r="D210" s="36"/>
      <c r="E210" s="36"/>
      <c r="F210" s="36"/>
      <c r="G210" s="36"/>
      <c r="H210" s="36"/>
      <c r="I210" s="36"/>
      <c r="J210" s="61"/>
      <c r="K210" s="14"/>
      <c r="L210" s="61"/>
      <c r="M210" s="57"/>
      <c r="N210" s="36"/>
      <c r="O210" s="61"/>
      <c r="P210" s="66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 x14ac:dyDescent="0.25">
      <c r="A211" s="14"/>
      <c r="B211" s="14"/>
      <c r="C211" s="14"/>
      <c r="D211" s="36"/>
      <c r="E211" s="36"/>
      <c r="F211" s="36"/>
      <c r="G211" s="36"/>
      <c r="H211" s="36"/>
      <c r="I211" s="36"/>
      <c r="J211" s="61"/>
      <c r="K211" s="14"/>
      <c r="L211" s="61"/>
      <c r="M211" s="57"/>
      <c r="N211" s="36"/>
      <c r="O211" s="61"/>
      <c r="P211" s="66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 x14ac:dyDescent="0.25">
      <c r="A212" s="14"/>
      <c r="B212" s="14"/>
      <c r="C212" s="14"/>
      <c r="D212" s="36"/>
      <c r="E212" s="36"/>
      <c r="F212" s="36"/>
      <c r="G212" s="36"/>
      <c r="H212" s="36"/>
      <c r="I212" s="36"/>
      <c r="J212" s="61"/>
      <c r="K212" s="14"/>
      <c r="L212" s="61"/>
      <c r="M212" s="57"/>
      <c r="N212" s="36"/>
      <c r="O212" s="61"/>
      <c r="P212" s="66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 x14ac:dyDescent="0.25">
      <c r="A213" s="14"/>
      <c r="B213" s="14"/>
      <c r="C213" s="14"/>
      <c r="D213" s="36"/>
      <c r="E213" s="36"/>
      <c r="F213" s="36"/>
      <c r="G213" s="36"/>
      <c r="H213" s="36"/>
      <c r="I213" s="36"/>
      <c r="J213" s="61"/>
      <c r="K213" s="14"/>
      <c r="L213" s="61"/>
      <c r="M213" s="57"/>
      <c r="N213" s="36"/>
      <c r="O213" s="61"/>
      <c r="P213" s="66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 x14ac:dyDescent="0.25">
      <c r="A214" s="14"/>
      <c r="B214" s="14"/>
      <c r="C214" s="14"/>
      <c r="D214" s="36"/>
      <c r="E214" s="36"/>
      <c r="F214" s="36"/>
      <c r="G214" s="36"/>
      <c r="H214" s="36"/>
      <c r="I214" s="36"/>
      <c r="J214" s="61"/>
      <c r="K214" s="14"/>
      <c r="L214" s="61"/>
      <c r="M214" s="57"/>
      <c r="N214" s="36"/>
      <c r="O214" s="61"/>
      <c r="P214" s="66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 x14ac:dyDescent="0.25">
      <c r="A215" s="14"/>
      <c r="B215" s="14"/>
      <c r="C215" s="14"/>
      <c r="D215" s="36"/>
      <c r="E215" s="36"/>
      <c r="F215" s="36"/>
      <c r="G215" s="36"/>
      <c r="H215" s="36"/>
      <c r="I215" s="36"/>
      <c r="J215" s="61"/>
      <c r="K215" s="14"/>
      <c r="L215" s="61"/>
      <c r="M215" s="57"/>
      <c r="N215" s="36"/>
      <c r="O215" s="61"/>
      <c r="P215" s="66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 x14ac:dyDescent="0.25">
      <c r="A216" s="14"/>
      <c r="B216" s="14"/>
      <c r="C216" s="14"/>
      <c r="D216" s="36"/>
      <c r="E216" s="36"/>
      <c r="F216" s="36"/>
      <c r="G216" s="36"/>
      <c r="H216" s="36"/>
      <c r="I216" s="36"/>
      <c r="J216" s="61"/>
      <c r="K216" s="14"/>
      <c r="L216" s="61"/>
      <c r="M216" s="57"/>
      <c r="N216" s="36"/>
      <c r="O216" s="61"/>
      <c r="P216" s="66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 x14ac:dyDescent="0.25">
      <c r="A217" s="14"/>
      <c r="B217" s="14"/>
      <c r="C217" s="14"/>
      <c r="D217" s="36"/>
      <c r="E217" s="36"/>
      <c r="F217" s="36"/>
      <c r="G217" s="36"/>
      <c r="H217" s="36"/>
      <c r="I217" s="36"/>
      <c r="J217" s="61"/>
      <c r="K217" s="14"/>
      <c r="L217" s="61"/>
      <c r="M217" s="57"/>
      <c r="N217" s="36"/>
      <c r="O217" s="61"/>
      <c r="P217" s="66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 x14ac:dyDescent="0.25">
      <c r="A218" s="14"/>
      <c r="B218" s="14"/>
      <c r="C218" s="14"/>
      <c r="D218" s="36"/>
      <c r="E218" s="36"/>
      <c r="F218" s="36"/>
      <c r="G218" s="36"/>
      <c r="H218" s="36"/>
      <c r="I218" s="36"/>
      <c r="J218" s="61"/>
      <c r="K218" s="14"/>
      <c r="L218" s="61"/>
      <c r="M218" s="57"/>
      <c r="N218" s="36"/>
      <c r="O218" s="61"/>
      <c r="P218" s="66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 x14ac:dyDescent="0.25">
      <c r="A219" s="14"/>
      <c r="B219" s="14"/>
      <c r="C219" s="14"/>
      <c r="D219" s="36"/>
      <c r="E219" s="36"/>
      <c r="F219" s="36"/>
      <c r="G219" s="36"/>
      <c r="H219" s="36"/>
      <c r="I219" s="36"/>
      <c r="J219" s="61"/>
      <c r="K219" s="14"/>
      <c r="L219" s="61"/>
      <c r="M219" s="57"/>
      <c r="N219" s="36"/>
      <c r="O219" s="61"/>
      <c r="P219" s="66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 x14ac:dyDescent="0.25">
      <c r="A220" s="14"/>
      <c r="B220" s="14"/>
      <c r="C220" s="14"/>
      <c r="D220" s="36"/>
      <c r="E220" s="36"/>
      <c r="F220" s="36"/>
      <c r="G220" s="36"/>
      <c r="H220" s="36"/>
      <c r="I220" s="36"/>
      <c r="J220" s="61"/>
      <c r="K220" s="14"/>
      <c r="L220" s="61"/>
      <c r="M220" s="57"/>
      <c r="N220" s="36"/>
      <c r="O220" s="61"/>
      <c r="P220" s="66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 x14ac:dyDescent="0.25">
      <c r="A221" s="14"/>
      <c r="B221" s="14"/>
      <c r="C221" s="14"/>
      <c r="D221" s="63"/>
      <c r="E221" s="63"/>
      <c r="F221" s="63"/>
      <c r="G221" s="63"/>
      <c r="H221" s="63"/>
      <c r="I221" s="63"/>
      <c r="J221" s="78"/>
      <c r="K221" s="14"/>
      <c r="L221" s="61"/>
      <c r="M221" s="57"/>
      <c r="N221" s="36"/>
      <c r="O221" s="61"/>
      <c r="P221" s="66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 x14ac:dyDescent="0.25">
      <c r="A222" s="14"/>
      <c r="B222" s="14"/>
      <c r="C222" s="14"/>
      <c r="D222" s="36"/>
      <c r="E222" s="36"/>
      <c r="F222" s="36"/>
      <c r="G222" s="36"/>
      <c r="H222" s="36"/>
      <c r="I222" s="36"/>
      <c r="J222" s="61"/>
      <c r="K222" s="57"/>
      <c r="L222" s="61"/>
      <c r="M222" s="57"/>
      <c r="N222" s="36"/>
      <c r="O222" s="61"/>
      <c r="P222" s="66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 x14ac:dyDescent="0.25">
      <c r="A223" s="14"/>
      <c r="B223" s="14"/>
      <c r="C223" s="14"/>
      <c r="D223" s="36"/>
      <c r="E223" s="36"/>
      <c r="F223" s="36"/>
      <c r="G223" s="36"/>
      <c r="H223" s="36"/>
      <c r="I223" s="36"/>
      <c r="J223" s="61"/>
      <c r="K223" s="57"/>
      <c r="L223" s="61"/>
      <c r="M223" s="57"/>
      <c r="N223" s="36"/>
      <c r="O223" s="61"/>
      <c r="P223" s="66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 x14ac:dyDescent="0.25">
      <c r="A224" s="14"/>
      <c r="B224" s="14"/>
      <c r="C224" s="14"/>
      <c r="D224" s="36"/>
      <c r="E224" s="36"/>
      <c r="F224" s="36"/>
      <c r="G224" s="36"/>
      <c r="H224" s="36"/>
      <c r="I224" s="36"/>
      <c r="J224" s="61"/>
      <c r="K224" s="57"/>
      <c r="L224" s="61"/>
      <c r="M224" s="57"/>
      <c r="N224" s="36"/>
      <c r="O224" s="61"/>
      <c r="P224" s="66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 x14ac:dyDescent="0.25">
      <c r="A225" s="14"/>
      <c r="B225" s="14"/>
      <c r="C225" s="14"/>
      <c r="D225" s="36"/>
      <c r="E225" s="36"/>
      <c r="F225" s="36"/>
      <c r="G225" s="36"/>
      <c r="H225" s="36"/>
      <c r="I225" s="36"/>
      <c r="J225" s="61"/>
      <c r="K225" s="57"/>
      <c r="L225" s="61"/>
      <c r="M225" s="57"/>
      <c r="N225" s="36"/>
      <c r="O225" s="61"/>
      <c r="P225" s="66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 x14ac:dyDescent="0.25">
      <c r="A226" s="14"/>
      <c r="B226" s="14"/>
      <c r="C226" s="14"/>
      <c r="D226" s="36"/>
      <c r="E226" s="36"/>
      <c r="F226" s="17"/>
      <c r="G226" s="17"/>
      <c r="H226" s="17"/>
      <c r="I226" s="36"/>
      <c r="J226" s="61"/>
      <c r="K226" s="57"/>
      <c r="L226" s="61"/>
      <c r="M226" s="57"/>
      <c r="N226" s="36"/>
      <c r="O226" s="61"/>
      <c r="P226" s="66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 x14ac:dyDescent="0.25">
      <c r="A227" s="14"/>
      <c r="B227" s="14"/>
      <c r="C227" s="14"/>
      <c r="D227" s="36"/>
      <c r="E227" s="36"/>
      <c r="F227" s="36"/>
      <c r="G227" s="36"/>
      <c r="H227" s="36"/>
      <c r="I227" s="36"/>
      <c r="J227" s="61"/>
      <c r="K227" s="57"/>
      <c r="L227" s="61"/>
      <c r="M227" s="57"/>
      <c r="N227" s="36"/>
      <c r="O227" s="61"/>
      <c r="P227" s="66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 x14ac:dyDescent="0.25">
      <c r="A228" s="14"/>
      <c r="B228" s="14"/>
      <c r="C228" s="14"/>
      <c r="D228" s="36"/>
      <c r="E228" s="36"/>
      <c r="F228" s="36"/>
      <c r="G228" s="36"/>
      <c r="H228" s="36"/>
      <c r="I228" s="36"/>
      <c r="J228" s="61"/>
      <c r="K228" s="36"/>
      <c r="L228" s="61"/>
      <c r="M228" s="57"/>
      <c r="N228" s="36"/>
      <c r="O228" s="61"/>
      <c r="P228" s="66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 x14ac:dyDescent="0.25">
      <c r="A229" s="14"/>
      <c r="B229" s="14"/>
      <c r="C229" s="14"/>
      <c r="D229" s="36"/>
      <c r="E229" s="36"/>
      <c r="F229" s="36"/>
      <c r="G229" s="36"/>
      <c r="H229" s="36"/>
      <c r="I229" s="111"/>
      <c r="J229" s="61"/>
      <c r="K229" s="15"/>
      <c r="L229" s="61"/>
      <c r="M229" s="57"/>
      <c r="N229" s="36"/>
      <c r="O229" s="61"/>
      <c r="P229" s="66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 x14ac:dyDescent="0.25">
      <c r="A230" s="14"/>
      <c r="B230" s="14"/>
      <c r="C230" s="14"/>
      <c r="D230" s="36"/>
      <c r="E230" s="36"/>
      <c r="F230" s="36"/>
      <c r="G230" s="36"/>
      <c r="H230" s="36"/>
      <c r="I230" s="111"/>
      <c r="J230" s="61"/>
      <c r="K230" s="15"/>
      <c r="L230" s="61"/>
      <c r="M230" s="57"/>
      <c r="N230" s="36"/>
      <c r="O230" s="61"/>
      <c r="P230" s="66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 x14ac:dyDescent="0.25">
      <c r="A231" s="14"/>
      <c r="B231" s="14"/>
      <c r="C231" s="14"/>
      <c r="D231" s="36"/>
      <c r="E231" s="36"/>
      <c r="F231" s="36"/>
      <c r="G231" s="36"/>
      <c r="H231" s="36"/>
      <c r="I231" s="111"/>
      <c r="J231" s="61"/>
      <c r="K231" s="15"/>
      <c r="L231" s="61"/>
      <c r="M231" s="57"/>
      <c r="N231" s="36"/>
      <c r="O231" s="61"/>
      <c r="P231" s="66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 x14ac:dyDescent="0.25">
      <c r="A232" s="14"/>
      <c r="B232" s="14"/>
      <c r="C232" s="14"/>
      <c r="D232" s="36"/>
      <c r="E232" s="36"/>
      <c r="F232" s="36"/>
      <c r="G232" s="36"/>
      <c r="H232" s="36"/>
      <c r="I232" s="36"/>
      <c r="J232" s="61"/>
      <c r="K232" s="15"/>
      <c r="L232" s="61"/>
      <c r="M232" s="57"/>
      <c r="N232" s="36"/>
      <c r="O232" s="61"/>
      <c r="P232" s="66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 x14ac:dyDescent="0.25">
      <c r="A233" s="14"/>
      <c r="B233" s="14"/>
      <c r="C233" s="14"/>
      <c r="D233" s="36"/>
      <c r="E233" s="36"/>
      <c r="F233" s="36"/>
      <c r="G233" s="36"/>
      <c r="H233" s="36"/>
      <c r="I233" s="36"/>
      <c r="J233" s="61"/>
      <c r="K233" s="57"/>
      <c r="L233" s="61"/>
      <c r="M233" s="57"/>
      <c r="N233" s="36"/>
      <c r="O233" s="61"/>
      <c r="P233" s="66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 x14ac:dyDescent="0.25">
      <c r="A234" s="14"/>
      <c r="B234" s="14"/>
      <c r="C234" s="14"/>
      <c r="D234" s="36"/>
      <c r="E234" s="36"/>
      <c r="F234" s="36"/>
      <c r="G234" s="36"/>
      <c r="H234" s="36"/>
      <c r="I234" s="36"/>
      <c r="J234" s="61"/>
      <c r="K234" s="57"/>
      <c r="L234" s="61"/>
      <c r="M234" s="57"/>
      <c r="N234" s="36"/>
      <c r="O234" s="61"/>
      <c r="P234" s="66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 x14ac:dyDescent="0.25">
      <c r="A235" s="14"/>
      <c r="B235" s="14"/>
      <c r="C235" s="14"/>
      <c r="D235" s="36"/>
      <c r="E235" s="36"/>
      <c r="F235" s="36"/>
      <c r="G235" s="36"/>
      <c r="H235" s="36"/>
      <c r="I235" s="36"/>
      <c r="J235" s="61"/>
      <c r="K235" s="57"/>
      <c r="L235" s="61"/>
      <c r="M235" s="57"/>
      <c r="N235" s="36"/>
      <c r="O235" s="61"/>
      <c r="P235" s="66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 x14ac:dyDescent="0.25">
      <c r="A236" s="14"/>
      <c r="B236" s="14"/>
      <c r="C236" s="14"/>
      <c r="D236" s="36"/>
      <c r="E236" s="36"/>
      <c r="F236" s="36"/>
      <c r="G236" s="36"/>
      <c r="H236" s="36"/>
      <c r="I236" s="36"/>
      <c r="J236" s="61"/>
      <c r="K236" s="57"/>
      <c r="L236" s="61"/>
      <c r="M236" s="57"/>
      <c r="N236" s="36"/>
      <c r="O236" s="61"/>
      <c r="P236" s="66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 x14ac:dyDescent="0.25">
      <c r="A237" s="14"/>
      <c r="B237" s="14"/>
      <c r="C237" s="14"/>
      <c r="D237" s="36"/>
      <c r="E237" s="36"/>
      <c r="F237" s="36"/>
      <c r="G237" s="36"/>
      <c r="H237" s="36"/>
      <c r="I237" s="36"/>
      <c r="J237" s="61"/>
      <c r="K237" s="57"/>
      <c r="L237" s="61"/>
      <c r="M237" s="57"/>
      <c r="N237" s="36"/>
      <c r="O237" s="61"/>
      <c r="P237" s="66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 x14ac:dyDescent="0.25">
      <c r="A238" s="14"/>
      <c r="B238" s="14"/>
      <c r="C238" s="14"/>
      <c r="D238" s="36"/>
      <c r="E238" s="36"/>
      <c r="F238" s="36"/>
      <c r="G238" s="36"/>
      <c r="H238" s="36"/>
      <c r="I238" s="36"/>
      <c r="J238" s="61"/>
      <c r="K238" s="57"/>
      <c r="L238" s="61"/>
      <c r="M238" s="57"/>
      <c r="N238" s="36"/>
      <c r="O238" s="61"/>
      <c r="P238" s="66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 x14ac:dyDescent="0.25">
      <c r="A239" s="14"/>
      <c r="B239" s="14"/>
      <c r="C239" s="14"/>
      <c r="D239" s="36"/>
      <c r="E239" s="36"/>
      <c r="F239" s="36"/>
      <c r="G239" s="36"/>
      <c r="H239" s="36"/>
      <c r="I239" s="36"/>
      <c r="J239" s="61"/>
      <c r="K239" s="57"/>
      <c r="L239" s="61"/>
      <c r="M239" s="57"/>
      <c r="N239" s="36"/>
      <c r="O239" s="61"/>
      <c r="P239" s="66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 x14ac:dyDescent="0.25">
      <c r="A240" s="14"/>
      <c r="B240" s="14"/>
      <c r="C240" s="14"/>
      <c r="D240" s="36"/>
      <c r="E240" s="36"/>
      <c r="F240" s="36"/>
      <c r="G240" s="36"/>
      <c r="H240" s="36"/>
      <c r="I240" s="36"/>
      <c r="J240" s="61"/>
      <c r="K240" s="57"/>
      <c r="L240" s="61"/>
      <c r="M240" s="57"/>
      <c r="N240" s="36"/>
      <c r="O240" s="61"/>
      <c r="P240" s="66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 x14ac:dyDescent="0.25">
      <c r="A241" s="14"/>
      <c r="B241" s="14"/>
      <c r="C241" s="14"/>
      <c r="D241" s="36"/>
      <c r="E241" s="36"/>
      <c r="F241" s="36"/>
      <c r="G241" s="36"/>
      <c r="H241" s="36"/>
      <c r="I241" s="36"/>
      <c r="J241" s="61"/>
      <c r="K241" s="57"/>
      <c r="L241" s="61"/>
      <c r="M241" s="57"/>
      <c r="N241" s="36"/>
      <c r="O241" s="61"/>
      <c r="P241" s="66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 x14ac:dyDescent="0.25">
      <c r="A242" s="14"/>
      <c r="B242" s="14"/>
      <c r="C242" s="14"/>
      <c r="D242" s="71"/>
      <c r="E242" s="71"/>
      <c r="F242" s="71"/>
      <c r="G242" s="71"/>
      <c r="H242" s="71"/>
      <c r="I242" s="71"/>
      <c r="J242" s="61"/>
      <c r="K242" s="57"/>
      <c r="L242" s="61"/>
      <c r="M242" s="57"/>
      <c r="N242" s="71"/>
      <c r="O242" s="61"/>
      <c r="P242" s="66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 x14ac:dyDescent="0.25">
      <c r="A243" s="14"/>
      <c r="B243" s="14"/>
      <c r="C243" s="14"/>
      <c r="D243" s="36"/>
      <c r="E243" s="36"/>
      <c r="F243" s="36"/>
      <c r="G243" s="36"/>
      <c r="H243" s="36"/>
      <c r="I243" s="36"/>
      <c r="J243" s="61"/>
      <c r="K243" s="57"/>
      <c r="L243" s="61"/>
      <c r="M243" s="57"/>
      <c r="N243" s="36"/>
      <c r="O243" s="61"/>
      <c r="P243" s="66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 x14ac:dyDescent="0.25">
      <c r="A244" s="14"/>
      <c r="B244" s="14"/>
      <c r="C244" s="14"/>
      <c r="D244" s="36"/>
      <c r="E244" s="36"/>
      <c r="F244" s="36"/>
      <c r="G244" s="36"/>
      <c r="H244" s="36"/>
      <c r="I244" s="36"/>
      <c r="J244" s="61"/>
      <c r="K244" s="57"/>
      <c r="L244" s="61"/>
      <c r="M244" s="57"/>
      <c r="N244" s="36"/>
      <c r="O244" s="61"/>
      <c r="P244" s="66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 x14ac:dyDescent="0.25">
      <c r="A245" s="14"/>
      <c r="B245" s="14"/>
      <c r="C245" s="14"/>
      <c r="D245" s="36"/>
      <c r="E245" s="36"/>
      <c r="F245" s="36"/>
      <c r="G245" s="36"/>
      <c r="H245" s="36"/>
      <c r="I245" s="36"/>
      <c r="J245" s="61"/>
      <c r="K245" s="57"/>
      <c r="L245" s="61"/>
      <c r="M245" s="57"/>
      <c r="N245" s="36"/>
      <c r="O245" s="61"/>
      <c r="P245" s="66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 x14ac:dyDescent="0.25">
      <c r="A246" s="14"/>
      <c r="B246" s="14"/>
      <c r="C246" s="14"/>
      <c r="D246" s="36"/>
      <c r="E246" s="36"/>
      <c r="F246" s="36"/>
      <c r="G246" s="36"/>
      <c r="H246" s="36"/>
      <c r="I246" s="36"/>
      <c r="J246" s="61"/>
      <c r="K246" s="124"/>
      <c r="L246" s="61"/>
      <c r="M246" s="57"/>
      <c r="N246" s="36"/>
      <c r="O246" s="61"/>
      <c r="P246" s="66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 x14ac:dyDescent="0.25">
      <c r="A247" s="14"/>
      <c r="B247" s="14"/>
      <c r="C247" s="14"/>
      <c r="D247" s="36"/>
      <c r="E247" s="36"/>
      <c r="F247" s="36"/>
      <c r="G247" s="36"/>
      <c r="H247" s="36"/>
      <c r="I247" s="36"/>
      <c r="J247" s="61"/>
      <c r="K247" s="124"/>
      <c r="L247" s="61"/>
      <c r="M247" s="57"/>
      <c r="N247" s="36"/>
      <c r="O247" s="61"/>
      <c r="P247" s="66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 x14ac:dyDescent="0.25">
      <c r="A248" s="14"/>
      <c r="B248" s="14"/>
      <c r="C248" s="14"/>
      <c r="D248" s="36"/>
      <c r="E248" s="36"/>
      <c r="F248" s="36"/>
      <c r="G248" s="36"/>
      <c r="H248" s="36"/>
      <c r="I248" s="36"/>
      <c r="J248" s="61"/>
      <c r="K248" s="124"/>
      <c r="L248" s="61"/>
      <c r="M248" s="57"/>
      <c r="N248" s="36"/>
      <c r="O248" s="61"/>
      <c r="P248" s="66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 x14ac:dyDescent="0.25">
      <c r="A249" s="14"/>
      <c r="B249" s="14"/>
      <c r="C249" s="14"/>
      <c r="D249" s="36"/>
      <c r="E249" s="36"/>
      <c r="F249" s="36"/>
      <c r="G249" s="36"/>
      <c r="H249" s="36"/>
      <c r="I249" s="36"/>
      <c r="J249" s="61"/>
      <c r="K249" s="57"/>
      <c r="L249" s="61"/>
      <c r="M249" s="57"/>
      <c r="N249" s="36"/>
      <c r="O249" s="61"/>
      <c r="P249" s="66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 x14ac:dyDescent="0.25">
      <c r="A250" s="14"/>
      <c r="B250" s="14"/>
      <c r="C250" s="14"/>
      <c r="D250" s="36"/>
      <c r="E250" s="36"/>
      <c r="F250" s="36"/>
      <c r="G250" s="36"/>
      <c r="H250" s="36"/>
      <c r="I250" s="36"/>
      <c r="J250" s="61"/>
      <c r="K250" s="57"/>
      <c r="L250" s="61"/>
      <c r="M250" s="57"/>
      <c r="N250" s="36"/>
      <c r="O250" s="61"/>
      <c r="P250" s="66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 x14ac:dyDescent="0.25">
      <c r="A251" s="14"/>
      <c r="B251" s="14"/>
      <c r="C251" s="14"/>
      <c r="D251" s="14"/>
      <c r="E251" s="25"/>
      <c r="F251" s="25"/>
      <c r="G251" s="14"/>
      <c r="H251" s="14"/>
      <c r="I251" s="14"/>
      <c r="J251" s="7"/>
      <c r="K251" s="14"/>
      <c r="L251" s="7"/>
      <c r="M251" s="14"/>
      <c r="N251" s="14"/>
      <c r="O251" s="7"/>
      <c r="P251" s="13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 x14ac:dyDescent="0.25">
      <c r="A252" s="14"/>
      <c r="B252" s="14"/>
      <c r="C252" s="14"/>
      <c r="D252" s="14"/>
      <c r="E252" s="25"/>
      <c r="F252" s="25"/>
      <c r="G252" s="14"/>
      <c r="H252" s="14"/>
      <c r="I252" s="14"/>
      <c r="J252" s="7"/>
      <c r="K252" s="14"/>
      <c r="L252" s="7"/>
      <c r="M252" s="14"/>
      <c r="N252" s="14"/>
      <c r="O252" s="7"/>
      <c r="P252" s="13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 x14ac:dyDescent="0.25">
      <c r="A253" s="14"/>
      <c r="B253" s="14"/>
      <c r="C253" s="14"/>
      <c r="D253" s="14"/>
      <c r="E253" s="25"/>
      <c r="F253" s="25"/>
      <c r="G253" s="14"/>
      <c r="H253" s="14"/>
      <c r="I253" s="14"/>
      <c r="J253" s="7"/>
      <c r="K253" s="14"/>
      <c r="L253" s="7"/>
      <c r="M253" s="14"/>
      <c r="N253" s="14"/>
      <c r="O253" s="7"/>
      <c r="P253" s="13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 x14ac:dyDescent="0.25">
      <c r="A254" s="14"/>
      <c r="B254" s="14"/>
      <c r="C254" s="14"/>
      <c r="D254" s="14"/>
      <c r="E254" s="25"/>
      <c r="F254" s="25"/>
      <c r="G254" s="14"/>
      <c r="H254" s="14"/>
      <c r="I254" s="14"/>
      <c r="J254" s="7"/>
      <c r="K254" s="14"/>
      <c r="L254" s="7"/>
      <c r="M254" s="14"/>
      <c r="N254" s="14"/>
      <c r="O254" s="7"/>
      <c r="P254" s="13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 x14ac:dyDescent="0.25">
      <c r="A255" s="14"/>
      <c r="B255" s="14"/>
      <c r="C255" s="14"/>
      <c r="D255" s="14"/>
      <c r="E255" s="25"/>
      <c r="F255" s="25"/>
      <c r="G255" s="14"/>
      <c r="H255" s="14"/>
      <c r="I255" s="14"/>
      <c r="J255" s="7"/>
      <c r="K255" s="14"/>
      <c r="L255" s="7"/>
      <c r="M255" s="14"/>
      <c r="N255" s="14"/>
      <c r="O255" s="7"/>
      <c r="P255" s="13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 x14ac:dyDescent="0.25">
      <c r="A256" s="14"/>
      <c r="B256" s="14"/>
      <c r="C256" s="14"/>
      <c r="D256" s="14"/>
      <c r="E256" s="25"/>
      <c r="F256" s="25"/>
      <c r="G256" s="14"/>
      <c r="H256" s="14"/>
      <c r="I256" s="14"/>
      <c r="J256" s="7"/>
      <c r="K256" s="14"/>
      <c r="L256" s="7"/>
      <c r="M256" s="14"/>
      <c r="N256" s="14"/>
      <c r="O256" s="7"/>
      <c r="P256" s="13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 x14ac:dyDescent="0.25">
      <c r="A257" s="14"/>
      <c r="B257" s="14"/>
      <c r="C257" s="14"/>
      <c r="D257" s="14"/>
      <c r="E257" s="25"/>
      <c r="F257" s="25"/>
      <c r="G257" s="14"/>
      <c r="H257" s="14"/>
      <c r="I257" s="14"/>
      <c r="J257" s="7"/>
      <c r="K257" s="14"/>
      <c r="L257" s="7"/>
      <c r="M257" s="14"/>
      <c r="N257" s="14"/>
      <c r="O257" s="7"/>
      <c r="P257" s="13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 x14ac:dyDescent="0.25">
      <c r="A258" s="14"/>
      <c r="B258" s="14"/>
      <c r="C258" s="14"/>
      <c r="D258" s="14"/>
      <c r="E258" s="25"/>
      <c r="F258" s="25"/>
      <c r="G258" s="14"/>
      <c r="H258" s="14"/>
      <c r="I258" s="14"/>
      <c r="J258" s="7"/>
      <c r="K258" s="14"/>
      <c r="L258" s="7"/>
      <c r="M258" s="14"/>
      <c r="N258" s="14"/>
      <c r="O258" s="7"/>
      <c r="P258" s="13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 x14ac:dyDescent="0.25">
      <c r="A259" s="14"/>
      <c r="B259" s="14"/>
      <c r="C259" s="14"/>
      <c r="D259" s="14"/>
      <c r="E259" s="25"/>
      <c r="F259" s="25"/>
      <c r="G259" s="14"/>
      <c r="H259" s="14"/>
      <c r="I259" s="14"/>
      <c r="J259" s="7"/>
      <c r="K259" s="14"/>
      <c r="L259" s="7"/>
      <c r="M259" s="14"/>
      <c r="N259" s="14"/>
      <c r="O259" s="7"/>
      <c r="P259" s="13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 x14ac:dyDescent="0.25">
      <c r="A260" s="14"/>
      <c r="B260" s="14"/>
      <c r="C260" s="14"/>
      <c r="D260" s="14"/>
      <c r="E260" s="25"/>
      <c r="F260" s="25"/>
      <c r="G260" s="14"/>
      <c r="H260" s="14"/>
      <c r="I260" s="14"/>
      <c r="J260" s="7"/>
      <c r="K260" s="14"/>
      <c r="L260" s="7"/>
      <c r="M260" s="14"/>
      <c r="N260" s="14"/>
      <c r="O260" s="7"/>
      <c r="P260" s="13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 x14ac:dyDescent="0.25">
      <c r="A261" s="14"/>
      <c r="B261" s="14"/>
      <c r="C261" s="14"/>
      <c r="D261" s="14"/>
      <c r="E261" s="25"/>
      <c r="F261" s="25"/>
      <c r="G261" s="14"/>
      <c r="H261" s="14"/>
      <c r="I261" s="14"/>
      <c r="J261" s="7"/>
      <c r="K261" s="14"/>
      <c r="L261" s="7"/>
      <c r="M261" s="14"/>
      <c r="N261" s="14"/>
      <c r="O261" s="7"/>
      <c r="P261" s="13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 x14ac:dyDescent="0.25">
      <c r="A262" s="14"/>
      <c r="B262" s="14"/>
      <c r="C262" s="14"/>
      <c r="D262" s="14"/>
      <c r="E262" s="25"/>
      <c r="F262" s="25"/>
      <c r="G262" s="14"/>
      <c r="H262" s="14"/>
      <c r="I262" s="14"/>
      <c r="J262" s="7"/>
      <c r="K262" s="14"/>
      <c r="L262" s="7"/>
      <c r="M262" s="14"/>
      <c r="N262" s="14"/>
      <c r="O262" s="7"/>
      <c r="P262" s="13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 x14ac:dyDescent="0.25">
      <c r="A263" s="14"/>
      <c r="B263" s="14"/>
      <c r="C263" s="14"/>
      <c r="D263" s="14"/>
      <c r="E263" s="25"/>
      <c r="F263" s="25"/>
      <c r="G263" s="14"/>
      <c r="H263" s="14"/>
      <c r="I263" s="14"/>
      <c r="J263" s="7"/>
      <c r="K263" s="14"/>
      <c r="L263" s="7"/>
      <c r="M263" s="14"/>
      <c r="N263" s="14"/>
      <c r="O263" s="7"/>
      <c r="P263" s="13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 x14ac:dyDescent="0.25">
      <c r="A264" s="14"/>
      <c r="B264" s="14"/>
      <c r="C264" s="14"/>
      <c r="D264" s="14"/>
      <c r="E264" s="25"/>
      <c r="F264" s="25"/>
      <c r="G264" s="14"/>
      <c r="H264" s="14"/>
      <c r="I264" s="14"/>
      <c r="J264" s="7"/>
      <c r="K264" s="14"/>
      <c r="L264" s="7"/>
      <c r="M264" s="14"/>
      <c r="N264" s="14"/>
      <c r="O264" s="7"/>
      <c r="P264" s="13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 x14ac:dyDescent="0.25">
      <c r="A265" s="14"/>
      <c r="B265" s="14"/>
      <c r="C265" s="14"/>
      <c r="D265" s="14"/>
      <c r="E265" s="25"/>
      <c r="F265" s="25"/>
      <c r="G265" s="14"/>
      <c r="H265" s="14"/>
      <c r="I265" s="14"/>
      <c r="J265" s="7"/>
      <c r="K265" s="14"/>
      <c r="L265" s="7"/>
      <c r="M265" s="14"/>
      <c r="N265" s="14"/>
      <c r="O265" s="7"/>
      <c r="P265" s="13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 x14ac:dyDescent="0.25">
      <c r="A266" s="14"/>
      <c r="B266" s="14"/>
      <c r="C266" s="14"/>
      <c r="D266" s="14"/>
      <c r="E266" s="25"/>
      <c r="F266" s="25"/>
      <c r="G266" s="14"/>
      <c r="H266" s="14"/>
      <c r="I266" s="14"/>
      <c r="J266" s="7"/>
      <c r="K266" s="14"/>
      <c r="L266" s="7"/>
      <c r="M266" s="14"/>
      <c r="N266" s="14"/>
      <c r="O266" s="7"/>
      <c r="P266" s="13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 x14ac:dyDescent="0.25">
      <c r="A267" s="14"/>
      <c r="B267" s="14"/>
      <c r="C267" s="14"/>
      <c r="D267" s="14"/>
      <c r="E267" s="25"/>
      <c r="F267" s="25"/>
      <c r="G267" s="14"/>
      <c r="H267" s="14"/>
      <c r="I267" s="14"/>
      <c r="J267" s="7"/>
      <c r="K267" s="14"/>
      <c r="L267" s="7"/>
      <c r="M267" s="14"/>
      <c r="N267" s="14"/>
      <c r="O267" s="7"/>
      <c r="P267" s="13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 x14ac:dyDescent="0.25">
      <c r="A268" s="14"/>
      <c r="B268" s="14"/>
      <c r="C268" s="14"/>
      <c r="D268" s="14"/>
      <c r="E268" s="25"/>
      <c r="F268" s="25"/>
      <c r="G268" s="14"/>
      <c r="H268" s="14"/>
      <c r="I268" s="14"/>
      <c r="J268" s="7"/>
      <c r="K268" s="14"/>
      <c r="L268" s="7"/>
      <c r="M268" s="14"/>
      <c r="N268" s="14"/>
      <c r="O268" s="7"/>
      <c r="P268" s="13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 x14ac:dyDescent="0.25">
      <c r="A269" s="14"/>
      <c r="B269" s="14"/>
      <c r="C269" s="14"/>
      <c r="D269" s="14"/>
      <c r="E269" s="25"/>
      <c r="F269" s="25"/>
      <c r="G269" s="14"/>
      <c r="H269" s="14"/>
      <c r="I269" s="14"/>
      <c r="J269" s="7"/>
      <c r="K269" s="14"/>
      <c r="L269" s="7"/>
      <c r="M269" s="14"/>
      <c r="N269" s="14"/>
      <c r="O269" s="7"/>
      <c r="P269" s="13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 x14ac:dyDescent="0.25">
      <c r="A270" s="14"/>
      <c r="B270" s="14"/>
      <c r="C270" s="14"/>
      <c r="D270" s="14"/>
      <c r="E270" s="25"/>
      <c r="F270" s="25"/>
      <c r="G270" s="14"/>
      <c r="H270" s="14"/>
      <c r="I270" s="14"/>
      <c r="J270" s="7"/>
      <c r="K270" s="14"/>
      <c r="L270" s="7"/>
      <c r="M270" s="14"/>
      <c r="N270" s="14"/>
      <c r="O270" s="7"/>
      <c r="P270" s="13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 x14ac:dyDescent="0.25">
      <c r="A271" s="14"/>
      <c r="B271" s="14"/>
      <c r="C271" s="14"/>
      <c r="D271" s="14"/>
      <c r="E271" s="25"/>
      <c r="F271" s="25"/>
      <c r="G271" s="14"/>
      <c r="H271" s="14"/>
      <c r="I271" s="14"/>
      <c r="J271" s="7"/>
      <c r="K271" s="14"/>
      <c r="L271" s="7"/>
      <c r="M271" s="14"/>
      <c r="N271" s="14"/>
      <c r="O271" s="7"/>
      <c r="P271" s="13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 x14ac:dyDescent="0.25">
      <c r="A272" s="14"/>
      <c r="B272" s="14"/>
      <c r="C272" s="14"/>
      <c r="D272" s="14"/>
      <c r="E272" s="25"/>
      <c r="F272" s="25"/>
      <c r="G272" s="14"/>
      <c r="H272" s="14"/>
      <c r="I272" s="14"/>
      <c r="J272" s="7"/>
      <c r="K272" s="14"/>
      <c r="L272" s="7"/>
      <c r="M272" s="14"/>
      <c r="N272" s="14"/>
      <c r="O272" s="7"/>
      <c r="P272" s="13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 x14ac:dyDescent="0.25">
      <c r="A273" s="14"/>
      <c r="B273" s="14"/>
      <c r="C273" s="14"/>
      <c r="D273" s="14"/>
      <c r="E273" s="25"/>
      <c r="F273" s="25"/>
      <c r="G273" s="14"/>
      <c r="H273" s="14"/>
      <c r="I273" s="14"/>
      <c r="J273" s="7"/>
      <c r="K273" s="14"/>
      <c r="L273" s="7"/>
      <c r="M273" s="14"/>
      <c r="N273" s="14"/>
      <c r="O273" s="7"/>
      <c r="P273" s="13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 x14ac:dyDescent="0.25">
      <c r="A274" s="14"/>
      <c r="B274" s="14"/>
      <c r="C274" s="14"/>
      <c r="D274" s="14"/>
      <c r="E274" s="25"/>
      <c r="F274" s="25"/>
      <c r="G274" s="14"/>
      <c r="H274" s="14"/>
      <c r="I274" s="14"/>
      <c r="J274" s="7"/>
      <c r="K274" s="14"/>
      <c r="L274" s="7"/>
      <c r="M274" s="14"/>
      <c r="N274" s="14"/>
      <c r="O274" s="7"/>
      <c r="P274" s="13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 x14ac:dyDescent="0.25">
      <c r="A275" s="14"/>
      <c r="B275" s="14"/>
      <c r="C275" s="14"/>
      <c r="D275" s="14"/>
      <c r="E275" s="25"/>
      <c r="F275" s="25"/>
      <c r="G275" s="14"/>
      <c r="H275" s="14"/>
      <c r="I275" s="14"/>
      <c r="J275" s="7"/>
      <c r="K275" s="14"/>
      <c r="L275" s="7"/>
      <c r="M275" s="14"/>
      <c r="N275" s="14"/>
      <c r="O275" s="7"/>
      <c r="P275" s="13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 x14ac:dyDescent="0.25">
      <c r="A276" s="14"/>
      <c r="B276" s="14"/>
      <c r="C276" s="14"/>
      <c r="D276" s="14"/>
      <c r="E276" s="25"/>
      <c r="F276" s="25"/>
      <c r="G276" s="14"/>
      <c r="H276" s="14"/>
      <c r="I276" s="14"/>
      <c r="J276" s="7"/>
      <c r="K276" s="14"/>
      <c r="L276" s="7"/>
      <c r="M276" s="14"/>
      <c r="N276" s="14"/>
      <c r="O276" s="7"/>
      <c r="P276" s="13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 x14ac:dyDescent="0.25">
      <c r="A277" s="14"/>
      <c r="B277" s="14"/>
      <c r="C277" s="14"/>
      <c r="D277" s="14"/>
      <c r="E277" s="25"/>
      <c r="F277" s="25"/>
      <c r="G277" s="14"/>
      <c r="H277" s="14"/>
      <c r="I277" s="14"/>
      <c r="J277" s="7"/>
      <c r="K277" s="14"/>
      <c r="L277" s="7"/>
      <c r="M277" s="14"/>
      <c r="N277" s="14"/>
      <c r="O277" s="7"/>
      <c r="P277" s="13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 x14ac:dyDescent="0.25">
      <c r="A278" s="14"/>
      <c r="B278" s="14"/>
      <c r="C278" s="14"/>
      <c r="D278" s="14"/>
      <c r="E278" s="25"/>
      <c r="F278" s="25"/>
      <c r="G278" s="14"/>
      <c r="H278" s="14"/>
      <c r="I278" s="14"/>
      <c r="J278" s="7"/>
      <c r="K278" s="14"/>
      <c r="L278" s="7"/>
      <c r="M278" s="14"/>
      <c r="N278" s="14"/>
      <c r="O278" s="7"/>
      <c r="P278" s="13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 x14ac:dyDescent="0.25">
      <c r="A279" s="14"/>
      <c r="B279" s="14"/>
      <c r="C279" s="14"/>
      <c r="D279" s="14"/>
      <c r="E279" s="25"/>
      <c r="F279" s="25"/>
      <c r="G279" s="14"/>
      <c r="H279" s="14"/>
      <c r="I279" s="14"/>
      <c r="J279" s="7"/>
      <c r="K279" s="14"/>
      <c r="L279" s="7"/>
      <c r="M279" s="14"/>
      <c r="N279" s="14"/>
      <c r="O279" s="7"/>
      <c r="P279" s="13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 x14ac:dyDescent="0.25">
      <c r="A280" s="14"/>
      <c r="B280" s="14"/>
      <c r="C280" s="14"/>
      <c r="D280" s="14"/>
      <c r="E280" s="25"/>
      <c r="F280" s="25"/>
      <c r="G280" s="14"/>
      <c r="H280" s="14"/>
      <c r="I280" s="14"/>
      <c r="J280" s="7"/>
      <c r="K280" s="14"/>
      <c r="L280" s="7"/>
      <c r="M280" s="14"/>
      <c r="N280" s="14"/>
      <c r="O280" s="7"/>
      <c r="P280" s="13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 x14ac:dyDescent="0.25">
      <c r="A281" s="14"/>
      <c r="B281" s="14"/>
      <c r="C281" s="14"/>
      <c r="D281" s="14"/>
      <c r="E281" s="25"/>
      <c r="F281" s="25"/>
      <c r="G281" s="14"/>
      <c r="H281" s="14"/>
      <c r="I281" s="14"/>
      <c r="J281" s="7"/>
      <c r="K281" s="14"/>
      <c r="L281" s="7"/>
      <c r="M281" s="14"/>
      <c r="N281" s="14"/>
      <c r="O281" s="7"/>
      <c r="P281" s="13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 x14ac:dyDescent="0.25">
      <c r="A282" s="14"/>
      <c r="B282" s="14"/>
      <c r="C282" s="14"/>
      <c r="D282" s="14"/>
      <c r="E282" s="25"/>
      <c r="F282" s="25"/>
      <c r="G282" s="14"/>
      <c r="H282" s="14"/>
      <c r="I282" s="14"/>
      <c r="J282" s="7"/>
      <c r="K282" s="14"/>
      <c r="L282" s="7"/>
      <c r="M282" s="14"/>
      <c r="N282" s="14"/>
      <c r="O282" s="7"/>
      <c r="P282" s="13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 x14ac:dyDescent="0.25">
      <c r="A283" s="14"/>
      <c r="B283" s="14"/>
      <c r="C283" s="14"/>
      <c r="D283" s="14"/>
      <c r="E283" s="25"/>
      <c r="F283" s="25"/>
      <c r="G283" s="14"/>
      <c r="H283" s="14"/>
      <c r="I283" s="14"/>
      <c r="J283" s="7"/>
      <c r="K283" s="14"/>
      <c r="L283" s="7"/>
      <c r="M283" s="14"/>
      <c r="N283" s="14"/>
      <c r="O283" s="7"/>
      <c r="P283" s="13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 x14ac:dyDescent="0.25">
      <c r="A284" s="14"/>
      <c r="B284" s="14"/>
      <c r="C284" s="14"/>
      <c r="D284" s="14"/>
      <c r="E284" s="25"/>
      <c r="F284" s="25"/>
      <c r="G284" s="14"/>
      <c r="H284" s="14"/>
      <c r="I284" s="14"/>
      <c r="J284" s="7"/>
      <c r="K284" s="14"/>
      <c r="L284" s="7"/>
      <c r="M284" s="14"/>
      <c r="N284" s="14"/>
      <c r="O284" s="7"/>
      <c r="P284" s="13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 x14ac:dyDescent="0.25">
      <c r="A285" s="14"/>
      <c r="B285" s="14"/>
      <c r="C285" s="14"/>
      <c r="D285" s="14"/>
      <c r="E285" s="25"/>
      <c r="F285" s="25"/>
      <c r="G285" s="14"/>
      <c r="H285" s="14"/>
      <c r="I285" s="14"/>
      <c r="J285" s="7"/>
      <c r="K285" s="14"/>
      <c r="L285" s="7"/>
      <c r="M285" s="14"/>
      <c r="N285" s="14"/>
      <c r="O285" s="7"/>
      <c r="P285" s="13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 x14ac:dyDescent="0.25">
      <c r="A286" s="14"/>
      <c r="B286" s="14"/>
      <c r="C286" s="14"/>
      <c r="D286" s="14"/>
      <c r="E286" s="25"/>
      <c r="F286" s="25"/>
      <c r="G286" s="14"/>
      <c r="H286" s="14"/>
      <c r="I286" s="14"/>
      <c r="J286" s="7"/>
      <c r="K286" s="14"/>
      <c r="L286" s="7"/>
      <c r="M286" s="14"/>
      <c r="N286" s="14"/>
      <c r="O286" s="7"/>
      <c r="P286" s="13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 x14ac:dyDescent="0.25">
      <c r="A287" s="14"/>
      <c r="B287" s="14"/>
      <c r="C287" s="14"/>
      <c r="D287" s="14"/>
      <c r="E287" s="25"/>
      <c r="F287" s="25"/>
      <c r="G287" s="14"/>
      <c r="H287" s="14"/>
      <c r="I287" s="14"/>
      <c r="J287" s="7"/>
      <c r="K287" s="14"/>
      <c r="L287" s="7"/>
      <c r="M287" s="14"/>
      <c r="N287" s="14"/>
      <c r="O287" s="7"/>
      <c r="P287" s="13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 x14ac:dyDescent="0.25">
      <c r="A288" s="14"/>
      <c r="B288" s="14"/>
      <c r="C288" s="14"/>
      <c r="D288" s="14"/>
      <c r="E288" s="25"/>
      <c r="F288" s="25"/>
      <c r="G288" s="14"/>
      <c r="H288" s="14"/>
      <c r="I288" s="14"/>
      <c r="J288" s="7"/>
      <c r="K288" s="14"/>
      <c r="L288" s="7"/>
      <c r="M288" s="14"/>
      <c r="N288" s="14"/>
      <c r="O288" s="7"/>
      <c r="P288" s="13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 x14ac:dyDescent="0.25">
      <c r="A289" s="14"/>
      <c r="B289" s="14"/>
      <c r="C289" s="14"/>
      <c r="D289" s="14"/>
      <c r="E289" s="25"/>
      <c r="F289" s="25"/>
      <c r="G289" s="14"/>
      <c r="H289" s="14"/>
      <c r="I289" s="14"/>
      <c r="J289" s="7"/>
      <c r="K289" s="14"/>
      <c r="L289" s="7"/>
      <c r="M289" s="14"/>
      <c r="N289" s="14"/>
      <c r="O289" s="7"/>
      <c r="P289" s="13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 x14ac:dyDescent="0.25">
      <c r="A290" s="14"/>
      <c r="B290" s="14"/>
      <c r="C290" s="14"/>
      <c r="D290" s="14"/>
      <c r="E290" s="25"/>
      <c r="F290" s="25"/>
      <c r="G290" s="14"/>
      <c r="H290" s="14"/>
      <c r="I290" s="14"/>
      <c r="J290" s="7"/>
      <c r="K290" s="14"/>
      <c r="L290" s="7"/>
      <c r="M290" s="14"/>
      <c r="N290" s="14"/>
      <c r="O290" s="7"/>
      <c r="P290" s="13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 x14ac:dyDescent="0.25">
      <c r="A291" s="14"/>
      <c r="B291" s="14"/>
      <c r="C291" s="14"/>
      <c r="D291" s="14"/>
      <c r="E291" s="25"/>
      <c r="F291" s="25"/>
      <c r="G291" s="14"/>
      <c r="H291" s="14"/>
      <c r="I291" s="14"/>
      <c r="J291" s="7"/>
      <c r="K291" s="14"/>
      <c r="L291" s="7"/>
      <c r="M291" s="14"/>
      <c r="N291" s="14"/>
      <c r="O291" s="7"/>
      <c r="P291" s="13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 x14ac:dyDescent="0.25">
      <c r="A292" s="14"/>
      <c r="B292" s="14"/>
      <c r="C292" s="14"/>
      <c r="D292" s="14"/>
      <c r="E292" s="25"/>
      <c r="F292" s="25"/>
      <c r="G292" s="14"/>
      <c r="H292" s="14"/>
      <c r="I292" s="14"/>
      <c r="J292" s="7"/>
      <c r="K292" s="14"/>
      <c r="L292" s="7"/>
      <c r="M292" s="14"/>
      <c r="N292" s="14"/>
      <c r="O292" s="7"/>
      <c r="P292" s="13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 x14ac:dyDescent="0.25">
      <c r="A293" s="14"/>
      <c r="B293" s="14"/>
      <c r="C293" s="14"/>
      <c r="D293" s="14"/>
      <c r="E293" s="25"/>
      <c r="F293" s="25"/>
      <c r="G293" s="14"/>
      <c r="H293" s="14"/>
      <c r="I293" s="14"/>
      <c r="J293" s="7"/>
      <c r="K293" s="14"/>
      <c r="L293" s="7"/>
      <c r="M293" s="14"/>
      <c r="N293" s="14"/>
      <c r="O293" s="7"/>
      <c r="P293" s="13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 x14ac:dyDescent="0.25">
      <c r="A294" s="14"/>
      <c r="B294" s="14"/>
      <c r="C294" s="14"/>
      <c r="D294" s="14"/>
      <c r="E294" s="25"/>
      <c r="F294" s="25"/>
      <c r="G294" s="14"/>
      <c r="H294" s="14"/>
      <c r="I294" s="14"/>
      <c r="J294" s="7"/>
      <c r="K294" s="14"/>
      <c r="L294" s="7"/>
      <c r="M294" s="14"/>
      <c r="N294" s="14"/>
      <c r="O294" s="7"/>
      <c r="P294" s="13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 x14ac:dyDescent="0.25">
      <c r="A295" s="14"/>
      <c r="B295" s="14"/>
      <c r="C295" s="14"/>
      <c r="D295" s="14"/>
      <c r="E295" s="25"/>
      <c r="F295" s="25"/>
      <c r="G295" s="14"/>
      <c r="H295" s="14"/>
      <c r="I295" s="14"/>
      <c r="J295" s="7"/>
      <c r="K295" s="14"/>
      <c r="L295" s="7"/>
      <c r="M295" s="14"/>
      <c r="N295" s="14"/>
      <c r="O295" s="7"/>
      <c r="P295" s="13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 x14ac:dyDescent="0.25">
      <c r="A296" s="14"/>
      <c r="B296" s="14"/>
      <c r="C296" s="14"/>
      <c r="D296" s="14"/>
      <c r="E296" s="25"/>
      <c r="F296" s="25"/>
      <c r="G296" s="14"/>
      <c r="H296" s="14"/>
      <c r="I296" s="14"/>
      <c r="J296" s="7"/>
      <c r="K296" s="14"/>
      <c r="L296" s="7"/>
      <c r="M296" s="14"/>
      <c r="N296" s="14"/>
      <c r="O296" s="7"/>
      <c r="P296" s="13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 x14ac:dyDescent="0.25">
      <c r="A297" s="14"/>
      <c r="B297" s="14"/>
      <c r="C297" s="14"/>
      <c r="D297" s="14"/>
      <c r="E297" s="25"/>
      <c r="F297" s="25"/>
      <c r="G297" s="14"/>
      <c r="H297" s="14"/>
      <c r="I297" s="14"/>
      <c r="J297" s="7"/>
      <c r="K297" s="14"/>
      <c r="L297" s="7"/>
      <c r="M297" s="14"/>
      <c r="N297" s="14"/>
      <c r="O297" s="7"/>
      <c r="P297" s="13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 x14ac:dyDescent="0.25">
      <c r="A298" s="14"/>
      <c r="B298" s="14"/>
      <c r="C298" s="14"/>
      <c r="D298" s="14"/>
      <c r="E298" s="25"/>
      <c r="F298" s="25"/>
      <c r="G298" s="14"/>
      <c r="H298" s="14"/>
      <c r="I298" s="14"/>
      <c r="J298" s="7"/>
      <c r="K298" s="14"/>
      <c r="L298" s="7"/>
      <c r="M298" s="14"/>
      <c r="N298" s="14"/>
      <c r="O298" s="7"/>
      <c r="P298" s="13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 x14ac:dyDescent="0.25">
      <c r="A299" s="14"/>
      <c r="B299" s="14"/>
      <c r="C299" s="14"/>
      <c r="D299" s="14"/>
      <c r="E299" s="25"/>
      <c r="F299" s="25"/>
      <c r="G299" s="14"/>
      <c r="H299" s="14"/>
      <c r="I299" s="14"/>
      <c r="J299" s="7"/>
      <c r="K299" s="14"/>
      <c r="L299" s="7"/>
      <c r="M299" s="14"/>
      <c r="N299" s="14"/>
      <c r="O299" s="7"/>
      <c r="P299" s="13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 x14ac:dyDescent="0.25">
      <c r="A300" s="14"/>
      <c r="B300" s="14"/>
      <c r="C300" s="14"/>
      <c r="D300" s="14"/>
      <c r="E300" s="25"/>
      <c r="F300" s="25"/>
      <c r="G300" s="14"/>
      <c r="H300" s="14"/>
      <c r="I300" s="14"/>
      <c r="J300" s="7"/>
      <c r="K300" s="14"/>
      <c r="L300" s="7"/>
      <c r="M300" s="14"/>
      <c r="N300" s="14"/>
      <c r="O300" s="7"/>
      <c r="P300" s="13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 x14ac:dyDescent="0.25">
      <c r="A301" s="14"/>
      <c r="B301" s="14"/>
      <c r="C301" s="14"/>
      <c r="D301" s="14"/>
      <c r="E301" s="25"/>
      <c r="F301" s="25"/>
      <c r="G301" s="14"/>
      <c r="H301" s="14"/>
      <c r="I301" s="14"/>
      <c r="J301" s="7"/>
      <c r="K301" s="14"/>
      <c r="L301" s="7"/>
      <c r="M301" s="14"/>
      <c r="N301" s="14"/>
      <c r="O301" s="7"/>
      <c r="P301" s="13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 x14ac:dyDescent="0.25">
      <c r="A302" s="14"/>
      <c r="B302" s="14"/>
      <c r="C302" s="14"/>
      <c r="D302" s="14"/>
      <c r="E302" s="25"/>
      <c r="F302" s="25"/>
      <c r="G302" s="14"/>
      <c r="H302" s="14"/>
      <c r="I302" s="14"/>
      <c r="J302" s="7"/>
      <c r="K302" s="14"/>
      <c r="L302" s="7"/>
      <c r="M302" s="14"/>
      <c r="N302" s="14"/>
      <c r="O302" s="7"/>
      <c r="P302" s="13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 x14ac:dyDescent="0.25">
      <c r="A303" s="14"/>
      <c r="B303" s="14"/>
      <c r="C303" s="14"/>
      <c r="D303" s="14"/>
      <c r="E303" s="25"/>
      <c r="F303" s="25"/>
      <c r="G303" s="14"/>
      <c r="H303" s="14"/>
      <c r="I303" s="14"/>
      <c r="J303" s="7"/>
      <c r="K303" s="14"/>
      <c r="L303" s="7"/>
      <c r="M303" s="14"/>
      <c r="N303" s="14"/>
      <c r="O303" s="7"/>
      <c r="P303" s="13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 x14ac:dyDescent="0.25">
      <c r="A304" s="14"/>
      <c r="B304" s="14"/>
      <c r="C304" s="14"/>
      <c r="D304" s="14"/>
      <c r="E304" s="25"/>
      <c r="F304" s="25"/>
      <c r="G304" s="14"/>
      <c r="H304" s="14"/>
      <c r="I304" s="14"/>
      <c r="J304" s="7"/>
      <c r="K304" s="14"/>
      <c r="L304" s="7"/>
      <c r="M304" s="14"/>
      <c r="N304" s="14"/>
      <c r="O304" s="7"/>
      <c r="P304" s="13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 x14ac:dyDescent="0.25">
      <c r="A305" s="14"/>
      <c r="B305" s="14"/>
      <c r="C305" s="14"/>
      <c r="D305" s="14"/>
      <c r="E305" s="25"/>
      <c r="F305" s="25"/>
      <c r="G305" s="14"/>
      <c r="H305" s="14"/>
      <c r="I305" s="14"/>
      <c r="J305" s="7"/>
      <c r="K305" s="14"/>
      <c r="L305" s="7"/>
      <c r="M305" s="14"/>
      <c r="N305" s="14"/>
      <c r="O305" s="7"/>
      <c r="P305" s="13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 x14ac:dyDescent="0.25">
      <c r="A306" s="14"/>
      <c r="B306" s="14"/>
      <c r="C306" s="14"/>
      <c r="D306" s="14"/>
      <c r="E306" s="25"/>
      <c r="F306" s="25"/>
      <c r="G306" s="14"/>
      <c r="H306" s="14"/>
      <c r="I306" s="14"/>
      <c r="J306" s="7"/>
      <c r="K306" s="14"/>
      <c r="L306" s="7"/>
      <c r="M306" s="14"/>
      <c r="N306" s="14"/>
      <c r="O306" s="7"/>
      <c r="P306" s="13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 x14ac:dyDescent="0.25">
      <c r="A307" s="14"/>
      <c r="B307" s="14"/>
      <c r="C307" s="14"/>
      <c r="D307" s="14"/>
      <c r="E307" s="25"/>
      <c r="F307" s="25"/>
      <c r="G307" s="14"/>
      <c r="H307" s="14"/>
      <c r="I307" s="14"/>
      <c r="J307" s="7"/>
      <c r="K307" s="14"/>
      <c r="L307" s="7"/>
      <c r="M307" s="14"/>
      <c r="N307" s="14"/>
      <c r="O307" s="7"/>
      <c r="P307" s="13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 x14ac:dyDescent="0.25">
      <c r="A308" s="14"/>
      <c r="B308" s="14"/>
      <c r="C308" s="14"/>
      <c r="D308" s="14"/>
      <c r="E308" s="25"/>
      <c r="F308" s="25"/>
      <c r="G308" s="14"/>
      <c r="H308" s="14"/>
      <c r="I308" s="14"/>
      <c r="J308" s="7"/>
      <c r="K308" s="14"/>
      <c r="L308" s="7"/>
      <c r="M308" s="14"/>
      <c r="N308" s="14"/>
      <c r="O308" s="7"/>
      <c r="P308" s="13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 x14ac:dyDescent="0.25">
      <c r="A309" s="14"/>
      <c r="B309" s="14"/>
      <c r="C309" s="14"/>
      <c r="D309" s="14"/>
      <c r="E309" s="25"/>
      <c r="F309" s="25"/>
      <c r="G309" s="14"/>
      <c r="H309" s="14"/>
      <c r="I309" s="14"/>
      <c r="J309" s="7"/>
      <c r="K309" s="14"/>
      <c r="L309" s="7"/>
      <c r="M309" s="14"/>
      <c r="N309" s="14"/>
      <c r="O309" s="7"/>
      <c r="P309" s="13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 x14ac:dyDescent="0.25">
      <c r="A310" s="14"/>
      <c r="B310" s="14"/>
      <c r="C310" s="14"/>
      <c r="D310" s="14"/>
      <c r="E310" s="25"/>
      <c r="F310" s="25"/>
      <c r="G310" s="14"/>
      <c r="H310" s="14"/>
      <c r="I310" s="14"/>
      <c r="J310" s="7"/>
      <c r="K310" s="14"/>
      <c r="L310" s="7"/>
      <c r="M310" s="14"/>
      <c r="N310" s="14"/>
      <c r="O310" s="7"/>
      <c r="P310" s="13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 x14ac:dyDescent="0.25">
      <c r="A311" s="14"/>
      <c r="B311" s="14"/>
      <c r="C311" s="14"/>
      <c r="D311" s="14"/>
      <c r="E311" s="25"/>
      <c r="F311" s="25"/>
      <c r="G311" s="14"/>
      <c r="H311" s="14"/>
      <c r="I311" s="14"/>
      <c r="J311" s="7"/>
      <c r="K311" s="14"/>
      <c r="L311" s="7"/>
      <c r="M311" s="14"/>
      <c r="N311" s="14"/>
      <c r="O311" s="7"/>
      <c r="P311" s="13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 x14ac:dyDescent="0.25">
      <c r="A312" s="14"/>
      <c r="B312" s="14"/>
      <c r="C312" s="14"/>
      <c r="D312" s="14"/>
      <c r="E312" s="25"/>
      <c r="F312" s="25"/>
      <c r="G312" s="14"/>
      <c r="H312" s="14"/>
      <c r="I312" s="14"/>
      <c r="J312" s="7"/>
      <c r="K312" s="14"/>
      <c r="L312" s="7"/>
      <c r="M312" s="14"/>
      <c r="N312" s="14"/>
      <c r="O312" s="7"/>
      <c r="P312" s="13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 x14ac:dyDescent="0.25">
      <c r="A313" s="14"/>
      <c r="B313" s="14"/>
      <c r="C313" s="14"/>
      <c r="D313" s="14"/>
      <c r="E313" s="25"/>
      <c r="F313" s="25"/>
      <c r="G313" s="14"/>
      <c r="H313" s="14"/>
      <c r="I313" s="14"/>
      <c r="J313" s="7"/>
      <c r="K313" s="14"/>
      <c r="L313" s="7"/>
      <c r="M313" s="14"/>
      <c r="N313" s="14"/>
      <c r="O313" s="7"/>
      <c r="P313" s="13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 x14ac:dyDescent="0.25">
      <c r="A314" s="14"/>
      <c r="B314" s="14"/>
      <c r="C314" s="14"/>
      <c r="D314" s="14"/>
      <c r="E314" s="25"/>
      <c r="F314" s="25"/>
      <c r="G314" s="14"/>
      <c r="H314" s="14"/>
      <c r="I314" s="14"/>
      <c r="J314" s="7"/>
      <c r="K314" s="14"/>
      <c r="L314" s="7"/>
      <c r="M314" s="14"/>
      <c r="N314" s="14"/>
      <c r="O314" s="7"/>
      <c r="P314" s="13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 x14ac:dyDescent="0.25">
      <c r="A315" s="14"/>
      <c r="B315" s="14"/>
      <c r="C315" s="14"/>
      <c r="D315" s="14"/>
      <c r="E315" s="25"/>
      <c r="F315" s="25"/>
      <c r="G315" s="14"/>
      <c r="H315" s="14"/>
      <c r="I315" s="14"/>
      <c r="J315" s="7"/>
      <c r="K315" s="14"/>
      <c r="L315" s="7"/>
      <c r="M315" s="14"/>
      <c r="N315" s="14"/>
      <c r="O315" s="7"/>
      <c r="P315" s="13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 x14ac:dyDescent="0.25">
      <c r="A316" s="14"/>
      <c r="B316" s="14"/>
      <c r="C316" s="14"/>
      <c r="D316" s="14"/>
      <c r="E316" s="25"/>
      <c r="F316" s="25"/>
      <c r="G316" s="14"/>
      <c r="H316" s="14"/>
      <c r="I316" s="14"/>
      <c r="J316" s="7"/>
      <c r="K316" s="14"/>
      <c r="L316" s="7"/>
      <c r="M316" s="14"/>
      <c r="N316" s="14"/>
      <c r="O316" s="7"/>
      <c r="P316" s="13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 x14ac:dyDescent="0.25">
      <c r="A317" s="14"/>
      <c r="B317" s="14"/>
      <c r="C317" s="14"/>
      <c r="D317" s="14"/>
      <c r="E317" s="25"/>
      <c r="F317" s="25"/>
      <c r="G317" s="14"/>
      <c r="H317" s="14"/>
      <c r="I317" s="14"/>
      <c r="J317" s="7"/>
      <c r="K317" s="14"/>
      <c r="L317" s="7"/>
      <c r="M317" s="14"/>
      <c r="N317" s="14"/>
      <c r="O317" s="7"/>
      <c r="P317" s="13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 x14ac:dyDescent="0.25">
      <c r="A318" s="14"/>
      <c r="B318" s="14"/>
      <c r="C318" s="14"/>
      <c r="D318" s="14"/>
      <c r="E318" s="25"/>
      <c r="F318" s="25"/>
      <c r="G318" s="14"/>
      <c r="H318" s="14"/>
      <c r="I318" s="14"/>
      <c r="J318" s="7"/>
      <c r="K318" s="14"/>
      <c r="L318" s="7"/>
      <c r="M318" s="14"/>
      <c r="N318" s="14"/>
      <c r="O318" s="7"/>
      <c r="P318" s="13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 x14ac:dyDescent="0.25">
      <c r="A319" s="14"/>
      <c r="B319" s="14"/>
      <c r="C319" s="14"/>
      <c r="D319" s="14"/>
      <c r="E319" s="25"/>
      <c r="F319" s="25"/>
      <c r="G319" s="14"/>
      <c r="H319" s="14"/>
      <c r="I319" s="14"/>
      <c r="J319" s="7"/>
      <c r="K319" s="14"/>
      <c r="L319" s="7"/>
      <c r="M319" s="14"/>
      <c r="N319" s="14"/>
      <c r="O319" s="7"/>
      <c r="P319" s="13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 x14ac:dyDescent="0.25">
      <c r="A320" s="14"/>
      <c r="B320" s="14"/>
      <c r="C320" s="14"/>
      <c r="D320" s="14"/>
      <c r="E320" s="25"/>
      <c r="F320" s="25"/>
      <c r="G320" s="14"/>
      <c r="H320" s="14"/>
      <c r="I320" s="14"/>
      <c r="J320" s="7"/>
      <c r="K320" s="14"/>
      <c r="L320" s="7"/>
      <c r="M320" s="14"/>
      <c r="N320" s="14"/>
      <c r="O320" s="7"/>
      <c r="P320" s="13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 x14ac:dyDescent="0.25">
      <c r="A321" s="14"/>
      <c r="B321" s="14"/>
      <c r="C321" s="14"/>
      <c r="D321" s="14"/>
      <c r="E321" s="25"/>
      <c r="F321" s="25"/>
      <c r="G321" s="14"/>
      <c r="H321" s="14"/>
      <c r="I321" s="14"/>
      <c r="J321" s="7"/>
      <c r="K321" s="14"/>
      <c r="L321" s="7"/>
      <c r="M321" s="14"/>
      <c r="N321" s="14"/>
      <c r="O321" s="7"/>
      <c r="P321" s="13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 x14ac:dyDescent="0.25">
      <c r="A322" s="14"/>
      <c r="B322" s="14"/>
      <c r="C322" s="14"/>
      <c r="D322" s="14"/>
      <c r="E322" s="25"/>
      <c r="F322" s="25"/>
      <c r="G322" s="14"/>
      <c r="H322" s="14"/>
      <c r="I322" s="14"/>
      <c r="J322" s="7"/>
      <c r="K322" s="14"/>
      <c r="L322" s="7"/>
      <c r="M322" s="14"/>
      <c r="N322" s="14"/>
      <c r="O322" s="7"/>
      <c r="P322" s="13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 x14ac:dyDescent="0.25">
      <c r="A323" s="14"/>
      <c r="B323" s="14"/>
      <c r="C323" s="14"/>
      <c r="D323" s="14"/>
      <c r="E323" s="25"/>
      <c r="F323" s="25"/>
      <c r="G323" s="14"/>
      <c r="H323" s="14"/>
      <c r="I323" s="14"/>
      <c r="J323" s="7"/>
      <c r="K323" s="14"/>
      <c r="L323" s="7"/>
      <c r="M323" s="14"/>
      <c r="N323" s="14"/>
      <c r="O323" s="7"/>
      <c r="P323" s="13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 x14ac:dyDescent="0.25">
      <c r="A324" s="14"/>
      <c r="B324" s="14"/>
      <c r="C324" s="14"/>
      <c r="D324" s="14"/>
      <c r="E324" s="25"/>
      <c r="F324" s="25"/>
      <c r="G324" s="14"/>
      <c r="H324" s="14"/>
      <c r="I324" s="14"/>
      <c r="J324" s="7"/>
      <c r="K324" s="14"/>
      <c r="L324" s="7"/>
      <c r="M324" s="14"/>
      <c r="N324" s="14"/>
      <c r="O324" s="7"/>
      <c r="P324" s="13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 x14ac:dyDescent="0.25">
      <c r="A325" s="14"/>
      <c r="B325" s="14"/>
      <c r="C325" s="14"/>
      <c r="D325" s="14"/>
      <c r="E325" s="25"/>
      <c r="F325" s="25"/>
      <c r="G325" s="14"/>
      <c r="H325" s="14"/>
      <c r="I325" s="14"/>
      <c r="J325" s="7"/>
      <c r="K325" s="14"/>
      <c r="L325" s="7"/>
      <c r="M325" s="14"/>
      <c r="N325" s="14"/>
      <c r="O325" s="7"/>
      <c r="P325" s="13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 x14ac:dyDescent="0.25">
      <c r="A326" s="14"/>
      <c r="B326" s="14"/>
      <c r="C326" s="14"/>
      <c r="D326" s="14"/>
      <c r="E326" s="25"/>
      <c r="F326" s="25"/>
      <c r="G326" s="14"/>
      <c r="H326" s="14"/>
      <c r="I326" s="14"/>
      <c r="J326" s="7"/>
      <c r="K326" s="14"/>
      <c r="L326" s="7"/>
      <c r="M326" s="14"/>
      <c r="N326" s="14"/>
      <c r="O326" s="7"/>
      <c r="P326" s="13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 x14ac:dyDescent="0.25">
      <c r="A327" s="14"/>
      <c r="B327" s="14"/>
      <c r="C327" s="14"/>
      <c r="D327" s="14"/>
      <c r="E327" s="25"/>
      <c r="F327" s="25"/>
      <c r="G327" s="14"/>
      <c r="H327" s="14"/>
      <c r="I327" s="14"/>
      <c r="J327" s="7"/>
      <c r="K327" s="14"/>
      <c r="L327" s="7"/>
      <c r="M327" s="14"/>
      <c r="N327" s="14"/>
      <c r="O327" s="7"/>
      <c r="P327" s="13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 x14ac:dyDescent="0.25">
      <c r="A328" s="14"/>
      <c r="B328" s="14"/>
      <c r="C328" s="14"/>
      <c r="D328" s="14"/>
      <c r="E328" s="25"/>
      <c r="F328" s="25"/>
      <c r="G328" s="14"/>
      <c r="H328" s="14"/>
      <c r="I328" s="14"/>
      <c r="J328" s="7"/>
      <c r="K328" s="14"/>
      <c r="L328" s="7"/>
      <c r="M328" s="14"/>
      <c r="N328" s="14"/>
      <c r="O328" s="7"/>
      <c r="P328" s="13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 x14ac:dyDescent="0.25">
      <c r="A329" s="14"/>
      <c r="B329" s="14"/>
      <c r="C329" s="14"/>
      <c r="D329" s="14"/>
      <c r="E329" s="25"/>
      <c r="F329" s="25"/>
      <c r="G329" s="14"/>
      <c r="H329" s="14"/>
      <c r="I329" s="14"/>
      <c r="J329" s="7"/>
      <c r="K329" s="14"/>
      <c r="L329" s="7"/>
      <c r="M329" s="14"/>
      <c r="N329" s="14"/>
      <c r="O329" s="7"/>
      <c r="P329" s="13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 x14ac:dyDescent="0.25">
      <c r="A330" s="14"/>
      <c r="B330" s="14"/>
      <c r="C330" s="14"/>
      <c r="D330" s="14"/>
      <c r="E330" s="25"/>
      <c r="F330" s="25"/>
      <c r="G330" s="14"/>
      <c r="H330" s="14"/>
      <c r="I330" s="14"/>
      <c r="J330" s="7"/>
      <c r="K330" s="14"/>
      <c r="L330" s="7"/>
      <c r="M330" s="14"/>
      <c r="N330" s="14"/>
      <c r="O330" s="7"/>
      <c r="P330" s="13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 x14ac:dyDescent="0.25">
      <c r="A331" s="14"/>
      <c r="B331" s="14"/>
      <c r="C331" s="14"/>
      <c r="D331" s="14"/>
      <c r="E331" s="25"/>
      <c r="F331" s="25"/>
      <c r="G331" s="14"/>
      <c r="H331" s="14"/>
      <c r="I331" s="14"/>
      <c r="J331" s="7"/>
      <c r="K331" s="14"/>
      <c r="L331" s="7"/>
      <c r="M331" s="14"/>
      <c r="N331" s="14"/>
      <c r="O331" s="7"/>
      <c r="P331" s="13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 x14ac:dyDescent="0.25">
      <c r="A332" s="14"/>
      <c r="B332" s="14"/>
      <c r="C332" s="14"/>
      <c r="D332" s="14"/>
      <c r="E332" s="25"/>
      <c r="F332" s="25"/>
      <c r="G332" s="14"/>
      <c r="H332" s="14"/>
      <c r="I332" s="14"/>
      <c r="J332" s="7"/>
      <c r="K332" s="14"/>
      <c r="L332" s="7"/>
      <c r="M332" s="14"/>
      <c r="N332" s="14"/>
      <c r="O332" s="7"/>
      <c r="P332" s="13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 x14ac:dyDescent="0.25">
      <c r="A333" s="14"/>
      <c r="B333" s="14"/>
      <c r="C333" s="14"/>
      <c r="D333" s="14"/>
      <c r="E333" s="25"/>
      <c r="F333" s="25"/>
      <c r="G333" s="14"/>
      <c r="H333" s="14"/>
      <c r="I333" s="14"/>
      <c r="J333" s="7"/>
      <c r="K333" s="14"/>
      <c r="L333" s="7"/>
      <c r="M333" s="14"/>
      <c r="N333" s="14"/>
      <c r="O333" s="7"/>
      <c r="P333" s="13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 x14ac:dyDescent="0.25">
      <c r="A334" s="14"/>
      <c r="B334" s="14"/>
      <c r="C334" s="14"/>
      <c r="D334" s="14"/>
      <c r="E334" s="25"/>
      <c r="F334" s="25"/>
      <c r="G334" s="14"/>
      <c r="H334" s="14"/>
      <c r="I334" s="14"/>
      <c r="J334" s="7"/>
      <c r="K334" s="14"/>
      <c r="L334" s="7"/>
      <c r="M334" s="14"/>
      <c r="N334" s="14"/>
      <c r="O334" s="7"/>
      <c r="P334" s="13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 x14ac:dyDescent="0.25">
      <c r="A335" s="14"/>
      <c r="B335" s="14"/>
      <c r="C335" s="14"/>
      <c r="D335" s="14"/>
      <c r="E335" s="25"/>
      <c r="F335" s="25"/>
      <c r="G335" s="14"/>
      <c r="H335" s="14"/>
      <c r="I335" s="14"/>
      <c r="J335" s="7"/>
      <c r="K335" s="14"/>
      <c r="L335" s="7"/>
      <c r="M335" s="14"/>
      <c r="N335" s="14"/>
      <c r="O335" s="7"/>
      <c r="P335" s="13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 x14ac:dyDescent="0.25">
      <c r="A336" s="14"/>
      <c r="B336" s="14"/>
      <c r="C336" s="14"/>
      <c r="D336" s="14"/>
      <c r="E336" s="25"/>
      <c r="F336" s="25"/>
      <c r="G336" s="14"/>
      <c r="H336" s="14"/>
      <c r="I336" s="14"/>
      <c r="J336" s="7"/>
      <c r="K336" s="14"/>
      <c r="L336" s="7"/>
      <c r="M336" s="14"/>
      <c r="N336" s="14"/>
      <c r="O336" s="7"/>
      <c r="P336" s="13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 x14ac:dyDescent="0.25">
      <c r="A337" s="14"/>
      <c r="B337" s="14"/>
      <c r="C337" s="14"/>
      <c r="D337" s="14"/>
      <c r="E337" s="25"/>
      <c r="F337" s="25"/>
      <c r="G337" s="14"/>
      <c r="H337" s="14"/>
      <c r="I337" s="14"/>
      <c r="J337" s="7"/>
      <c r="K337" s="14"/>
      <c r="L337" s="7"/>
      <c r="M337" s="14"/>
      <c r="N337" s="14"/>
      <c r="O337" s="7"/>
      <c r="P337" s="13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 x14ac:dyDescent="0.25">
      <c r="A338" s="14"/>
      <c r="B338" s="14"/>
      <c r="C338" s="14"/>
      <c r="D338" s="14"/>
      <c r="E338" s="25"/>
      <c r="F338" s="25"/>
      <c r="G338" s="14"/>
      <c r="H338" s="14"/>
      <c r="I338" s="14"/>
      <c r="J338" s="7"/>
      <c r="K338" s="14"/>
      <c r="L338" s="7"/>
      <c r="M338" s="14"/>
      <c r="N338" s="14"/>
      <c r="O338" s="7"/>
      <c r="P338" s="13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 x14ac:dyDescent="0.25">
      <c r="A339" s="14"/>
      <c r="B339" s="14"/>
      <c r="C339" s="14"/>
      <c r="D339" s="14"/>
      <c r="E339" s="25"/>
      <c r="F339" s="25"/>
      <c r="G339" s="14"/>
      <c r="H339" s="14"/>
      <c r="I339" s="14"/>
      <c r="J339" s="7"/>
      <c r="K339" s="14"/>
      <c r="L339" s="7"/>
      <c r="M339" s="14"/>
      <c r="N339" s="14"/>
      <c r="O339" s="7"/>
      <c r="P339" s="13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 x14ac:dyDescent="0.25">
      <c r="A340" s="14"/>
      <c r="B340" s="14"/>
      <c r="C340" s="14"/>
      <c r="D340" s="14"/>
      <c r="E340" s="25"/>
      <c r="F340" s="25"/>
      <c r="G340" s="14"/>
      <c r="H340" s="14"/>
      <c r="I340" s="14"/>
      <c r="J340" s="7"/>
      <c r="K340" s="14"/>
      <c r="L340" s="7"/>
      <c r="M340" s="14"/>
      <c r="N340" s="14"/>
      <c r="O340" s="7"/>
      <c r="P340" s="13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 x14ac:dyDescent="0.25">
      <c r="A341" s="14"/>
      <c r="B341" s="14"/>
      <c r="C341" s="14"/>
      <c r="D341" s="14"/>
      <c r="E341" s="25"/>
      <c r="F341" s="25"/>
      <c r="G341" s="14"/>
      <c r="H341" s="14"/>
      <c r="I341" s="14"/>
      <c r="J341" s="7"/>
      <c r="K341" s="14"/>
      <c r="L341" s="7"/>
      <c r="M341" s="14"/>
      <c r="N341" s="14"/>
      <c r="O341" s="7"/>
      <c r="P341" s="13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 x14ac:dyDescent="0.25">
      <c r="A342" s="14"/>
      <c r="B342" s="14"/>
      <c r="C342" s="14"/>
      <c r="D342" s="14"/>
      <c r="E342" s="25"/>
      <c r="F342" s="25"/>
      <c r="G342" s="14"/>
      <c r="H342" s="14"/>
      <c r="I342" s="14"/>
      <c r="J342" s="7"/>
      <c r="K342" s="14"/>
      <c r="L342" s="7"/>
      <c r="M342" s="14"/>
      <c r="N342" s="14"/>
      <c r="O342" s="7"/>
      <c r="P342" s="13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 x14ac:dyDescent="0.25">
      <c r="A343" s="14"/>
      <c r="B343" s="14"/>
      <c r="C343" s="14"/>
      <c r="D343" s="14"/>
      <c r="E343" s="25"/>
      <c r="F343" s="25"/>
      <c r="G343" s="14"/>
      <c r="H343" s="14"/>
      <c r="I343" s="14"/>
      <c r="J343" s="7"/>
      <c r="K343" s="14"/>
      <c r="L343" s="7"/>
      <c r="M343" s="14"/>
      <c r="N343" s="14"/>
      <c r="O343" s="7"/>
      <c r="P343" s="13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 x14ac:dyDescent="0.25">
      <c r="A344" s="14"/>
      <c r="B344" s="14"/>
      <c r="C344" s="14"/>
      <c r="D344" s="14"/>
      <c r="E344" s="25"/>
      <c r="F344" s="25"/>
      <c r="G344" s="14"/>
      <c r="H344" s="14"/>
      <c r="I344" s="14"/>
      <c r="J344" s="7"/>
      <c r="K344" s="14"/>
      <c r="L344" s="7"/>
      <c r="M344" s="14"/>
      <c r="N344" s="14"/>
      <c r="O344" s="7"/>
      <c r="P344" s="13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 x14ac:dyDescent="0.25">
      <c r="A345" s="14"/>
      <c r="B345" s="14"/>
      <c r="C345" s="14"/>
      <c r="D345" s="14"/>
      <c r="E345" s="25"/>
      <c r="F345" s="25"/>
      <c r="G345" s="14"/>
      <c r="H345" s="14"/>
      <c r="I345" s="14"/>
      <c r="J345" s="7"/>
      <c r="K345" s="14"/>
      <c r="L345" s="7"/>
      <c r="M345" s="14"/>
      <c r="N345" s="14"/>
      <c r="O345" s="7"/>
      <c r="P345" s="13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 x14ac:dyDescent="0.25">
      <c r="A346" s="14"/>
      <c r="B346" s="14"/>
      <c r="C346" s="14"/>
      <c r="D346" s="14"/>
      <c r="E346" s="25"/>
      <c r="F346" s="25"/>
      <c r="G346" s="14"/>
      <c r="H346" s="14"/>
      <c r="I346" s="14"/>
      <c r="J346" s="7"/>
      <c r="K346" s="14"/>
      <c r="L346" s="7"/>
      <c r="M346" s="14"/>
      <c r="N346" s="14"/>
      <c r="O346" s="7"/>
      <c r="P346" s="13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 x14ac:dyDescent="0.25">
      <c r="A347" s="14"/>
      <c r="B347" s="14"/>
      <c r="C347" s="14"/>
      <c r="D347" s="14"/>
      <c r="E347" s="25"/>
      <c r="F347" s="25"/>
      <c r="G347" s="14"/>
      <c r="H347" s="14"/>
      <c r="I347" s="14"/>
      <c r="J347" s="7"/>
      <c r="K347" s="14"/>
      <c r="L347" s="7"/>
      <c r="M347" s="14"/>
      <c r="N347" s="14"/>
      <c r="O347" s="7"/>
      <c r="P347" s="13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 x14ac:dyDescent="0.25">
      <c r="A348" s="14"/>
      <c r="B348" s="14"/>
      <c r="C348" s="14"/>
      <c r="D348" s="14"/>
      <c r="E348" s="25"/>
      <c r="F348" s="25"/>
      <c r="G348" s="14"/>
      <c r="H348" s="14"/>
      <c r="I348" s="14"/>
      <c r="J348" s="7"/>
      <c r="K348" s="14"/>
      <c r="L348" s="7"/>
      <c r="M348" s="14"/>
      <c r="N348" s="14"/>
      <c r="O348" s="7"/>
      <c r="P348" s="13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 x14ac:dyDescent="0.25">
      <c r="A349" s="14"/>
      <c r="B349" s="14"/>
      <c r="C349" s="14"/>
      <c r="D349" s="14"/>
      <c r="E349" s="25"/>
      <c r="F349" s="25"/>
      <c r="G349" s="14"/>
      <c r="H349" s="14"/>
      <c r="I349" s="14"/>
      <c r="J349" s="7"/>
      <c r="K349" s="14"/>
      <c r="L349" s="7"/>
      <c r="M349" s="14"/>
      <c r="N349" s="14"/>
      <c r="O349" s="7"/>
      <c r="P349" s="13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 x14ac:dyDescent="0.25">
      <c r="A350" s="14"/>
      <c r="B350" s="14"/>
      <c r="C350" s="14"/>
      <c r="D350" s="14"/>
      <c r="E350" s="25"/>
      <c r="F350" s="25"/>
      <c r="G350" s="14"/>
      <c r="H350" s="14"/>
      <c r="I350" s="14"/>
      <c r="J350" s="7"/>
      <c r="K350" s="14"/>
      <c r="L350" s="7"/>
      <c r="M350" s="14"/>
      <c r="N350" s="14"/>
      <c r="O350" s="7"/>
      <c r="P350" s="13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 x14ac:dyDescent="0.25">
      <c r="A351" s="14"/>
      <c r="B351" s="14"/>
      <c r="C351" s="14"/>
      <c r="D351" s="14"/>
      <c r="E351" s="25"/>
      <c r="F351" s="25"/>
      <c r="G351" s="14"/>
      <c r="H351" s="14"/>
      <c r="I351" s="14"/>
      <c r="J351" s="7"/>
      <c r="K351" s="14"/>
      <c r="L351" s="7"/>
      <c r="M351" s="14"/>
      <c r="N351" s="14"/>
      <c r="O351" s="7"/>
      <c r="P351" s="13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 x14ac:dyDescent="0.25">
      <c r="A352" s="14"/>
      <c r="B352" s="14"/>
      <c r="C352" s="14"/>
      <c r="D352" s="14"/>
      <c r="E352" s="25"/>
      <c r="F352" s="25"/>
      <c r="G352" s="14"/>
      <c r="H352" s="14"/>
      <c r="I352" s="14"/>
      <c r="J352" s="7"/>
      <c r="K352" s="14"/>
      <c r="L352" s="7"/>
      <c r="M352" s="14"/>
      <c r="N352" s="14"/>
      <c r="O352" s="7"/>
      <c r="P352" s="13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 x14ac:dyDescent="0.25">
      <c r="A353" s="14"/>
      <c r="B353" s="14"/>
      <c r="C353" s="14"/>
      <c r="D353" s="14"/>
      <c r="E353" s="25"/>
      <c r="F353" s="25"/>
      <c r="G353" s="14"/>
      <c r="H353" s="14"/>
      <c r="I353" s="14"/>
      <c r="J353" s="7"/>
      <c r="K353" s="14"/>
      <c r="L353" s="7"/>
      <c r="M353" s="14"/>
      <c r="N353" s="14"/>
      <c r="O353" s="7"/>
      <c r="P353" s="13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 x14ac:dyDescent="0.25">
      <c r="A354" s="14"/>
      <c r="B354" s="14"/>
      <c r="C354" s="14"/>
      <c r="D354" s="14"/>
      <c r="E354" s="25"/>
      <c r="F354" s="25"/>
      <c r="G354" s="14"/>
      <c r="H354" s="14"/>
      <c r="I354" s="14"/>
      <c r="J354" s="7"/>
      <c r="K354" s="14"/>
      <c r="L354" s="7"/>
      <c r="M354" s="14"/>
      <c r="N354" s="14"/>
      <c r="O354" s="7"/>
      <c r="P354" s="13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 x14ac:dyDescent="0.25">
      <c r="A355" s="14"/>
      <c r="B355" s="14"/>
      <c r="C355" s="14"/>
      <c r="D355" s="14"/>
      <c r="E355" s="25"/>
      <c r="F355" s="25"/>
      <c r="G355" s="14"/>
      <c r="H355" s="14"/>
      <c r="I355" s="14"/>
      <c r="J355" s="7"/>
      <c r="K355" s="14"/>
      <c r="L355" s="7"/>
      <c r="M355" s="14"/>
      <c r="N355" s="14"/>
      <c r="O355" s="7"/>
      <c r="P355" s="13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 x14ac:dyDescent="0.25">
      <c r="A356" s="14"/>
      <c r="B356" s="14"/>
      <c r="C356" s="14"/>
      <c r="D356" s="14"/>
      <c r="E356" s="25"/>
      <c r="F356" s="25"/>
      <c r="G356" s="14"/>
      <c r="H356" s="14"/>
      <c r="I356" s="14"/>
      <c r="J356" s="7"/>
      <c r="K356" s="14"/>
      <c r="L356" s="7"/>
      <c r="M356" s="14"/>
      <c r="N356" s="14"/>
      <c r="O356" s="7"/>
      <c r="P356" s="13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 x14ac:dyDescent="0.25">
      <c r="A357" s="14"/>
      <c r="B357" s="14"/>
      <c r="C357" s="14"/>
      <c r="D357" s="14"/>
      <c r="E357" s="25"/>
      <c r="F357" s="25"/>
      <c r="G357" s="14"/>
      <c r="H357" s="14"/>
      <c r="I357" s="14"/>
      <c r="J357" s="7"/>
      <c r="K357" s="14"/>
      <c r="L357" s="7"/>
      <c r="M357" s="14"/>
      <c r="N357" s="14"/>
      <c r="O357" s="7"/>
      <c r="P357" s="13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 x14ac:dyDescent="0.25">
      <c r="A358" s="14"/>
      <c r="B358" s="14"/>
      <c r="C358" s="14"/>
      <c r="D358" s="14"/>
      <c r="E358" s="25"/>
      <c r="F358" s="25"/>
      <c r="G358" s="14"/>
      <c r="H358" s="14"/>
      <c r="I358" s="14"/>
      <c r="J358" s="7"/>
      <c r="K358" s="14"/>
      <c r="L358" s="7"/>
      <c r="M358" s="14"/>
      <c r="N358" s="14"/>
      <c r="O358" s="7"/>
      <c r="P358" s="13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 x14ac:dyDescent="0.25">
      <c r="A359" s="14"/>
      <c r="B359" s="14"/>
      <c r="C359" s="14"/>
      <c r="D359" s="14"/>
      <c r="E359" s="25"/>
      <c r="F359" s="25"/>
      <c r="G359" s="14"/>
      <c r="H359" s="14"/>
      <c r="I359" s="14"/>
      <c r="J359" s="7"/>
      <c r="K359" s="14"/>
      <c r="L359" s="7"/>
      <c r="M359" s="14"/>
      <c r="N359" s="14"/>
      <c r="O359" s="7"/>
      <c r="P359" s="13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 x14ac:dyDescent="0.25">
      <c r="A360" s="14"/>
      <c r="B360" s="14"/>
      <c r="C360" s="14"/>
      <c r="D360" s="14"/>
      <c r="E360" s="25"/>
      <c r="F360" s="25"/>
      <c r="G360" s="14"/>
      <c r="H360" s="14"/>
      <c r="I360" s="14"/>
      <c r="J360" s="7"/>
      <c r="K360" s="14"/>
      <c r="L360" s="7"/>
      <c r="M360" s="14"/>
      <c r="N360" s="14"/>
      <c r="O360" s="7"/>
      <c r="P360" s="13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 x14ac:dyDescent="0.25">
      <c r="A361" s="14"/>
      <c r="B361" s="14"/>
      <c r="C361" s="14"/>
      <c r="D361" s="14"/>
      <c r="E361" s="25"/>
      <c r="F361" s="25"/>
      <c r="G361" s="14"/>
      <c r="H361" s="14"/>
      <c r="I361" s="14"/>
      <c r="J361" s="7"/>
      <c r="K361" s="14"/>
      <c r="L361" s="7"/>
      <c r="M361" s="14"/>
      <c r="N361" s="14"/>
      <c r="O361" s="7"/>
      <c r="P361" s="13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 x14ac:dyDescent="0.25">
      <c r="A362" s="14"/>
      <c r="B362" s="14"/>
      <c r="C362" s="14"/>
      <c r="D362" s="14"/>
      <c r="E362" s="25"/>
      <c r="F362" s="25"/>
      <c r="G362" s="14"/>
      <c r="H362" s="14"/>
      <c r="I362" s="14"/>
      <c r="J362" s="7"/>
      <c r="K362" s="14"/>
      <c r="L362" s="7"/>
      <c r="M362" s="14"/>
      <c r="N362" s="14"/>
      <c r="O362" s="7"/>
      <c r="P362" s="13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 x14ac:dyDescent="0.25">
      <c r="A363" s="14"/>
      <c r="B363" s="14"/>
      <c r="C363" s="14"/>
      <c r="D363" s="14"/>
      <c r="E363" s="25"/>
      <c r="F363" s="25"/>
      <c r="G363" s="14"/>
      <c r="H363" s="14"/>
      <c r="I363" s="14"/>
      <c r="J363" s="7"/>
      <c r="K363" s="14"/>
      <c r="L363" s="7"/>
      <c r="M363" s="14"/>
      <c r="N363" s="14"/>
      <c r="O363" s="7"/>
      <c r="P363" s="13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 x14ac:dyDescent="0.25">
      <c r="A364" s="14"/>
      <c r="B364" s="14"/>
      <c r="C364" s="14"/>
      <c r="D364" s="14"/>
      <c r="E364" s="25"/>
      <c r="F364" s="25"/>
      <c r="G364" s="14"/>
      <c r="H364" s="14"/>
      <c r="I364" s="14"/>
      <c r="J364" s="7"/>
      <c r="K364" s="14"/>
      <c r="L364" s="7"/>
      <c r="M364" s="14"/>
      <c r="N364" s="14"/>
      <c r="O364" s="7"/>
      <c r="P364" s="13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 x14ac:dyDescent="0.25">
      <c r="A365" s="14"/>
      <c r="B365" s="14"/>
      <c r="C365" s="14"/>
      <c r="D365" s="14"/>
      <c r="E365" s="25"/>
      <c r="F365" s="25"/>
      <c r="G365" s="14"/>
      <c r="H365" s="14"/>
      <c r="I365" s="14"/>
      <c r="J365" s="7"/>
      <c r="K365" s="14"/>
      <c r="L365" s="7"/>
      <c r="M365" s="14"/>
      <c r="N365" s="14"/>
      <c r="O365" s="7"/>
      <c r="P365" s="13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 x14ac:dyDescent="0.25">
      <c r="A366" s="14"/>
      <c r="B366" s="14"/>
      <c r="C366" s="14"/>
      <c r="D366" s="14"/>
      <c r="E366" s="25"/>
      <c r="F366" s="25"/>
      <c r="G366" s="14"/>
      <c r="H366" s="14"/>
      <c r="I366" s="14"/>
      <c r="J366" s="7"/>
      <c r="K366" s="14"/>
      <c r="L366" s="7"/>
      <c r="M366" s="14"/>
      <c r="N366" s="14"/>
      <c r="O366" s="7"/>
      <c r="P366" s="13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 x14ac:dyDescent="0.25">
      <c r="A367" s="14"/>
      <c r="B367" s="14"/>
      <c r="C367" s="14"/>
      <c r="D367" s="14"/>
      <c r="E367" s="25"/>
      <c r="F367" s="25"/>
      <c r="G367" s="14"/>
      <c r="H367" s="14"/>
      <c r="I367" s="14"/>
      <c r="J367" s="7"/>
      <c r="K367" s="14"/>
      <c r="L367" s="7"/>
      <c r="M367" s="14"/>
      <c r="N367" s="14"/>
      <c r="O367" s="7"/>
      <c r="P367" s="13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 x14ac:dyDescent="0.25">
      <c r="A368" s="14"/>
      <c r="B368" s="14"/>
      <c r="C368" s="14"/>
      <c r="D368" s="14"/>
      <c r="E368" s="25"/>
      <c r="F368" s="25"/>
      <c r="G368" s="14"/>
      <c r="H368" s="14"/>
      <c r="I368" s="14"/>
      <c r="J368" s="7"/>
      <c r="K368" s="14"/>
      <c r="L368" s="7"/>
      <c r="M368" s="14"/>
      <c r="N368" s="14"/>
      <c r="O368" s="7"/>
      <c r="P368" s="13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 x14ac:dyDescent="0.25">
      <c r="A369" s="14"/>
      <c r="B369" s="14"/>
      <c r="C369" s="14"/>
      <c r="D369" s="14"/>
      <c r="E369" s="25"/>
      <c r="F369" s="25"/>
      <c r="G369" s="14"/>
      <c r="H369" s="14"/>
      <c r="I369" s="14"/>
      <c r="J369" s="7"/>
      <c r="K369" s="14"/>
      <c r="L369" s="7"/>
      <c r="M369" s="14"/>
      <c r="N369" s="14"/>
      <c r="O369" s="7"/>
      <c r="P369" s="13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 x14ac:dyDescent="0.25">
      <c r="A370" s="14"/>
      <c r="B370" s="14"/>
      <c r="C370" s="14"/>
      <c r="D370" s="14"/>
      <c r="E370" s="25"/>
      <c r="F370" s="25"/>
      <c r="G370" s="14"/>
      <c r="H370" s="14"/>
      <c r="I370" s="14"/>
      <c r="J370" s="7"/>
      <c r="K370" s="14"/>
      <c r="L370" s="7"/>
      <c r="M370" s="14"/>
      <c r="N370" s="14"/>
      <c r="O370" s="7"/>
      <c r="P370" s="13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 x14ac:dyDescent="0.25">
      <c r="A371" s="14"/>
      <c r="B371" s="14"/>
      <c r="C371" s="14"/>
      <c r="D371" s="14"/>
      <c r="E371" s="25"/>
      <c r="F371" s="25"/>
      <c r="G371" s="14"/>
      <c r="H371" s="14"/>
      <c r="I371" s="14"/>
      <c r="J371" s="7"/>
      <c r="K371" s="14"/>
      <c r="L371" s="7"/>
      <c r="M371" s="14"/>
      <c r="N371" s="14"/>
      <c r="O371" s="7"/>
      <c r="P371" s="13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 x14ac:dyDescent="0.25">
      <c r="A372" s="14"/>
      <c r="B372" s="14"/>
      <c r="C372" s="14"/>
      <c r="D372" s="14"/>
      <c r="E372" s="25"/>
      <c r="F372" s="25"/>
      <c r="G372" s="14"/>
      <c r="H372" s="14"/>
      <c r="I372" s="14"/>
      <c r="J372" s="7"/>
      <c r="K372" s="14"/>
      <c r="L372" s="7"/>
      <c r="M372" s="14"/>
      <c r="N372" s="14"/>
      <c r="O372" s="7"/>
      <c r="P372" s="13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 x14ac:dyDescent="0.25">
      <c r="A373" s="14"/>
      <c r="B373" s="14"/>
      <c r="C373" s="14"/>
      <c r="D373" s="14"/>
      <c r="E373" s="25"/>
      <c r="F373" s="25"/>
      <c r="G373" s="14"/>
      <c r="H373" s="14"/>
      <c r="I373" s="14"/>
      <c r="J373" s="7"/>
      <c r="K373" s="14"/>
      <c r="L373" s="7"/>
      <c r="M373" s="14"/>
      <c r="N373" s="14"/>
      <c r="O373" s="7"/>
      <c r="P373" s="13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 x14ac:dyDescent="0.25">
      <c r="A374" s="14"/>
      <c r="B374" s="14"/>
      <c r="C374" s="14"/>
      <c r="D374" s="14"/>
      <c r="E374" s="25"/>
      <c r="F374" s="25"/>
      <c r="G374" s="14"/>
      <c r="H374" s="14"/>
      <c r="I374" s="14"/>
      <c r="J374" s="7"/>
      <c r="K374" s="14"/>
      <c r="L374" s="7"/>
      <c r="M374" s="14"/>
      <c r="N374" s="14"/>
      <c r="O374" s="7"/>
      <c r="P374" s="13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 x14ac:dyDescent="0.25">
      <c r="A375" s="14"/>
      <c r="B375" s="14"/>
      <c r="C375" s="14"/>
      <c r="D375" s="14"/>
      <c r="E375" s="25"/>
      <c r="F375" s="25"/>
      <c r="G375" s="14"/>
      <c r="H375" s="14"/>
      <c r="I375" s="14"/>
      <c r="J375" s="7"/>
      <c r="K375" s="14"/>
      <c r="L375" s="7"/>
      <c r="M375" s="14"/>
      <c r="N375" s="14"/>
      <c r="O375" s="7"/>
      <c r="P375" s="13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 x14ac:dyDescent="0.25">
      <c r="A376" s="14"/>
      <c r="B376" s="14"/>
      <c r="C376" s="14"/>
      <c r="D376" s="14"/>
      <c r="E376" s="25"/>
      <c r="F376" s="25"/>
      <c r="G376" s="14"/>
      <c r="H376" s="14"/>
      <c r="I376" s="14"/>
      <c r="J376" s="7"/>
      <c r="K376" s="14"/>
      <c r="L376" s="7"/>
      <c r="M376" s="14"/>
      <c r="N376" s="14"/>
      <c r="O376" s="7"/>
      <c r="P376" s="13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 x14ac:dyDescent="0.25">
      <c r="A377" s="14"/>
      <c r="B377" s="14"/>
      <c r="C377" s="14"/>
      <c r="D377" s="14"/>
      <c r="E377" s="25"/>
      <c r="F377" s="25"/>
      <c r="G377" s="14"/>
      <c r="H377" s="14"/>
      <c r="I377" s="14"/>
      <c r="J377" s="7"/>
      <c r="K377" s="14"/>
      <c r="L377" s="7"/>
      <c r="M377" s="14"/>
      <c r="N377" s="14"/>
      <c r="O377" s="7"/>
      <c r="P377" s="13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 x14ac:dyDescent="0.25">
      <c r="A378" s="14"/>
      <c r="B378" s="14"/>
      <c r="C378" s="14"/>
      <c r="D378" s="14"/>
      <c r="E378" s="25"/>
      <c r="F378" s="25"/>
      <c r="G378" s="14"/>
      <c r="H378" s="14"/>
      <c r="I378" s="14"/>
      <c r="J378" s="7"/>
      <c r="K378" s="14"/>
      <c r="L378" s="7"/>
      <c r="M378" s="14"/>
      <c r="N378" s="14"/>
      <c r="O378" s="7"/>
      <c r="P378" s="13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 x14ac:dyDescent="0.25">
      <c r="A379" s="14"/>
      <c r="B379" s="14"/>
      <c r="C379" s="14"/>
      <c r="D379" s="14"/>
      <c r="E379" s="25"/>
      <c r="F379" s="25"/>
      <c r="G379" s="14"/>
      <c r="H379" s="14"/>
      <c r="I379" s="14"/>
      <c r="J379" s="7"/>
      <c r="K379" s="14"/>
      <c r="L379" s="7"/>
      <c r="M379" s="14"/>
      <c r="N379" s="14"/>
      <c r="O379" s="7"/>
      <c r="P379" s="13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 x14ac:dyDescent="0.25">
      <c r="A380" s="14"/>
      <c r="B380" s="14"/>
      <c r="C380" s="14"/>
      <c r="D380" s="14"/>
      <c r="E380" s="25"/>
      <c r="F380" s="25"/>
      <c r="G380" s="14"/>
      <c r="H380" s="14"/>
      <c r="I380" s="14"/>
      <c r="J380" s="7"/>
      <c r="K380" s="14"/>
      <c r="L380" s="7"/>
      <c r="M380" s="14"/>
      <c r="N380" s="14"/>
      <c r="O380" s="7"/>
      <c r="P380" s="13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 x14ac:dyDescent="0.25">
      <c r="A381" s="14"/>
      <c r="B381" s="14"/>
      <c r="C381" s="14"/>
      <c r="D381" s="14"/>
      <c r="E381" s="25"/>
      <c r="F381" s="25"/>
      <c r="G381" s="14"/>
      <c r="H381" s="14"/>
      <c r="I381" s="14"/>
      <c r="J381" s="7"/>
      <c r="K381" s="14"/>
      <c r="L381" s="7"/>
      <c r="M381" s="14"/>
      <c r="N381" s="14"/>
      <c r="O381" s="7"/>
      <c r="P381" s="13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 x14ac:dyDescent="0.25">
      <c r="A382" s="14"/>
      <c r="B382" s="14"/>
      <c r="C382" s="14"/>
      <c r="D382" s="14"/>
      <c r="E382" s="25"/>
      <c r="F382" s="25"/>
      <c r="G382" s="14"/>
      <c r="H382" s="14"/>
      <c r="I382" s="14"/>
      <c r="J382" s="7"/>
      <c r="K382" s="14"/>
      <c r="L382" s="7"/>
      <c r="M382" s="14"/>
      <c r="N382" s="14"/>
      <c r="O382" s="7"/>
      <c r="P382" s="13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 x14ac:dyDescent="0.25">
      <c r="A383" s="14"/>
      <c r="B383" s="14"/>
      <c r="C383" s="14"/>
      <c r="D383" s="14"/>
      <c r="E383" s="25"/>
      <c r="F383" s="25"/>
      <c r="G383" s="14"/>
      <c r="H383" s="14"/>
      <c r="I383" s="14"/>
      <c r="J383" s="7"/>
      <c r="K383" s="14"/>
      <c r="L383" s="7"/>
      <c r="M383" s="14"/>
      <c r="N383" s="14"/>
      <c r="O383" s="7"/>
      <c r="P383" s="13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 x14ac:dyDescent="0.25">
      <c r="A384" s="14"/>
      <c r="B384" s="14"/>
      <c r="C384" s="14"/>
      <c r="D384" s="14"/>
      <c r="E384" s="25"/>
      <c r="F384" s="25"/>
      <c r="G384" s="14"/>
      <c r="H384" s="14"/>
      <c r="I384" s="14"/>
      <c r="J384" s="7"/>
      <c r="K384" s="14"/>
      <c r="L384" s="7"/>
      <c r="M384" s="14"/>
      <c r="N384" s="14"/>
      <c r="O384" s="7"/>
      <c r="P384" s="13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 x14ac:dyDescent="0.25">
      <c r="A385" s="14"/>
      <c r="B385" s="14"/>
      <c r="C385" s="14"/>
      <c r="D385" s="14"/>
      <c r="E385" s="25"/>
      <c r="F385" s="25"/>
      <c r="G385" s="14"/>
      <c r="H385" s="14"/>
      <c r="I385" s="14"/>
      <c r="J385" s="7"/>
      <c r="K385" s="14"/>
      <c r="L385" s="7"/>
      <c r="M385" s="14"/>
      <c r="N385" s="14"/>
      <c r="O385" s="7"/>
      <c r="P385" s="13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 x14ac:dyDescent="0.25">
      <c r="A386" s="14"/>
      <c r="B386" s="14"/>
      <c r="C386" s="14"/>
      <c r="D386" s="14"/>
      <c r="E386" s="25"/>
      <c r="F386" s="25"/>
      <c r="G386" s="14"/>
      <c r="H386" s="14"/>
      <c r="I386" s="14"/>
      <c r="J386" s="7"/>
      <c r="K386" s="14"/>
      <c r="L386" s="7"/>
      <c r="M386" s="14"/>
      <c r="N386" s="14"/>
      <c r="O386" s="7"/>
      <c r="P386" s="13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 x14ac:dyDescent="0.25">
      <c r="A387" s="14"/>
      <c r="B387" s="14"/>
      <c r="C387" s="14"/>
      <c r="D387" s="14"/>
      <c r="E387" s="25"/>
      <c r="F387" s="25"/>
      <c r="G387" s="14"/>
      <c r="H387" s="14"/>
      <c r="I387" s="14"/>
      <c r="J387" s="7"/>
      <c r="K387" s="14"/>
      <c r="L387" s="7"/>
      <c r="M387" s="14"/>
      <c r="N387" s="14"/>
      <c r="O387" s="7"/>
      <c r="P387" s="13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 x14ac:dyDescent="0.25">
      <c r="A388" s="14"/>
      <c r="B388" s="14"/>
      <c r="C388" s="14"/>
      <c r="D388" s="14"/>
      <c r="E388" s="25"/>
      <c r="F388" s="25"/>
      <c r="G388" s="14"/>
      <c r="H388" s="14"/>
      <c r="I388" s="14"/>
      <c r="J388" s="7"/>
      <c r="K388" s="14"/>
      <c r="L388" s="7"/>
      <c r="M388" s="14"/>
      <c r="N388" s="14"/>
      <c r="O388" s="7"/>
      <c r="P388" s="13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 x14ac:dyDescent="0.25">
      <c r="A389" s="14"/>
      <c r="B389" s="14"/>
      <c r="C389" s="14"/>
      <c r="D389" s="14"/>
      <c r="E389" s="25"/>
      <c r="F389" s="25"/>
      <c r="G389" s="14"/>
      <c r="H389" s="14"/>
      <c r="I389" s="14"/>
      <c r="J389" s="7"/>
      <c r="K389" s="14"/>
      <c r="L389" s="7"/>
      <c r="M389" s="14"/>
      <c r="N389" s="14"/>
      <c r="O389" s="7"/>
      <c r="P389" s="13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 x14ac:dyDescent="0.25">
      <c r="A390" s="14"/>
      <c r="B390" s="14"/>
      <c r="C390" s="14"/>
      <c r="D390" s="14"/>
      <c r="E390" s="25"/>
      <c r="F390" s="25"/>
      <c r="G390" s="14"/>
      <c r="H390" s="14"/>
      <c r="I390" s="14"/>
      <c r="J390" s="7"/>
      <c r="K390" s="14"/>
      <c r="L390" s="7"/>
      <c r="M390" s="14"/>
      <c r="N390" s="14"/>
      <c r="O390" s="7"/>
      <c r="P390" s="13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 x14ac:dyDescent="0.25">
      <c r="A391" s="14"/>
      <c r="B391" s="14"/>
      <c r="C391" s="14"/>
      <c r="D391" s="14"/>
      <c r="E391" s="25"/>
      <c r="F391" s="25"/>
      <c r="G391" s="14"/>
      <c r="H391" s="14"/>
      <c r="I391" s="14"/>
      <c r="J391" s="7"/>
      <c r="K391" s="14"/>
      <c r="L391" s="7"/>
      <c r="M391" s="14"/>
      <c r="N391" s="14"/>
      <c r="O391" s="7"/>
      <c r="P391" s="13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 x14ac:dyDescent="0.25">
      <c r="A392" s="14"/>
      <c r="B392" s="14"/>
      <c r="C392" s="14"/>
      <c r="D392" s="14"/>
      <c r="E392" s="25"/>
      <c r="F392" s="25"/>
      <c r="G392" s="14"/>
      <c r="H392" s="14"/>
      <c r="I392" s="14"/>
      <c r="J392" s="7"/>
      <c r="K392" s="14"/>
      <c r="L392" s="7"/>
      <c r="M392" s="14"/>
      <c r="N392" s="14"/>
      <c r="O392" s="7"/>
      <c r="P392" s="13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 x14ac:dyDescent="0.25">
      <c r="A393" s="14"/>
      <c r="B393" s="14"/>
      <c r="C393" s="14"/>
      <c r="D393" s="14"/>
      <c r="E393" s="25"/>
      <c r="F393" s="25"/>
      <c r="G393" s="14"/>
      <c r="H393" s="14"/>
      <c r="I393" s="14"/>
      <c r="J393" s="7"/>
      <c r="K393" s="14"/>
      <c r="L393" s="7"/>
      <c r="M393" s="14"/>
      <c r="N393" s="14"/>
      <c r="O393" s="7"/>
      <c r="P393" s="13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 x14ac:dyDescent="0.25">
      <c r="A394" s="14"/>
      <c r="B394" s="14"/>
      <c r="C394" s="14"/>
      <c r="D394" s="14"/>
      <c r="E394" s="25"/>
      <c r="F394" s="25"/>
      <c r="G394" s="14"/>
      <c r="H394" s="14"/>
      <c r="I394" s="14"/>
      <c r="J394" s="7"/>
      <c r="K394" s="14"/>
      <c r="L394" s="7"/>
      <c r="M394" s="14"/>
      <c r="N394" s="14"/>
      <c r="O394" s="7"/>
      <c r="P394" s="13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 x14ac:dyDescent="0.25">
      <c r="A395" s="14"/>
      <c r="B395" s="14"/>
      <c r="C395" s="14"/>
      <c r="D395" s="14"/>
      <c r="E395" s="25"/>
      <c r="F395" s="25"/>
      <c r="G395" s="14"/>
      <c r="H395" s="14"/>
      <c r="I395" s="14"/>
      <c r="J395" s="7"/>
      <c r="K395" s="14"/>
      <c r="L395" s="7"/>
      <c r="M395" s="14"/>
      <c r="N395" s="14"/>
      <c r="O395" s="7"/>
      <c r="P395" s="13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 x14ac:dyDescent="0.25">
      <c r="A396" s="14"/>
      <c r="B396" s="14"/>
      <c r="C396" s="14"/>
      <c r="D396" s="14"/>
      <c r="E396" s="25"/>
      <c r="F396" s="25"/>
      <c r="G396" s="14"/>
      <c r="H396" s="14"/>
      <c r="I396" s="14"/>
      <c r="J396" s="7"/>
      <c r="K396" s="14"/>
      <c r="L396" s="7"/>
      <c r="M396" s="14"/>
      <c r="N396" s="14"/>
      <c r="O396" s="7"/>
      <c r="P396" s="13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 x14ac:dyDescent="0.25">
      <c r="A397" s="14"/>
      <c r="B397" s="14"/>
      <c r="C397" s="14"/>
      <c r="D397" s="14"/>
      <c r="E397" s="25"/>
      <c r="F397" s="25"/>
      <c r="G397" s="14"/>
      <c r="H397" s="14"/>
      <c r="I397" s="14"/>
      <c r="J397" s="7"/>
      <c r="K397" s="14"/>
      <c r="L397" s="7"/>
      <c r="M397" s="14"/>
      <c r="N397" s="14"/>
      <c r="O397" s="7"/>
      <c r="P397" s="13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 x14ac:dyDescent="0.25">
      <c r="A398" s="14"/>
      <c r="B398" s="14"/>
      <c r="C398" s="14"/>
      <c r="D398" s="14"/>
      <c r="E398" s="25"/>
      <c r="F398" s="25"/>
      <c r="G398" s="14"/>
      <c r="H398" s="14"/>
      <c r="I398" s="14"/>
      <c r="J398" s="7"/>
      <c r="K398" s="14"/>
      <c r="L398" s="7"/>
      <c r="M398" s="14"/>
      <c r="N398" s="14"/>
      <c r="O398" s="7"/>
      <c r="P398" s="13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 x14ac:dyDescent="0.25">
      <c r="A399" s="14"/>
      <c r="B399" s="14"/>
      <c r="C399" s="14"/>
      <c r="D399" s="14"/>
      <c r="E399" s="25"/>
      <c r="F399" s="25"/>
      <c r="G399" s="14"/>
      <c r="H399" s="14"/>
      <c r="I399" s="14"/>
      <c r="J399" s="7"/>
      <c r="K399" s="14"/>
      <c r="L399" s="7"/>
      <c r="M399" s="14"/>
      <c r="N399" s="14"/>
      <c r="O399" s="7"/>
      <c r="P399" s="13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 x14ac:dyDescent="0.25">
      <c r="A400" s="14"/>
      <c r="B400" s="14"/>
      <c r="C400" s="14"/>
      <c r="D400" s="14"/>
      <c r="E400" s="25"/>
      <c r="F400" s="25"/>
      <c r="G400" s="14"/>
      <c r="H400" s="14"/>
      <c r="I400" s="14"/>
      <c r="J400" s="7"/>
      <c r="K400" s="14"/>
      <c r="L400" s="7"/>
      <c r="M400" s="14"/>
      <c r="N400" s="14"/>
      <c r="O400" s="7"/>
      <c r="P400" s="13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 x14ac:dyDescent="0.25">
      <c r="A401" s="14"/>
      <c r="B401" s="14"/>
      <c r="C401" s="14"/>
      <c r="D401" s="14"/>
      <c r="E401" s="25"/>
      <c r="F401" s="25"/>
      <c r="G401" s="14"/>
      <c r="H401" s="14"/>
      <c r="I401" s="14"/>
      <c r="J401" s="7"/>
      <c r="K401" s="14"/>
      <c r="L401" s="7"/>
      <c r="M401" s="14"/>
      <c r="N401" s="14"/>
      <c r="O401" s="7"/>
      <c r="P401" s="13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 x14ac:dyDescent="0.25">
      <c r="A402" s="14"/>
      <c r="B402" s="14"/>
      <c r="C402" s="14"/>
      <c r="D402" s="14"/>
      <c r="E402" s="25"/>
      <c r="F402" s="25"/>
      <c r="G402" s="14"/>
      <c r="H402" s="14"/>
      <c r="I402" s="14"/>
      <c r="J402" s="7"/>
      <c r="K402" s="14"/>
      <c r="L402" s="7"/>
      <c r="M402" s="14"/>
      <c r="N402" s="14"/>
      <c r="O402" s="7"/>
      <c r="P402" s="13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 x14ac:dyDescent="0.25">
      <c r="A403" s="14"/>
      <c r="B403" s="14"/>
      <c r="C403" s="14"/>
      <c r="D403" s="14"/>
      <c r="E403" s="25"/>
      <c r="F403" s="25"/>
      <c r="G403" s="14"/>
      <c r="H403" s="14"/>
      <c r="I403" s="14"/>
      <c r="J403" s="7"/>
      <c r="K403" s="14"/>
      <c r="L403" s="7"/>
      <c r="M403" s="14"/>
      <c r="N403" s="14"/>
      <c r="O403" s="7"/>
      <c r="P403" s="13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 x14ac:dyDescent="0.25">
      <c r="A404" s="14"/>
      <c r="B404" s="14"/>
      <c r="C404" s="14"/>
      <c r="D404" s="14"/>
      <c r="E404" s="25"/>
      <c r="F404" s="25"/>
      <c r="G404" s="14"/>
      <c r="H404" s="14"/>
      <c r="I404" s="14"/>
      <c r="J404" s="7"/>
      <c r="K404" s="14"/>
      <c r="L404" s="7"/>
      <c r="M404" s="14"/>
      <c r="N404" s="14"/>
      <c r="O404" s="7"/>
      <c r="P404" s="13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 x14ac:dyDescent="0.25">
      <c r="A405" s="14"/>
      <c r="B405" s="14"/>
      <c r="C405" s="14"/>
      <c r="D405" s="14"/>
      <c r="E405" s="25"/>
      <c r="F405" s="25"/>
      <c r="G405" s="14"/>
      <c r="H405" s="14"/>
      <c r="I405" s="14"/>
      <c r="J405" s="7"/>
      <c r="K405" s="14"/>
      <c r="L405" s="7"/>
      <c r="M405" s="14"/>
      <c r="N405" s="14"/>
      <c r="O405" s="7"/>
      <c r="P405" s="13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 x14ac:dyDescent="0.25">
      <c r="A406" s="14"/>
      <c r="B406" s="14"/>
      <c r="C406" s="14"/>
      <c r="D406" s="14"/>
      <c r="E406" s="25"/>
      <c r="F406" s="25"/>
      <c r="G406" s="14"/>
      <c r="H406" s="14"/>
      <c r="I406" s="14"/>
      <c r="J406" s="7"/>
      <c r="K406" s="14"/>
      <c r="L406" s="7"/>
      <c r="M406" s="14"/>
      <c r="N406" s="14"/>
      <c r="O406" s="7"/>
      <c r="P406" s="13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 x14ac:dyDescent="0.25">
      <c r="A407" s="14"/>
      <c r="B407" s="14"/>
      <c r="C407" s="14"/>
      <c r="D407" s="14"/>
      <c r="E407" s="25"/>
      <c r="F407" s="25"/>
      <c r="G407" s="14"/>
      <c r="H407" s="14"/>
      <c r="I407" s="14"/>
      <c r="J407" s="7"/>
      <c r="K407" s="14"/>
      <c r="L407" s="7"/>
      <c r="M407" s="14"/>
      <c r="N407" s="14"/>
      <c r="O407" s="7"/>
      <c r="P407" s="13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 x14ac:dyDescent="0.25">
      <c r="A408" s="14"/>
      <c r="B408" s="14"/>
      <c r="C408" s="14"/>
      <c r="D408" s="14"/>
      <c r="E408" s="25"/>
      <c r="F408" s="25"/>
      <c r="G408" s="14"/>
      <c r="H408" s="14"/>
      <c r="I408" s="14"/>
      <c r="J408" s="7"/>
      <c r="K408" s="14"/>
      <c r="L408" s="7"/>
      <c r="M408" s="14"/>
      <c r="N408" s="14"/>
      <c r="O408" s="7"/>
      <c r="P408" s="13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 x14ac:dyDescent="0.25">
      <c r="A409" s="14"/>
      <c r="B409" s="14"/>
      <c r="C409" s="14"/>
      <c r="D409" s="14"/>
      <c r="E409" s="25"/>
      <c r="F409" s="25"/>
      <c r="G409" s="14"/>
      <c r="H409" s="14"/>
      <c r="I409" s="14"/>
      <c r="J409" s="7"/>
      <c r="K409" s="14"/>
      <c r="L409" s="7"/>
      <c r="M409" s="14"/>
      <c r="N409" s="14"/>
      <c r="O409" s="7"/>
      <c r="P409" s="13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 x14ac:dyDescent="0.25">
      <c r="A410" s="14"/>
      <c r="B410" s="14"/>
      <c r="C410" s="14"/>
      <c r="D410" s="14"/>
      <c r="E410" s="25"/>
      <c r="F410" s="25"/>
      <c r="G410" s="14"/>
      <c r="H410" s="14"/>
      <c r="I410" s="14"/>
      <c r="J410" s="7"/>
      <c r="K410" s="14"/>
      <c r="L410" s="7"/>
      <c r="M410" s="14"/>
      <c r="N410" s="14"/>
      <c r="O410" s="7"/>
      <c r="P410" s="13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 x14ac:dyDescent="0.25">
      <c r="A411" s="14"/>
      <c r="B411" s="14"/>
      <c r="C411" s="14"/>
      <c r="D411" s="14"/>
      <c r="E411" s="25"/>
      <c r="F411" s="25"/>
      <c r="G411" s="14"/>
      <c r="H411" s="14"/>
      <c r="I411" s="14"/>
      <c r="J411" s="7"/>
      <c r="K411" s="14"/>
      <c r="L411" s="7"/>
      <c r="M411" s="14"/>
      <c r="N411" s="14"/>
      <c r="O411" s="7"/>
      <c r="P411" s="13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 x14ac:dyDescent="0.25">
      <c r="A412" s="14"/>
      <c r="B412" s="14"/>
      <c r="C412" s="14"/>
      <c r="D412" s="14"/>
      <c r="E412" s="25"/>
      <c r="F412" s="25"/>
      <c r="G412" s="14"/>
      <c r="H412" s="14"/>
      <c r="I412" s="14"/>
      <c r="J412" s="7"/>
      <c r="K412" s="14"/>
      <c r="L412" s="7"/>
      <c r="M412" s="14"/>
      <c r="N412" s="14"/>
      <c r="O412" s="7"/>
      <c r="P412" s="13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 x14ac:dyDescent="0.25">
      <c r="A413" s="14"/>
      <c r="B413" s="14"/>
      <c r="C413" s="14"/>
      <c r="D413" s="14"/>
      <c r="E413" s="25"/>
      <c r="F413" s="25"/>
      <c r="G413" s="14"/>
      <c r="H413" s="14"/>
      <c r="I413" s="14"/>
      <c r="J413" s="7"/>
      <c r="K413" s="14"/>
      <c r="L413" s="7"/>
      <c r="M413" s="14"/>
      <c r="N413" s="14"/>
      <c r="O413" s="7"/>
      <c r="P413" s="13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 x14ac:dyDescent="0.25">
      <c r="A414" s="14"/>
      <c r="B414" s="14"/>
      <c r="C414" s="14"/>
      <c r="D414" s="14"/>
      <c r="E414" s="25"/>
      <c r="F414" s="25"/>
      <c r="G414" s="14"/>
      <c r="H414" s="14"/>
      <c r="I414" s="14"/>
      <c r="J414" s="7"/>
      <c r="K414" s="14"/>
      <c r="L414" s="7"/>
      <c r="M414" s="14"/>
      <c r="N414" s="14"/>
      <c r="O414" s="7"/>
      <c r="P414" s="13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 x14ac:dyDescent="0.25">
      <c r="A415" s="14"/>
      <c r="B415" s="14"/>
      <c r="C415" s="14"/>
      <c r="D415" s="14"/>
      <c r="E415" s="25"/>
      <c r="F415" s="25"/>
      <c r="G415" s="14"/>
      <c r="H415" s="14"/>
      <c r="I415" s="14"/>
      <c r="J415" s="7"/>
      <c r="K415" s="14"/>
      <c r="L415" s="7"/>
      <c r="M415" s="14"/>
      <c r="N415" s="14"/>
      <c r="O415" s="7"/>
      <c r="P415" s="13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 x14ac:dyDescent="0.25">
      <c r="A416" s="14"/>
      <c r="B416" s="14"/>
      <c r="C416" s="14"/>
      <c r="D416" s="14"/>
      <c r="E416" s="25"/>
      <c r="F416" s="25"/>
      <c r="G416" s="14"/>
      <c r="H416" s="14"/>
      <c r="I416" s="14"/>
      <c r="J416" s="7"/>
      <c r="K416" s="14"/>
      <c r="L416" s="7"/>
      <c r="M416" s="14"/>
      <c r="N416" s="14"/>
      <c r="O416" s="7"/>
      <c r="P416" s="13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 x14ac:dyDescent="0.25">
      <c r="A417" s="14"/>
      <c r="B417" s="14"/>
      <c r="C417" s="14"/>
      <c r="D417" s="14"/>
      <c r="E417" s="25"/>
      <c r="F417" s="25"/>
      <c r="G417" s="14"/>
      <c r="H417" s="14"/>
      <c r="I417" s="14"/>
      <c r="J417" s="7"/>
      <c r="K417" s="14"/>
      <c r="L417" s="7"/>
      <c r="M417" s="14"/>
      <c r="N417" s="14"/>
      <c r="O417" s="7"/>
      <c r="P417" s="13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 x14ac:dyDescent="0.25">
      <c r="A418" s="14"/>
      <c r="B418" s="14"/>
      <c r="C418" s="14"/>
      <c r="D418" s="14"/>
      <c r="E418" s="25"/>
      <c r="F418" s="25"/>
      <c r="G418" s="14"/>
      <c r="H418" s="14"/>
      <c r="I418" s="14"/>
      <c r="J418" s="7"/>
      <c r="K418" s="14"/>
      <c r="L418" s="7"/>
      <c r="M418" s="14"/>
      <c r="N418" s="14"/>
      <c r="O418" s="7"/>
      <c r="P418" s="13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 x14ac:dyDescent="0.25">
      <c r="A419" s="14"/>
      <c r="B419" s="14"/>
      <c r="C419" s="14"/>
      <c r="D419" s="14"/>
      <c r="E419" s="25"/>
      <c r="F419" s="25"/>
      <c r="G419" s="14"/>
      <c r="H419" s="14"/>
      <c r="I419" s="14"/>
      <c r="J419" s="7"/>
      <c r="K419" s="14"/>
      <c r="L419" s="7"/>
      <c r="M419" s="14"/>
      <c r="N419" s="14"/>
      <c r="O419" s="7"/>
      <c r="P419" s="13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 x14ac:dyDescent="0.25">
      <c r="A420" s="14"/>
      <c r="B420" s="14"/>
      <c r="C420" s="14"/>
      <c r="D420" s="14"/>
      <c r="E420" s="25"/>
      <c r="F420" s="25"/>
      <c r="G420" s="14"/>
      <c r="H420" s="14"/>
      <c r="I420" s="14"/>
      <c r="J420" s="7"/>
      <c r="K420" s="14"/>
      <c r="L420" s="7"/>
      <c r="M420" s="14"/>
      <c r="N420" s="14"/>
      <c r="O420" s="7"/>
      <c r="P420" s="13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 x14ac:dyDescent="0.25">
      <c r="A421" s="14"/>
      <c r="B421" s="14"/>
      <c r="C421" s="14"/>
      <c r="D421" s="14"/>
      <c r="E421" s="25"/>
      <c r="F421" s="25"/>
      <c r="G421" s="14"/>
      <c r="H421" s="14"/>
      <c r="I421" s="14"/>
      <c r="J421" s="7"/>
      <c r="K421" s="14"/>
      <c r="L421" s="7"/>
      <c r="M421" s="14"/>
      <c r="N421" s="14"/>
      <c r="O421" s="7"/>
      <c r="P421" s="13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 x14ac:dyDescent="0.25">
      <c r="A422" s="14"/>
      <c r="B422" s="14"/>
      <c r="C422" s="14"/>
      <c r="D422" s="14"/>
      <c r="E422" s="25"/>
      <c r="F422" s="25"/>
      <c r="G422" s="14"/>
      <c r="H422" s="14"/>
      <c r="I422" s="14"/>
      <c r="J422" s="7"/>
      <c r="K422" s="14"/>
      <c r="L422" s="7"/>
      <c r="M422" s="14"/>
      <c r="N422" s="14"/>
      <c r="O422" s="7"/>
      <c r="P422" s="13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 x14ac:dyDescent="0.25">
      <c r="A423" s="14"/>
      <c r="B423" s="14"/>
      <c r="C423" s="14"/>
      <c r="D423" s="14"/>
      <c r="E423" s="25"/>
      <c r="F423" s="25"/>
      <c r="G423" s="14"/>
      <c r="H423" s="14"/>
      <c r="I423" s="14"/>
      <c r="J423" s="7"/>
      <c r="K423" s="14"/>
      <c r="L423" s="7"/>
      <c r="M423" s="14"/>
      <c r="N423" s="14"/>
      <c r="O423" s="7"/>
      <c r="P423" s="13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 x14ac:dyDescent="0.25">
      <c r="A424" s="14"/>
      <c r="B424" s="14"/>
      <c r="C424" s="14"/>
      <c r="D424" s="14"/>
      <c r="E424" s="25"/>
      <c r="F424" s="25"/>
      <c r="G424" s="14"/>
      <c r="H424" s="14"/>
      <c r="I424" s="14"/>
      <c r="J424" s="7"/>
      <c r="K424" s="14"/>
      <c r="L424" s="7"/>
      <c r="M424" s="14"/>
      <c r="N424" s="14"/>
      <c r="O424" s="7"/>
      <c r="P424" s="13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 x14ac:dyDescent="0.25">
      <c r="A425" s="14"/>
      <c r="B425" s="14"/>
      <c r="C425" s="14"/>
      <c r="D425" s="14"/>
      <c r="E425" s="25"/>
      <c r="F425" s="25"/>
      <c r="G425" s="14"/>
      <c r="H425" s="14"/>
      <c r="I425" s="14"/>
      <c r="J425" s="7"/>
      <c r="K425" s="14"/>
      <c r="L425" s="7"/>
      <c r="M425" s="14"/>
      <c r="N425" s="14"/>
      <c r="O425" s="7"/>
      <c r="P425" s="13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 x14ac:dyDescent="0.25">
      <c r="A426" s="14"/>
      <c r="B426" s="14"/>
      <c r="C426" s="14"/>
      <c r="D426" s="14"/>
      <c r="E426" s="25"/>
      <c r="F426" s="25"/>
      <c r="G426" s="14"/>
      <c r="H426" s="14"/>
      <c r="I426" s="14"/>
      <c r="J426" s="7"/>
      <c r="K426" s="14"/>
      <c r="L426" s="7"/>
      <c r="M426" s="14"/>
      <c r="N426" s="14"/>
      <c r="O426" s="7"/>
      <c r="P426" s="13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 x14ac:dyDescent="0.25">
      <c r="A427" s="14"/>
      <c r="B427" s="14"/>
      <c r="C427" s="14"/>
      <c r="D427" s="14"/>
      <c r="E427" s="25"/>
      <c r="F427" s="25"/>
      <c r="G427" s="14"/>
      <c r="H427" s="14"/>
      <c r="I427" s="14"/>
      <c r="J427" s="7"/>
      <c r="K427" s="14"/>
      <c r="L427" s="7"/>
      <c r="M427" s="14"/>
      <c r="N427" s="14"/>
      <c r="O427" s="7"/>
      <c r="P427" s="13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 x14ac:dyDescent="0.25">
      <c r="A428" s="14"/>
      <c r="B428" s="14"/>
      <c r="C428" s="14"/>
      <c r="D428" s="14"/>
      <c r="E428" s="25"/>
      <c r="F428" s="25"/>
      <c r="G428" s="14"/>
      <c r="H428" s="14"/>
      <c r="I428" s="14"/>
      <c r="J428" s="7"/>
      <c r="K428" s="14"/>
      <c r="L428" s="7"/>
      <c r="M428" s="14"/>
      <c r="N428" s="14"/>
      <c r="O428" s="7"/>
      <c r="P428" s="13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 x14ac:dyDescent="0.25">
      <c r="A429" s="14"/>
      <c r="B429" s="14"/>
      <c r="C429" s="14"/>
      <c r="D429" s="14"/>
      <c r="E429" s="25"/>
      <c r="F429" s="25"/>
      <c r="G429" s="14"/>
      <c r="H429" s="14"/>
      <c r="I429" s="14"/>
      <c r="J429" s="7"/>
      <c r="K429" s="14"/>
      <c r="L429" s="7"/>
      <c r="M429" s="14"/>
      <c r="N429" s="14"/>
      <c r="O429" s="7"/>
      <c r="P429" s="13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 x14ac:dyDescent="0.25">
      <c r="A430" s="14"/>
      <c r="B430" s="14"/>
      <c r="C430" s="14"/>
      <c r="D430" s="14"/>
      <c r="E430" s="25"/>
      <c r="F430" s="25"/>
      <c r="G430" s="14"/>
      <c r="H430" s="14"/>
      <c r="I430" s="14"/>
      <c r="J430" s="7"/>
      <c r="K430" s="14"/>
      <c r="L430" s="7"/>
      <c r="M430" s="14"/>
      <c r="N430" s="14"/>
      <c r="O430" s="7"/>
      <c r="P430" s="13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 x14ac:dyDescent="0.25">
      <c r="A431" s="14"/>
      <c r="B431" s="14"/>
      <c r="C431" s="14"/>
      <c r="D431" s="14"/>
      <c r="E431" s="25"/>
      <c r="F431" s="25"/>
      <c r="G431" s="14"/>
      <c r="H431" s="14"/>
      <c r="I431" s="14"/>
      <c r="J431" s="7"/>
      <c r="K431" s="14"/>
      <c r="L431" s="7"/>
      <c r="M431" s="14"/>
      <c r="N431" s="14"/>
      <c r="O431" s="7"/>
      <c r="P431" s="13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 x14ac:dyDescent="0.25">
      <c r="A432" s="14"/>
      <c r="B432" s="14"/>
      <c r="C432" s="14"/>
      <c r="D432" s="14"/>
      <c r="E432" s="25"/>
      <c r="F432" s="25"/>
      <c r="G432" s="14"/>
      <c r="H432" s="14"/>
      <c r="I432" s="14"/>
      <c r="J432" s="7"/>
      <c r="K432" s="14"/>
      <c r="L432" s="7"/>
      <c r="M432" s="14"/>
      <c r="N432" s="14"/>
      <c r="O432" s="7"/>
      <c r="P432" s="13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 x14ac:dyDescent="0.25">
      <c r="A433" s="14"/>
      <c r="B433" s="14"/>
      <c r="C433" s="14"/>
      <c r="D433" s="14"/>
      <c r="E433" s="25"/>
      <c r="F433" s="25"/>
      <c r="G433" s="14"/>
      <c r="H433" s="14"/>
      <c r="I433" s="14"/>
      <c r="J433" s="7"/>
      <c r="K433" s="14"/>
      <c r="L433" s="7"/>
      <c r="M433" s="14"/>
      <c r="N433" s="14"/>
      <c r="O433" s="7"/>
      <c r="P433" s="13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 x14ac:dyDescent="0.25">
      <c r="A434" s="14"/>
      <c r="B434" s="14"/>
      <c r="C434" s="14"/>
      <c r="D434" s="14"/>
      <c r="E434" s="25"/>
      <c r="F434" s="25"/>
      <c r="G434" s="14"/>
      <c r="H434" s="14"/>
      <c r="I434" s="14"/>
      <c r="J434" s="7"/>
      <c r="K434" s="14"/>
      <c r="L434" s="7"/>
      <c r="M434" s="14"/>
      <c r="N434" s="14"/>
      <c r="O434" s="7"/>
      <c r="P434" s="13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 x14ac:dyDescent="0.25">
      <c r="A435" s="14"/>
      <c r="B435" s="14"/>
      <c r="C435" s="14"/>
      <c r="D435" s="14"/>
      <c r="E435" s="25"/>
      <c r="F435" s="25"/>
      <c r="G435" s="14"/>
      <c r="H435" s="14"/>
      <c r="I435" s="14"/>
      <c r="J435" s="7"/>
      <c r="K435" s="14"/>
      <c r="L435" s="7"/>
      <c r="M435" s="14"/>
      <c r="N435" s="14"/>
      <c r="O435" s="7"/>
      <c r="P435" s="13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 x14ac:dyDescent="0.25">
      <c r="A436" s="14"/>
      <c r="B436" s="14"/>
      <c r="C436" s="14"/>
      <c r="D436" s="14"/>
      <c r="E436" s="25"/>
      <c r="F436" s="25"/>
      <c r="G436" s="14"/>
      <c r="H436" s="14"/>
      <c r="I436" s="14"/>
      <c r="J436" s="7"/>
      <c r="K436" s="14"/>
      <c r="L436" s="7"/>
      <c r="M436" s="14"/>
      <c r="N436" s="14"/>
      <c r="O436" s="7"/>
      <c r="P436" s="13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 x14ac:dyDescent="0.25">
      <c r="A437" s="14"/>
      <c r="B437" s="14"/>
      <c r="C437" s="14"/>
      <c r="D437" s="14"/>
      <c r="E437" s="25"/>
      <c r="F437" s="25"/>
      <c r="G437" s="14"/>
      <c r="H437" s="14"/>
      <c r="I437" s="14"/>
      <c r="J437" s="7"/>
      <c r="K437" s="14"/>
      <c r="L437" s="7"/>
      <c r="M437" s="14"/>
      <c r="N437" s="14"/>
      <c r="O437" s="7"/>
      <c r="P437" s="13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 x14ac:dyDescent="0.25">
      <c r="A438" s="14"/>
      <c r="B438" s="14"/>
      <c r="C438" s="14"/>
      <c r="D438" s="14"/>
      <c r="E438" s="25"/>
      <c r="F438" s="25"/>
      <c r="G438" s="14"/>
      <c r="H438" s="14"/>
      <c r="I438" s="14"/>
      <c r="J438" s="7"/>
      <c r="K438" s="14"/>
      <c r="L438" s="7"/>
      <c r="M438" s="14"/>
      <c r="N438" s="14"/>
      <c r="O438" s="7"/>
      <c r="P438" s="13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 x14ac:dyDescent="0.25">
      <c r="A439" s="14"/>
      <c r="B439" s="14"/>
      <c r="C439" s="14"/>
      <c r="D439" s="14"/>
      <c r="E439" s="25"/>
      <c r="F439" s="25"/>
      <c r="G439" s="14"/>
      <c r="H439" s="14"/>
      <c r="I439" s="14"/>
      <c r="J439" s="7"/>
      <c r="K439" s="14"/>
      <c r="L439" s="7"/>
      <c r="M439" s="14"/>
      <c r="N439" s="14"/>
      <c r="O439" s="7"/>
      <c r="P439" s="13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 x14ac:dyDescent="0.25">
      <c r="A440" s="14"/>
      <c r="B440" s="14"/>
      <c r="C440" s="14"/>
      <c r="D440" s="14"/>
      <c r="E440" s="25"/>
      <c r="F440" s="25"/>
      <c r="G440" s="14"/>
      <c r="H440" s="14"/>
      <c r="I440" s="14"/>
      <c r="J440" s="7"/>
      <c r="K440" s="14"/>
      <c r="L440" s="7"/>
      <c r="M440" s="14"/>
      <c r="N440" s="14"/>
      <c r="O440" s="7"/>
      <c r="P440" s="13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 x14ac:dyDescent="0.25">
      <c r="A441" s="14"/>
      <c r="B441" s="14"/>
      <c r="C441" s="14"/>
      <c r="D441" s="14"/>
      <c r="E441" s="25"/>
      <c r="F441" s="25"/>
      <c r="G441" s="14"/>
      <c r="H441" s="14"/>
      <c r="I441" s="14"/>
      <c r="J441" s="7"/>
      <c r="K441" s="14"/>
      <c r="L441" s="7"/>
      <c r="M441" s="14"/>
      <c r="N441" s="14"/>
      <c r="O441" s="7"/>
      <c r="P441" s="13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 x14ac:dyDescent="0.25">
      <c r="A442" s="14"/>
      <c r="B442" s="14"/>
      <c r="C442" s="14"/>
      <c r="D442" s="14"/>
      <c r="E442" s="25"/>
      <c r="F442" s="25"/>
      <c r="G442" s="14"/>
      <c r="H442" s="14"/>
      <c r="I442" s="14"/>
      <c r="J442" s="7"/>
      <c r="K442" s="14"/>
      <c r="L442" s="7"/>
      <c r="M442" s="14"/>
      <c r="N442" s="14"/>
      <c r="O442" s="7"/>
      <c r="P442" s="13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 x14ac:dyDescent="0.25">
      <c r="A443" s="14"/>
      <c r="B443" s="14"/>
      <c r="C443" s="14"/>
      <c r="D443" s="14"/>
      <c r="E443" s="25"/>
      <c r="F443" s="25"/>
      <c r="G443" s="14"/>
      <c r="H443" s="14"/>
      <c r="I443" s="14"/>
      <c r="J443" s="7"/>
      <c r="K443" s="14"/>
      <c r="L443" s="7"/>
      <c r="M443" s="14"/>
      <c r="N443" s="14"/>
      <c r="O443" s="7"/>
      <c r="P443" s="13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 x14ac:dyDescent="0.25">
      <c r="A444" s="14"/>
      <c r="B444" s="14"/>
      <c r="C444" s="14"/>
      <c r="D444" s="14"/>
      <c r="E444" s="25"/>
      <c r="F444" s="25"/>
      <c r="G444" s="14"/>
      <c r="H444" s="14"/>
      <c r="I444" s="14"/>
      <c r="J444" s="7"/>
      <c r="K444" s="14"/>
      <c r="L444" s="7"/>
      <c r="M444" s="14"/>
      <c r="N444" s="14"/>
      <c r="O444" s="7"/>
      <c r="P444" s="13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 x14ac:dyDescent="0.25">
      <c r="A445" s="14"/>
      <c r="B445" s="14"/>
      <c r="C445" s="14"/>
      <c r="D445" s="14"/>
      <c r="E445" s="25"/>
      <c r="F445" s="25"/>
      <c r="G445" s="14"/>
      <c r="H445" s="14"/>
      <c r="I445" s="14"/>
      <c r="J445" s="7"/>
      <c r="K445" s="14"/>
      <c r="L445" s="7"/>
      <c r="M445" s="14"/>
      <c r="N445" s="14"/>
      <c r="O445" s="7"/>
      <c r="P445" s="13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 x14ac:dyDescent="0.25">
      <c r="A446" s="14"/>
      <c r="B446" s="14"/>
      <c r="C446" s="14"/>
      <c r="D446" s="14"/>
      <c r="E446" s="25"/>
      <c r="F446" s="25"/>
      <c r="G446" s="14"/>
      <c r="H446" s="14"/>
      <c r="I446" s="14"/>
      <c r="J446" s="7"/>
      <c r="K446" s="14"/>
      <c r="L446" s="7"/>
      <c r="M446" s="14"/>
      <c r="N446" s="14"/>
      <c r="O446" s="7"/>
      <c r="P446" s="13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 x14ac:dyDescent="0.25">
      <c r="A447" s="14"/>
      <c r="B447" s="14"/>
      <c r="C447" s="14"/>
      <c r="D447" s="14"/>
      <c r="E447" s="25"/>
      <c r="F447" s="25"/>
      <c r="G447" s="14"/>
      <c r="H447" s="14"/>
      <c r="I447" s="14"/>
      <c r="J447" s="7"/>
      <c r="K447" s="14"/>
      <c r="L447" s="7"/>
      <c r="M447" s="14"/>
      <c r="N447" s="14"/>
      <c r="O447" s="7"/>
      <c r="P447" s="13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 x14ac:dyDescent="0.25">
      <c r="A448" s="14"/>
      <c r="B448" s="14"/>
      <c r="C448" s="14"/>
      <c r="D448" s="14"/>
      <c r="E448" s="25"/>
      <c r="F448" s="25"/>
      <c r="G448" s="14"/>
      <c r="H448" s="14"/>
      <c r="I448" s="14"/>
      <c r="J448" s="7"/>
      <c r="K448" s="14"/>
      <c r="L448" s="7"/>
      <c r="M448" s="14"/>
      <c r="N448" s="14"/>
      <c r="O448" s="7"/>
      <c r="P448" s="13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 x14ac:dyDescent="0.25">
      <c r="A449" s="14"/>
      <c r="B449" s="14"/>
      <c r="C449" s="14"/>
      <c r="D449" s="14"/>
      <c r="E449" s="25"/>
      <c r="F449" s="25"/>
      <c r="G449" s="14"/>
      <c r="H449" s="14"/>
      <c r="I449" s="14"/>
      <c r="J449" s="7"/>
      <c r="K449" s="14"/>
      <c r="L449" s="7"/>
      <c r="M449" s="14"/>
      <c r="N449" s="14"/>
      <c r="O449" s="7"/>
      <c r="P449" s="13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 x14ac:dyDescent="0.25">
      <c r="A450" s="14"/>
      <c r="B450" s="14"/>
      <c r="C450" s="14"/>
      <c r="D450" s="14"/>
      <c r="E450" s="25"/>
      <c r="F450" s="25"/>
      <c r="G450" s="14"/>
      <c r="H450" s="14"/>
      <c r="I450" s="14"/>
      <c r="J450" s="7"/>
      <c r="K450" s="14"/>
      <c r="L450" s="7"/>
      <c r="M450" s="14"/>
      <c r="N450" s="14"/>
      <c r="O450" s="7"/>
      <c r="P450" s="13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 x14ac:dyDescent="0.25">
      <c r="A451" s="14"/>
      <c r="B451" s="14"/>
      <c r="C451" s="14"/>
      <c r="D451" s="14"/>
      <c r="E451" s="25"/>
      <c r="F451" s="25"/>
      <c r="G451" s="14"/>
      <c r="H451" s="14"/>
      <c r="I451" s="14"/>
      <c r="J451" s="7"/>
      <c r="K451" s="14"/>
      <c r="L451" s="7"/>
      <c r="M451" s="14"/>
      <c r="N451" s="14"/>
      <c r="O451" s="7"/>
      <c r="P451" s="13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 x14ac:dyDescent="0.25">
      <c r="A452" s="14"/>
      <c r="B452" s="14"/>
      <c r="C452" s="14"/>
      <c r="D452" s="14"/>
      <c r="E452" s="25"/>
      <c r="F452" s="25"/>
      <c r="G452" s="14"/>
      <c r="H452" s="14"/>
      <c r="I452" s="14"/>
      <c r="J452" s="7"/>
      <c r="K452" s="14"/>
      <c r="L452" s="7"/>
      <c r="M452" s="14"/>
      <c r="N452" s="14"/>
      <c r="O452" s="7"/>
      <c r="P452" s="13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 x14ac:dyDescent="0.25">
      <c r="A453" s="14"/>
      <c r="B453" s="14"/>
      <c r="C453" s="14"/>
      <c r="D453" s="14"/>
      <c r="E453" s="25"/>
      <c r="F453" s="25"/>
      <c r="G453" s="14"/>
      <c r="H453" s="14"/>
      <c r="I453" s="14"/>
      <c r="J453" s="7"/>
      <c r="K453" s="14"/>
      <c r="L453" s="7"/>
      <c r="M453" s="14"/>
      <c r="N453" s="14"/>
      <c r="O453" s="7"/>
      <c r="P453" s="13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 x14ac:dyDescent="0.25">
      <c r="A454" s="14"/>
      <c r="B454" s="14"/>
      <c r="C454" s="14"/>
      <c r="D454" s="14"/>
      <c r="E454" s="25"/>
      <c r="F454" s="25"/>
      <c r="G454" s="14"/>
      <c r="H454" s="14"/>
      <c r="I454" s="14"/>
      <c r="J454" s="7"/>
      <c r="K454" s="14"/>
      <c r="L454" s="7"/>
      <c r="M454" s="14"/>
      <c r="N454" s="14"/>
      <c r="O454" s="7"/>
      <c r="P454" s="13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 x14ac:dyDescent="0.25">
      <c r="A455" s="14"/>
      <c r="B455" s="14"/>
      <c r="C455" s="14"/>
      <c r="D455" s="14"/>
      <c r="E455" s="25"/>
      <c r="F455" s="25"/>
      <c r="G455" s="14"/>
      <c r="H455" s="14"/>
      <c r="I455" s="14"/>
      <c r="J455" s="7"/>
      <c r="K455" s="14"/>
      <c r="L455" s="7"/>
      <c r="M455" s="14"/>
      <c r="N455" s="14"/>
      <c r="O455" s="7"/>
      <c r="P455" s="13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 x14ac:dyDescent="0.25">
      <c r="A456" s="14"/>
      <c r="B456" s="14"/>
      <c r="C456" s="14"/>
      <c r="D456" s="14"/>
      <c r="E456" s="25"/>
      <c r="F456" s="25"/>
      <c r="G456" s="14"/>
      <c r="H456" s="14"/>
      <c r="I456" s="14"/>
      <c r="J456" s="7"/>
      <c r="K456" s="14"/>
      <c r="L456" s="7"/>
      <c r="M456" s="14"/>
      <c r="N456" s="14"/>
      <c r="O456" s="7"/>
      <c r="P456" s="13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 x14ac:dyDescent="0.25">
      <c r="A457" s="14"/>
      <c r="B457" s="14"/>
      <c r="C457" s="14"/>
      <c r="D457" s="14"/>
      <c r="E457" s="25"/>
      <c r="F457" s="25"/>
      <c r="G457" s="14"/>
      <c r="H457" s="14"/>
      <c r="I457" s="14"/>
      <c r="J457" s="7"/>
      <c r="K457" s="14"/>
      <c r="L457" s="7"/>
      <c r="M457" s="14"/>
      <c r="N457" s="14"/>
      <c r="O457" s="7"/>
      <c r="P457" s="13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 x14ac:dyDescent="0.25">
      <c r="A458" s="14"/>
      <c r="B458" s="14"/>
      <c r="C458" s="14"/>
      <c r="D458" s="14"/>
      <c r="E458" s="25"/>
      <c r="F458" s="25"/>
      <c r="G458" s="14"/>
      <c r="H458" s="14"/>
      <c r="I458" s="14"/>
      <c r="J458" s="7"/>
      <c r="K458" s="14"/>
      <c r="L458" s="7"/>
      <c r="M458" s="14"/>
      <c r="N458" s="14"/>
      <c r="O458" s="7"/>
      <c r="P458" s="13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 x14ac:dyDescent="0.25">
      <c r="A459" s="14"/>
      <c r="B459" s="14"/>
      <c r="C459" s="14"/>
      <c r="D459" s="14"/>
      <c r="E459" s="25"/>
      <c r="F459" s="25"/>
      <c r="G459" s="14"/>
      <c r="H459" s="14"/>
      <c r="I459" s="14"/>
      <c r="J459" s="7"/>
      <c r="K459" s="14"/>
      <c r="L459" s="7"/>
      <c r="M459" s="14"/>
      <c r="N459" s="14"/>
      <c r="O459" s="7"/>
      <c r="P459" s="13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 x14ac:dyDescent="0.25">
      <c r="A460" s="14"/>
      <c r="B460" s="14"/>
      <c r="C460" s="14"/>
      <c r="D460" s="14"/>
      <c r="E460" s="25"/>
      <c r="F460" s="25"/>
      <c r="G460" s="14"/>
      <c r="H460" s="14"/>
      <c r="I460" s="14"/>
      <c r="J460" s="7"/>
      <c r="K460" s="14"/>
      <c r="L460" s="7"/>
      <c r="M460" s="14"/>
      <c r="N460" s="14"/>
      <c r="O460" s="7"/>
      <c r="P460" s="13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 x14ac:dyDescent="0.25">
      <c r="A461" s="14"/>
      <c r="B461" s="14"/>
      <c r="C461" s="14"/>
      <c r="D461" s="14"/>
      <c r="E461" s="25"/>
      <c r="F461" s="25"/>
      <c r="G461" s="14"/>
      <c r="H461" s="14"/>
      <c r="I461" s="14"/>
      <c r="J461" s="7"/>
      <c r="K461" s="14"/>
      <c r="L461" s="7"/>
      <c r="M461" s="14"/>
      <c r="N461" s="14"/>
      <c r="O461" s="7"/>
      <c r="P461" s="13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 x14ac:dyDescent="0.25">
      <c r="A462" s="14"/>
      <c r="B462" s="14"/>
      <c r="C462" s="14"/>
      <c r="D462" s="14"/>
      <c r="E462" s="25"/>
      <c r="F462" s="25"/>
      <c r="G462" s="14"/>
      <c r="H462" s="14"/>
      <c r="I462" s="14"/>
      <c r="J462" s="7"/>
      <c r="K462" s="14"/>
      <c r="L462" s="7"/>
      <c r="M462" s="14"/>
      <c r="N462" s="14"/>
      <c r="O462" s="7"/>
      <c r="P462" s="13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 x14ac:dyDescent="0.25">
      <c r="A463" s="14"/>
      <c r="B463" s="14"/>
      <c r="C463" s="14"/>
      <c r="D463" s="14"/>
      <c r="E463" s="25"/>
      <c r="F463" s="25"/>
      <c r="G463" s="14"/>
      <c r="H463" s="14"/>
      <c r="I463" s="14"/>
      <c r="J463" s="7"/>
      <c r="K463" s="14"/>
      <c r="L463" s="7"/>
      <c r="M463" s="14"/>
      <c r="N463" s="14"/>
      <c r="O463" s="7"/>
      <c r="P463" s="13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 x14ac:dyDescent="0.25">
      <c r="A464" s="14"/>
      <c r="B464" s="14"/>
      <c r="C464" s="14"/>
      <c r="D464" s="14"/>
      <c r="E464" s="25"/>
      <c r="F464" s="25"/>
      <c r="G464" s="14"/>
      <c r="H464" s="14"/>
      <c r="I464" s="14"/>
      <c r="J464" s="7"/>
      <c r="K464" s="14"/>
      <c r="L464" s="7"/>
      <c r="M464" s="14"/>
      <c r="N464" s="14"/>
      <c r="O464" s="7"/>
      <c r="P464" s="13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 x14ac:dyDescent="0.25">
      <c r="A465" s="14"/>
      <c r="B465" s="14"/>
      <c r="C465" s="14"/>
      <c r="D465" s="14"/>
      <c r="E465" s="25"/>
      <c r="F465" s="25"/>
      <c r="G465" s="14"/>
      <c r="H465" s="14"/>
      <c r="I465" s="14"/>
      <c r="J465" s="7"/>
      <c r="K465" s="14"/>
      <c r="L465" s="7"/>
      <c r="M465" s="14"/>
      <c r="N465" s="14"/>
      <c r="O465" s="7"/>
      <c r="P465" s="13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 x14ac:dyDescent="0.25">
      <c r="A466" s="14"/>
      <c r="B466" s="14"/>
      <c r="C466" s="14"/>
      <c r="D466" s="14"/>
      <c r="E466" s="25"/>
      <c r="F466" s="25"/>
      <c r="G466" s="14"/>
      <c r="H466" s="14"/>
      <c r="I466" s="14"/>
      <c r="J466" s="7"/>
      <c r="K466" s="14"/>
      <c r="L466" s="7"/>
      <c r="M466" s="14"/>
      <c r="N466" s="14"/>
      <c r="O466" s="7"/>
      <c r="P466" s="13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 x14ac:dyDescent="0.25">
      <c r="A467" s="14"/>
      <c r="B467" s="14"/>
      <c r="C467" s="14"/>
      <c r="D467" s="14"/>
      <c r="E467" s="25"/>
      <c r="F467" s="25"/>
      <c r="G467" s="14"/>
      <c r="H467" s="14"/>
      <c r="I467" s="14"/>
      <c r="J467" s="7"/>
      <c r="K467" s="14"/>
      <c r="L467" s="7"/>
      <c r="M467" s="14"/>
      <c r="N467" s="14"/>
      <c r="O467" s="7"/>
      <c r="P467" s="13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 x14ac:dyDescent="0.25">
      <c r="A468" s="14"/>
      <c r="B468" s="14"/>
      <c r="C468" s="14"/>
      <c r="D468" s="14"/>
      <c r="E468" s="25"/>
      <c r="F468" s="25"/>
      <c r="G468" s="14"/>
      <c r="H468" s="14"/>
      <c r="I468" s="14"/>
      <c r="J468" s="7"/>
      <c r="K468" s="14"/>
      <c r="L468" s="7"/>
      <c r="M468" s="14"/>
      <c r="N468" s="14"/>
      <c r="O468" s="7"/>
      <c r="P468" s="13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 x14ac:dyDescent="0.25">
      <c r="A469" s="14"/>
      <c r="B469" s="14"/>
      <c r="C469" s="14"/>
      <c r="D469" s="14"/>
      <c r="E469" s="25"/>
      <c r="F469" s="25"/>
      <c r="G469" s="14"/>
      <c r="H469" s="14"/>
      <c r="I469" s="14"/>
      <c r="J469" s="7"/>
      <c r="K469" s="14"/>
      <c r="L469" s="7"/>
      <c r="M469" s="14"/>
      <c r="N469" s="14"/>
      <c r="O469" s="7"/>
      <c r="P469" s="13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 x14ac:dyDescent="0.25">
      <c r="A470" s="14"/>
      <c r="B470" s="14"/>
      <c r="C470" s="14"/>
      <c r="D470" s="14"/>
      <c r="E470" s="25"/>
      <c r="F470" s="25"/>
      <c r="G470" s="14"/>
      <c r="H470" s="14"/>
      <c r="I470" s="14"/>
      <c r="J470" s="7"/>
      <c r="K470" s="14"/>
      <c r="L470" s="7"/>
      <c r="M470" s="14"/>
      <c r="N470" s="14"/>
      <c r="O470" s="7"/>
      <c r="P470" s="13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 x14ac:dyDescent="0.25">
      <c r="A471" s="14"/>
      <c r="B471" s="14"/>
      <c r="C471" s="14"/>
      <c r="D471" s="14"/>
      <c r="E471" s="25"/>
      <c r="F471" s="25"/>
      <c r="G471" s="14"/>
      <c r="H471" s="14"/>
      <c r="I471" s="14"/>
      <c r="J471" s="7"/>
      <c r="K471" s="14"/>
      <c r="L471" s="7"/>
      <c r="M471" s="14"/>
      <c r="N471" s="14"/>
      <c r="O471" s="7"/>
      <c r="P471" s="13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 x14ac:dyDescent="0.25">
      <c r="A472" s="14"/>
      <c r="B472" s="14"/>
      <c r="C472" s="14"/>
      <c r="D472" s="14"/>
      <c r="E472" s="25"/>
      <c r="F472" s="25"/>
      <c r="G472" s="14"/>
      <c r="H472" s="14"/>
      <c r="I472" s="14"/>
      <c r="J472" s="7"/>
      <c r="K472" s="14"/>
      <c r="L472" s="7"/>
      <c r="M472" s="14"/>
      <c r="N472" s="14"/>
      <c r="O472" s="7"/>
      <c r="P472" s="13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 x14ac:dyDescent="0.25">
      <c r="A473" s="14"/>
      <c r="B473" s="14"/>
      <c r="C473" s="14"/>
      <c r="D473" s="14"/>
      <c r="E473" s="25"/>
      <c r="F473" s="25"/>
      <c r="G473" s="14"/>
      <c r="H473" s="14"/>
      <c r="I473" s="14"/>
      <c r="J473" s="7"/>
      <c r="K473" s="14"/>
      <c r="L473" s="7"/>
      <c r="M473" s="14"/>
      <c r="N473" s="14"/>
      <c r="O473" s="7"/>
      <c r="P473" s="13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 x14ac:dyDescent="0.25">
      <c r="A474" s="14"/>
      <c r="B474" s="14"/>
      <c r="C474" s="14"/>
      <c r="D474" s="14"/>
      <c r="E474" s="25"/>
      <c r="F474" s="25"/>
      <c r="G474" s="14"/>
      <c r="H474" s="14"/>
      <c r="I474" s="14"/>
      <c r="J474" s="7"/>
      <c r="K474" s="14"/>
      <c r="L474" s="7"/>
      <c r="M474" s="14"/>
      <c r="N474" s="14"/>
      <c r="O474" s="7"/>
      <c r="P474" s="13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 x14ac:dyDescent="0.25">
      <c r="A475" s="14"/>
      <c r="B475" s="14"/>
      <c r="C475" s="14"/>
      <c r="D475" s="14"/>
      <c r="E475" s="25"/>
      <c r="F475" s="25"/>
      <c r="G475" s="14"/>
      <c r="H475" s="14"/>
      <c r="I475" s="14"/>
      <c r="J475" s="7"/>
      <c r="K475" s="14"/>
      <c r="L475" s="7"/>
      <c r="M475" s="14"/>
      <c r="N475" s="14"/>
      <c r="O475" s="7"/>
      <c r="P475" s="13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 x14ac:dyDescent="0.25">
      <c r="A476" s="14"/>
      <c r="B476" s="14"/>
      <c r="C476" s="14"/>
      <c r="D476" s="14"/>
      <c r="E476" s="25"/>
      <c r="F476" s="25"/>
      <c r="G476" s="14"/>
      <c r="H476" s="14"/>
      <c r="I476" s="14"/>
      <c r="J476" s="7"/>
      <c r="K476" s="14"/>
      <c r="L476" s="7"/>
      <c r="M476" s="14"/>
      <c r="N476" s="14"/>
      <c r="O476" s="7"/>
      <c r="P476" s="13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 x14ac:dyDescent="0.25">
      <c r="A477" s="14"/>
      <c r="B477" s="14"/>
      <c r="C477" s="14"/>
      <c r="D477" s="14"/>
      <c r="E477" s="25"/>
      <c r="F477" s="25"/>
      <c r="G477" s="14"/>
      <c r="H477" s="14"/>
      <c r="I477" s="14"/>
      <c r="J477" s="7"/>
      <c r="K477" s="14"/>
      <c r="L477" s="7"/>
      <c r="M477" s="14"/>
      <c r="N477" s="14"/>
      <c r="O477" s="7"/>
      <c r="P477" s="13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 x14ac:dyDescent="0.25">
      <c r="A478" s="14"/>
      <c r="B478" s="14"/>
      <c r="C478" s="14"/>
      <c r="D478" s="14"/>
      <c r="E478" s="25"/>
      <c r="F478" s="25"/>
      <c r="G478" s="14"/>
      <c r="H478" s="14"/>
      <c r="I478" s="14"/>
      <c r="J478" s="7"/>
      <c r="K478" s="14"/>
      <c r="L478" s="7"/>
      <c r="M478" s="14"/>
      <c r="N478" s="14"/>
      <c r="O478" s="7"/>
      <c r="P478" s="13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 x14ac:dyDescent="0.25">
      <c r="A479" s="14"/>
      <c r="B479" s="14"/>
      <c r="C479" s="14"/>
      <c r="D479" s="14"/>
      <c r="E479" s="25"/>
      <c r="F479" s="25"/>
      <c r="G479" s="14"/>
      <c r="H479" s="14"/>
      <c r="I479" s="14"/>
      <c r="J479" s="7"/>
      <c r="K479" s="14"/>
      <c r="L479" s="7"/>
      <c r="M479" s="14"/>
      <c r="N479" s="14"/>
      <c r="O479" s="7"/>
      <c r="P479" s="13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 x14ac:dyDescent="0.25">
      <c r="A480" s="14"/>
      <c r="B480" s="14"/>
      <c r="C480" s="14"/>
      <c r="D480" s="14"/>
      <c r="E480" s="25"/>
      <c r="F480" s="25"/>
      <c r="G480" s="14"/>
      <c r="H480" s="14"/>
      <c r="I480" s="14"/>
      <c r="J480" s="7"/>
      <c r="K480" s="14"/>
      <c r="L480" s="7"/>
      <c r="M480" s="14"/>
      <c r="N480" s="14"/>
      <c r="O480" s="7"/>
      <c r="P480" s="13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 x14ac:dyDescent="0.25">
      <c r="A481" s="14"/>
      <c r="B481" s="14"/>
      <c r="C481" s="14"/>
      <c r="D481" s="14"/>
      <c r="E481" s="25"/>
      <c r="F481" s="25"/>
      <c r="G481" s="14"/>
      <c r="H481" s="14"/>
      <c r="I481" s="14"/>
      <c r="J481" s="7"/>
      <c r="K481" s="14"/>
      <c r="L481" s="7"/>
      <c r="M481" s="14"/>
      <c r="N481" s="14"/>
      <c r="O481" s="7"/>
      <c r="P481" s="13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 x14ac:dyDescent="0.25">
      <c r="A482" s="14"/>
      <c r="B482" s="14"/>
      <c r="C482" s="14"/>
      <c r="D482" s="14"/>
      <c r="E482" s="25"/>
      <c r="F482" s="25"/>
      <c r="G482" s="14"/>
      <c r="H482" s="14"/>
      <c r="I482" s="14"/>
      <c r="J482" s="7"/>
      <c r="K482" s="14"/>
      <c r="L482" s="7"/>
      <c r="M482" s="14"/>
      <c r="N482" s="14"/>
      <c r="O482" s="7"/>
      <c r="P482" s="13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 x14ac:dyDescent="0.25">
      <c r="A483" s="14"/>
      <c r="B483" s="14"/>
      <c r="C483" s="14"/>
      <c r="D483" s="14"/>
      <c r="E483" s="25"/>
      <c r="F483" s="25"/>
      <c r="G483" s="14"/>
      <c r="H483" s="14"/>
      <c r="I483" s="14"/>
      <c r="J483" s="7"/>
      <c r="K483" s="14"/>
      <c r="L483" s="7"/>
      <c r="M483" s="14"/>
      <c r="N483" s="14"/>
      <c r="O483" s="7"/>
      <c r="P483" s="13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 x14ac:dyDescent="0.25">
      <c r="A484" s="14"/>
      <c r="B484" s="14"/>
      <c r="C484" s="14"/>
      <c r="D484" s="14"/>
      <c r="E484" s="25"/>
      <c r="F484" s="25"/>
      <c r="G484" s="14"/>
      <c r="H484" s="14"/>
      <c r="I484" s="14"/>
      <c r="J484" s="7"/>
      <c r="K484" s="14"/>
      <c r="L484" s="7"/>
      <c r="M484" s="14"/>
      <c r="N484" s="14"/>
      <c r="O484" s="7"/>
      <c r="P484" s="13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 x14ac:dyDescent="0.25">
      <c r="A485" s="14"/>
      <c r="B485" s="14"/>
      <c r="C485" s="14"/>
      <c r="D485" s="14"/>
      <c r="E485" s="25"/>
      <c r="F485" s="25"/>
      <c r="G485" s="14"/>
      <c r="H485" s="14"/>
      <c r="I485" s="14"/>
      <c r="J485" s="7"/>
      <c r="K485" s="14"/>
      <c r="L485" s="7"/>
      <c r="M485" s="14"/>
      <c r="N485" s="14"/>
      <c r="O485" s="7"/>
      <c r="P485" s="13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 x14ac:dyDescent="0.25">
      <c r="A486" s="14"/>
      <c r="B486" s="14"/>
      <c r="C486" s="14"/>
      <c r="D486" s="14"/>
      <c r="E486" s="25"/>
      <c r="F486" s="25"/>
      <c r="G486" s="14"/>
      <c r="H486" s="14"/>
      <c r="I486" s="14"/>
      <c r="J486" s="7"/>
      <c r="K486" s="14"/>
      <c r="L486" s="7"/>
      <c r="M486" s="14"/>
      <c r="N486" s="14"/>
      <c r="O486" s="7"/>
      <c r="P486" s="13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 x14ac:dyDescent="0.25">
      <c r="A487" s="14"/>
      <c r="B487" s="14"/>
      <c r="C487" s="14"/>
      <c r="D487" s="14"/>
      <c r="E487" s="25"/>
      <c r="F487" s="25"/>
      <c r="G487" s="14"/>
      <c r="H487" s="14"/>
      <c r="I487" s="14"/>
      <c r="J487" s="7"/>
      <c r="K487" s="14"/>
      <c r="L487" s="7"/>
      <c r="M487" s="14"/>
      <c r="N487" s="14"/>
      <c r="O487" s="7"/>
      <c r="P487" s="13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 x14ac:dyDescent="0.25">
      <c r="A488" s="14"/>
      <c r="B488" s="14"/>
      <c r="C488" s="14"/>
      <c r="D488" s="14"/>
      <c r="E488" s="25"/>
      <c r="F488" s="25"/>
      <c r="G488" s="14"/>
      <c r="H488" s="14"/>
      <c r="I488" s="14"/>
      <c r="J488" s="7"/>
      <c r="K488" s="14"/>
      <c r="L488" s="7"/>
      <c r="M488" s="14"/>
      <c r="N488" s="14"/>
      <c r="O488" s="7"/>
      <c r="P488" s="13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 x14ac:dyDescent="0.25">
      <c r="A489" s="14"/>
      <c r="B489" s="14"/>
      <c r="C489" s="14"/>
      <c r="D489" s="14"/>
      <c r="E489" s="25"/>
      <c r="F489" s="25"/>
      <c r="G489" s="14"/>
      <c r="H489" s="14"/>
      <c r="I489" s="14"/>
      <c r="J489" s="7"/>
      <c r="K489" s="14"/>
      <c r="L489" s="7"/>
      <c r="M489" s="14"/>
      <c r="N489" s="14"/>
      <c r="O489" s="7"/>
      <c r="P489" s="13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 x14ac:dyDescent="0.25">
      <c r="A490" s="14"/>
      <c r="B490" s="14"/>
      <c r="C490" s="14"/>
      <c r="D490" s="14"/>
      <c r="E490" s="25"/>
      <c r="F490" s="25"/>
      <c r="G490" s="14"/>
      <c r="H490" s="14"/>
      <c r="I490" s="14"/>
      <c r="J490" s="7"/>
      <c r="K490" s="14"/>
      <c r="L490" s="7"/>
      <c r="M490" s="14"/>
      <c r="N490" s="14"/>
      <c r="O490" s="7"/>
      <c r="P490" s="13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 x14ac:dyDescent="0.25">
      <c r="A491" s="14"/>
      <c r="B491" s="14"/>
      <c r="C491" s="14"/>
      <c r="D491" s="14"/>
      <c r="E491" s="25"/>
      <c r="F491" s="25"/>
      <c r="G491" s="14"/>
      <c r="H491" s="14"/>
      <c r="I491" s="14"/>
      <c r="J491" s="7"/>
      <c r="K491" s="14"/>
      <c r="L491" s="7"/>
      <c r="M491" s="14"/>
      <c r="N491" s="14"/>
      <c r="O491" s="7"/>
      <c r="P491" s="13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 x14ac:dyDescent="0.25">
      <c r="A492" s="14"/>
      <c r="B492" s="14"/>
      <c r="C492" s="14"/>
      <c r="D492" s="14"/>
      <c r="E492" s="25"/>
      <c r="F492" s="25"/>
      <c r="G492" s="14"/>
      <c r="H492" s="14"/>
      <c r="I492" s="14"/>
      <c r="J492" s="7"/>
      <c r="K492" s="14"/>
      <c r="L492" s="7"/>
      <c r="M492" s="14"/>
      <c r="N492" s="14"/>
      <c r="O492" s="7"/>
      <c r="P492" s="13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 x14ac:dyDescent="0.25">
      <c r="A493" s="14"/>
      <c r="B493" s="14"/>
      <c r="C493" s="14"/>
      <c r="D493" s="14"/>
      <c r="E493" s="25"/>
      <c r="F493" s="25"/>
      <c r="G493" s="14"/>
      <c r="H493" s="14"/>
      <c r="I493" s="14"/>
      <c r="J493" s="7"/>
      <c r="K493" s="14"/>
      <c r="L493" s="7"/>
      <c r="M493" s="14"/>
      <c r="N493" s="14"/>
      <c r="O493" s="7"/>
      <c r="P493" s="13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 x14ac:dyDescent="0.25">
      <c r="A494" s="14"/>
      <c r="B494" s="14"/>
      <c r="C494" s="14"/>
      <c r="D494" s="14"/>
      <c r="E494" s="25"/>
      <c r="F494" s="25"/>
      <c r="G494" s="14"/>
      <c r="H494" s="14"/>
      <c r="I494" s="14"/>
      <c r="J494" s="7"/>
      <c r="K494" s="14"/>
      <c r="L494" s="7"/>
      <c r="M494" s="14"/>
      <c r="N494" s="14"/>
      <c r="O494" s="7"/>
      <c r="P494" s="13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 x14ac:dyDescent="0.25">
      <c r="A495" s="14"/>
      <c r="B495" s="14"/>
      <c r="C495" s="14"/>
      <c r="D495" s="14"/>
      <c r="E495" s="25"/>
      <c r="F495" s="25"/>
      <c r="G495" s="14"/>
      <c r="H495" s="14"/>
      <c r="I495" s="14"/>
      <c r="J495" s="7"/>
      <c r="K495" s="14"/>
      <c r="L495" s="7"/>
      <c r="M495" s="14"/>
      <c r="N495" s="14"/>
      <c r="O495" s="7"/>
      <c r="P495" s="13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 x14ac:dyDescent="0.25">
      <c r="A496" s="14"/>
      <c r="B496" s="14"/>
      <c r="C496" s="14"/>
      <c r="D496" s="14"/>
      <c r="E496" s="25"/>
      <c r="F496" s="25"/>
      <c r="G496" s="14"/>
      <c r="H496" s="14"/>
      <c r="I496" s="14"/>
      <c r="J496" s="7"/>
      <c r="K496" s="14"/>
      <c r="L496" s="7"/>
      <c r="M496" s="14"/>
      <c r="N496" s="14"/>
      <c r="O496" s="7"/>
      <c r="P496" s="13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 x14ac:dyDescent="0.25">
      <c r="A497" s="14"/>
      <c r="B497" s="14"/>
      <c r="C497" s="14"/>
      <c r="D497" s="14"/>
      <c r="E497" s="25"/>
      <c r="F497" s="25"/>
      <c r="G497" s="14"/>
      <c r="H497" s="14"/>
      <c r="I497" s="14"/>
      <c r="J497" s="7"/>
      <c r="K497" s="14"/>
      <c r="L497" s="7"/>
      <c r="M497" s="14"/>
      <c r="N497" s="14"/>
      <c r="O497" s="7"/>
      <c r="P497" s="13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 x14ac:dyDescent="0.25">
      <c r="A498" s="14"/>
      <c r="B498" s="14"/>
      <c r="C498" s="14"/>
      <c r="D498" s="14"/>
      <c r="E498" s="25"/>
      <c r="F498" s="25"/>
      <c r="G498" s="14"/>
      <c r="H498" s="14"/>
      <c r="I498" s="14"/>
      <c r="J498" s="7"/>
      <c r="K498" s="14"/>
      <c r="L498" s="7"/>
      <c r="M498" s="14"/>
      <c r="N498" s="14"/>
      <c r="O498" s="7"/>
      <c r="P498" s="13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 x14ac:dyDescent="0.25">
      <c r="A499" s="14"/>
      <c r="B499" s="14"/>
      <c r="C499" s="14"/>
      <c r="D499" s="14"/>
      <c r="E499" s="25"/>
      <c r="F499" s="25"/>
      <c r="G499" s="14"/>
      <c r="H499" s="14"/>
      <c r="I499" s="14"/>
      <c r="J499" s="7"/>
      <c r="K499" s="14"/>
      <c r="L499" s="7"/>
      <c r="M499" s="14"/>
      <c r="N499" s="14"/>
      <c r="O499" s="7"/>
      <c r="P499" s="13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 x14ac:dyDescent="0.25">
      <c r="A500" s="14"/>
      <c r="B500" s="14"/>
      <c r="C500" s="14"/>
      <c r="D500" s="14"/>
      <c r="E500" s="25"/>
      <c r="F500" s="25"/>
      <c r="G500" s="14"/>
      <c r="H500" s="14"/>
      <c r="I500" s="14"/>
      <c r="J500" s="7"/>
      <c r="K500" s="14"/>
      <c r="L500" s="7"/>
      <c r="M500" s="14"/>
      <c r="N500" s="14"/>
      <c r="O500" s="7"/>
      <c r="P500" s="13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 x14ac:dyDescent="0.25">
      <c r="A501" s="14"/>
      <c r="B501" s="14"/>
      <c r="C501" s="14"/>
      <c r="D501" s="14"/>
      <c r="E501" s="25"/>
      <c r="F501" s="25"/>
      <c r="G501" s="14"/>
      <c r="H501" s="14"/>
      <c r="I501" s="14"/>
      <c r="J501" s="7"/>
      <c r="K501" s="14"/>
      <c r="L501" s="7"/>
      <c r="M501" s="14"/>
      <c r="N501" s="14"/>
      <c r="O501" s="7"/>
      <c r="P501" s="13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 x14ac:dyDescent="0.25">
      <c r="A502" s="14"/>
      <c r="B502" s="14"/>
      <c r="C502" s="14"/>
      <c r="D502" s="14"/>
      <c r="E502" s="25"/>
      <c r="F502" s="25"/>
      <c r="G502" s="14"/>
      <c r="H502" s="14"/>
      <c r="I502" s="14"/>
      <c r="J502" s="7"/>
      <c r="K502" s="14"/>
      <c r="L502" s="7"/>
      <c r="M502" s="14"/>
      <c r="N502" s="14"/>
      <c r="O502" s="7"/>
      <c r="P502" s="13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 x14ac:dyDescent="0.25">
      <c r="A503" s="14"/>
      <c r="B503" s="14"/>
      <c r="C503" s="14"/>
      <c r="D503" s="14"/>
      <c r="E503" s="25"/>
      <c r="F503" s="25"/>
      <c r="G503" s="14"/>
      <c r="H503" s="14"/>
      <c r="I503" s="14"/>
      <c r="J503" s="7"/>
      <c r="K503" s="14"/>
      <c r="L503" s="7"/>
      <c r="M503" s="14"/>
      <c r="N503" s="14"/>
      <c r="O503" s="7"/>
      <c r="P503" s="13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 x14ac:dyDescent="0.25">
      <c r="A504" s="14"/>
      <c r="B504" s="14"/>
      <c r="C504" s="14"/>
      <c r="D504" s="14"/>
      <c r="E504" s="25"/>
      <c r="F504" s="25"/>
      <c r="G504" s="14"/>
      <c r="H504" s="14"/>
      <c r="I504" s="14"/>
      <c r="J504" s="7"/>
      <c r="K504" s="14"/>
      <c r="L504" s="7"/>
      <c r="M504" s="14"/>
      <c r="N504" s="14"/>
      <c r="O504" s="7"/>
      <c r="P504" s="13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 x14ac:dyDescent="0.25">
      <c r="A505" s="14"/>
      <c r="B505" s="14"/>
      <c r="C505" s="14"/>
      <c r="D505" s="14"/>
      <c r="E505" s="25"/>
      <c r="F505" s="25"/>
      <c r="G505" s="14"/>
      <c r="H505" s="14"/>
      <c r="I505" s="14"/>
      <c r="J505" s="7"/>
      <c r="K505" s="14"/>
      <c r="L505" s="7"/>
      <c r="M505" s="14"/>
      <c r="N505" s="14"/>
      <c r="O505" s="7"/>
      <c r="P505" s="13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 x14ac:dyDescent="0.25">
      <c r="A506" s="14"/>
      <c r="B506" s="14"/>
      <c r="C506" s="14"/>
      <c r="D506" s="14"/>
      <c r="E506" s="25"/>
      <c r="F506" s="25"/>
      <c r="G506" s="14"/>
      <c r="H506" s="14"/>
      <c r="I506" s="14"/>
      <c r="J506" s="7"/>
      <c r="K506" s="14"/>
      <c r="L506" s="7"/>
      <c r="M506" s="14"/>
      <c r="N506" s="14"/>
      <c r="O506" s="7"/>
      <c r="P506" s="13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 x14ac:dyDescent="0.25">
      <c r="A507" s="14"/>
      <c r="B507" s="14"/>
      <c r="C507" s="14"/>
      <c r="D507" s="14"/>
      <c r="E507" s="25"/>
      <c r="F507" s="25"/>
      <c r="G507" s="14"/>
      <c r="H507" s="14"/>
      <c r="I507" s="14"/>
      <c r="J507" s="7"/>
      <c r="K507" s="14"/>
      <c r="L507" s="7"/>
      <c r="M507" s="14"/>
      <c r="N507" s="14"/>
      <c r="O507" s="7"/>
      <c r="P507" s="13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 x14ac:dyDescent="0.25">
      <c r="A508" s="14"/>
      <c r="B508" s="14"/>
      <c r="C508" s="14"/>
      <c r="D508" s="14"/>
      <c r="E508" s="25"/>
      <c r="F508" s="25"/>
      <c r="G508" s="14"/>
      <c r="H508" s="14"/>
      <c r="I508" s="14"/>
      <c r="J508" s="7"/>
      <c r="K508" s="14"/>
      <c r="L508" s="7"/>
      <c r="M508" s="14"/>
      <c r="N508" s="14"/>
      <c r="O508" s="7"/>
      <c r="P508" s="13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 x14ac:dyDescent="0.25">
      <c r="A509" s="14"/>
      <c r="B509" s="14"/>
      <c r="C509" s="14"/>
      <c r="D509" s="14"/>
      <c r="E509" s="25"/>
      <c r="F509" s="25"/>
      <c r="G509" s="14"/>
      <c r="H509" s="14"/>
      <c r="I509" s="14"/>
      <c r="J509" s="7"/>
      <c r="K509" s="14"/>
      <c r="L509" s="7"/>
      <c r="M509" s="14"/>
      <c r="N509" s="14"/>
      <c r="O509" s="7"/>
      <c r="P509" s="13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 x14ac:dyDescent="0.25">
      <c r="A510" s="14"/>
      <c r="B510" s="14"/>
      <c r="C510" s="14"/>
      <c r="D510" s="14"/>
      <c r="E510" s="25"/>
      <c r="F510" s="25"/>
      <c r="G510" s="14"/>
      <c r="H510" s="14"/>
      <c r="I510" s="14"/>
      <c r="J510" s="7"/>
      <c r="K510" s="14"/>
      <c r="L510" s="7"/>
      <c r="M510" s="14"/>
      <c r="N510" s="14"/>
      <c r="O510" s="7"/>
      <c r="P510" s="13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 x14ac:dyDescent="0.25">
      <c r="A511" s="14"/>
      <c r="B511" s="14"/>
      <c r="C511" s="14"/>
      <c r="D511" s="14"/>
      <c r="E511" s="25"/>
      <c r="F511" s="25"/>
      <c r="G511" s="14"/>
      <c r="H511" s="14"/>
      <c r="I511" s="14"/>
      <c r="J511" s="7"/>
      <c r="K511" s="14"/>
      <c r="L511" s="7"/>
      <c r="M511" s="14"/>
      <c r="N511" s="14"/>
      <c r="O511" s="7"/>
      <c r="P511" s="13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 x14ac:dyDescent="0.25">
      <c r="A512" s="14"/>
      <c r="B512" s="14"/>
      <c r="C512" s="14"/>
      <c r="D512" s="14"/>
      <c r="E512" s="25"/>
      <c r="F512" s="25"/>
      <c r="G512" s="14"/>
      <c r="H512" s="14"/>
      <c r="I512" s="14"/>
      <c r="J512" s="7"/>
      <c r="K512" s="14"/>
      <c r="L512" s="7"/>
      <c r="M512" s="14"/>
      <c r="N512" s="14"/>
      <c r="O512" s="7"/>
      <c r="P512" s="13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 x14ac:dyDescent="0.25">
      <c r="A513" s="14"/>
      <c r="B513" s="14"/>
      <c r="C513" s="14"/>
      <c r="D513" s="14"/>
      <c r="E513" s="25"/>
      <c r="F513" s="25"/>
      <c r="G513" s="14"/>
      <c r="H513" s="14"/>
      <c r="I513" s="14"/>
      <c r="J513" s="7"/>
      <c r="K513" s="14"/>
      <c r="L513" s="7"/>
      <c r="M513" s="14"/>
      <c r="N513" s="14"/>
      <c r="O513" s="7"/>
      <c r="P513" s="13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 x14ac:dyDescent="0.25">
      <c r="A514" s="14"/>
      <c r="B514" s="14"/>
      <c r="C514" s="14"/>
      <c r="D514" s="14"/>
      <c r="E514" s="25"/>
      <c r="F514" s="25"/>
      <c r="G514" s="14"/>
      <c r="H514" s="14"/>
      <c r="I514" s="14"/>
      <c r="J514" s="7"/>
      <c r="K514" s="14"/>
      <c r="L514" s="7"/>
      <c r="M514" s="14"/>
      <c r="N514" s="14"/>
      <c r="O514" s="7"/>
      <c r="P514" s="13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 x14ac:dyDescent="0.25">
      <c r="A515" s="14"/>
      <c r="B515" s="14"/>
      <c r="C515" s="14"/>
      <c r="D515" s="14"/>
      <c r="E515" s="25"/>
      <c r="F515" s="25"/>
      <c r="G515" s="14"/>
      <c r="H515" s="14"/>
      <c r="I515" s="14"/>
      <c r="J515" s="7"/>
      <c r="K515" s="14"/>
      <c r="L515" s="7"/>
      <c r="M515" s="14"/>
      <c r="N515" s="14"/>
      <c r="O515" s="7"/>
      <c r="P515" s="13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 x14ac:dyDescent="0.25">
      <c r="A516" s="14"/>
      <c r="B516" s="14"/>
      <c r="C516" s="14"/>
      <c r="D516" s="14"/>
      <c r="E516" s="25"/>
      <c r="F516" s="25"/>
      <c r="G516" s="14"/>
      <c r="H516" s="14"/>
      <c r="I516" s="14"/>
      <c r="J516" s="7"/>
      <c r="K516" s="14"/>
      <c r="L516" s="7"/>
      <c r="M516" s="14"/>
      <c r="N516" s="14"/>
      <c r="O516" s="7"/>
      <c r="P516" s="13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 x14ac:dyDescent="0.25">
      <c r="A517" s="14"/>
      <c r="B517" s="14"/>
      <c r="C517" s="14"/>
      <c r="D517" s="14"/>
      <c r="E517" s="25"/>
      <c r="F517" s="25"/>
      <c r="G517" s="14"/>
      <c r="H517" s="14"/>
      <c r="I517" s="14"/>
      <c r="J517" s="7"/>
      <c r="K517" s="14"/>
      <c r="L517" s="7"/>
      <c r="M517" s="14"/>
      <c r="N517" s="14"/>
      <c r="O517" s="7"/>
      <c r="P517" s="13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 x14ac:dyDescent="0.25">
      <c r="A518" s="14"/>
      <c r="B518" s="14"/>
      <c r="C518" s="14"/>
      <c r="D518" s="14"/>
      <c r="E518" s="25"/>
      <c r="F518" s="25"/>
      <c r="G518" s="14"/>
      <c r="H518" s="14"/>
      <c r="I518" s="14"/>
      <c r="J518" s="7"/>
      <c r="K518" s="14"/>
      <c r="L518" s="7"/>
      <c r="M518" s="14"/>
      <c r="N518" s="14"/>
      <c r="O518" s="7"/>
      <c r="P518" s="13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 x14ac:dyDescent="0.25">
      <c r="A519" s="14"/>
      <c r="B519" s="14"/>
      <c r="C519" s="14"/>
      <c r="D519" s="14"/>
      <c r="E519" s="25"/>
      <c r="F519" s="25"/>
      <c r="G519" s="14"/>
      <c r="H519" s="14"/>
      <c r="I519" s="14"/>
      <c r="J519" s="7"/>
      <c r="K519" s="14"/>
      <c r="L519" s="7"/>
      <c r="M519" s="14"/>
      <c r="N519" s="14"/>
      <c r="O519" s="7"/>
      <c r="P519" s="13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 x14ac:dyDescent="0.25">
      <c r="A520" s="14"/>
      <c r="B520" s="14"/>
      <c r="C520" s="14"/>
      <c r="D520" s="14"/>
      <c r="E520" s="25"/>
      <c r="F520" s="25"/>
      <c r="G520" s="14"/>
      <c r="H520" s="14"/>
      <c r="I520" s="14"/>
      <c r="J520" s="7"/>
      <c r="K520" s="14"/>
      <c r="L520" s="7"/>
      <c r="M520" s="14"/>
      <c r="N520" s="14"/>
      <c r="O520" s="7"/>
      <c r="P520" s="13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 x14ac:dyDescent="0.25">
      <c r="A521" s="14"/>
      <c r="B521" s="14"/>
      <c r="C521" s="14"/>
      <c r="D521" s="14"/>
      <c r="E521" s="25"/>
      <c r="F521" s="25"/>
      <c r="G521" s="14"/>
      <c r="H521" s="14"/>
      <c r="I521" s="14"/>
      <c r="J521" s="7"/>
      <c r="K521" s="14"/>
      <c r="L521" s="7"/>
      <c r="M521" s="14"/>
      <c r="N521" s="14"/>
      <c r="O521" s="7"/>
      <c r="P521" s="13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 x14ac:dyDescent="0.25">
      <c r="A522" s="14"/>
      <c r="B522" s="14"/>
      <c r="C522" s="14"/>
      <c r="D522" s="14"/>
      <c r="E522" s="25"/>
      <c r="F522" s="25"/>
      <c r="G522" s="14"/>
      <c r="H522" s="14"/>
      <c r="I522" s="14"/>
      <c r="J522" s="7"/>
      <c r="K522" s="14"/>
      <c r="L522" s="7"/>
      <c r="M522" s="14"/>
      <c r="N522" s="14"/>
      <c r="O522" s="7"/>
      <c r="P522" s="13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 x14ac:dyDescent="0.25">
      <c r="A523" s="14"/>
      <c r="B523" s="14"/>
      <c r="C523" s="14"/>
      <c r="D523" s="14"/>
      <c r="E523" s="25"/>
      <c r="F523" s="25"/>
      <c r="G523" s="14"/>
      <c r="H523" s="14"/>
      <c r="I523" s="14"/>
      <c r="J523" s="7"/>
      <c r="K523" s="14"/>
      <c r="L523" s="7"/>
      <c r="M523" s="14"/>
      <c r="N523" s="14"/>
      <c r="O523" s="7"/>
      <c r="P523" s="13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 x14ac:dyDescent="0.25">
      <c r="A524" s="14"/>
      <c r="B524" s="14"/>
      <c r="C524" s="14"/>
      <c r="D524" s="14"/>
      <c r="E524" s="25"/>
      <c r="F524" s="25"/>
      <c r="G524" s="14"/>
      <c r="H524" s="14"/>
      <c r="I524" s="14"/>
      <c r="J524" s="7"/>
      <c r="K524" s="14"/>
      <c r="L524" s="7"/>
      <c r="M524" s="14"/>
      <c r="N524" s="14"/>
      <c r="O524" s="7"/>
      <c r="P524" s="13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 x14ac:dyDescent="0.25">
      <c r="A525" s="14"/>
      <c r="B525" s="14"/>
      <c r="C525" s="14"/>
      <c r="D525" s="14"/>
      <c r="E525" s="25"/>
      <c r="F525" s="25"/>
      <c r="G525" s="14"/>
      <c r="H525" s="14"/>
      <c r="I525" s="14"/>
      <c r="J525" s="7"/>
      <c r="K525" s="14"/>
      <c r="L525" s="7"/>
      <c r="M525" s="14"/>
      <c r="N525" s="14"/>
      <c r="O525" s="7"/>
      <c r="P525" s="13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 x14ac:dyDescent="0.25">
      <c r="A526" s="14"/>
      <c r="B526" s="14"/>
      <c r="C526" s="14"/>
      <c r="D526" s="14"/>
      <c r="E526" s="25"/>
      <c r="F526" s="25"/>
      <c r="G526" s="14"/>
      <c r="H526" s="14"/>
      <c r="I526" s="14"/>
      <c r="J526" s="7"/>
      <c r="K526" s="14"/>
      <c r="L526" s="7"/>
      <c r="M526" s="14"/>
      <c r="N526" s="14"/>
      <c r="O526" s="7"/>
      <c r="P526" s="13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 x14ac:dyDescent="0.25">
      <c r="A527" s="14"/>
      <c r="B527" s="14"/>
      <c r="C527" s="14"/>
      <c r="D527" s="14"/>
      <c r="E527" s="25"/>
      <c r="F527" s="25"/>
      <c r="G527" s="14"/>
      <c r="H527" s="14"/>
      <c r="I527" s="14"/>
      <c r="J527" s="7"/>
      <c r="K527" s="14"/>
      <c r="L527" s="7"/>
      <c r="M527" s="14"/>
      <c r="N527" s="14"/>
      <c r="O527" s="7"/>
      <c r="P527" s="13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 x14ac:dyDescent="0.25">
      <c r="A528" s="14"/>
      <c r="B528" s="14"/>
      <c r="C528" s="14"/>
      <c r="D528" s="14"/>
      <c r="E528" s="25"/>
      <c r="F528" s="25"/>
      <c r="G528" s="14"/>
      <c r="H528" s="14"/>
      <c r="I528" s="14"/>
      <c r="J528" s="7"/>
      <c r="K528" s="14"/>
      <c r="L528" s="7"/>
      <c r="M528" s="14"/>
      <c r="N528" s="14"/>
      <c r="O528" s="7"/>
      <c r="P528" s="13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 x14ac:dyDescent="0.25">
      <c r="A529" s="14"/>
      <c r="B529" s="14"/>
      <c r="C529" s="14"/>
      <c r="D529" s="14"/>
      <c r="E529" s="25"/>
      <c r="F529" s="25"/>
      <c r="G529" s="14"/>
      <c r="H529" s="14"/>
      <c r="I529" s="14"/>
      <c r="J529" s="7"/>
      <c r="K529" s="14"/>
      <c r="L529" s="7"/>
      <c r="M529" s="14"/>
      <c r="N529" s="14"/>
      <c r="O529" s="7"/>
      <c r="P529" s="13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 x14ac:dyDescent="0.25">
      <c r="A530" s="14"/>
      <c r="B530" s="14"/>
      <c r="C530" s="14"/>
      <c r="D530" s="14"/>
      <c r="E530" s="25"/>
      <c r="F530" s="25"/>
      <c r="G530" s="14"/>
      <c r="H530" s="14"/>
      <c r="I530" s="14"/>
      <c r="J530" s="7"/>
      <c r="K530" s="14"/>
      <c r="L530" s="7"/>
      <c r="M530" s="14"/>
      <c r="N530" s="14"/>
      <c r="O530" s="7"/>
      <c r="P530" s="13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 x14ac:dyDescent="0.25">
      <c r="A531" s="14"/>
      <c r="B531" s="14"/>
      <c r="C531" s="14"/>
      <c r="D531" s="14"/>
      <c r="E531" s="25"/>
      <c r="F531" s="25"/>
      <c r="G531" s="14"/>
      <c r="H531" s="14"/>
      <c r="I531" s="14"/>
      <c r="J531" s="7"/>
      <c r="K531" s="14"/>
      <c r="L531" s="7"/>
      <c r="M531" s="14"/>
      <c r="N531" s="14"/>
      <c r="O531" s="7"/>
      <c r="P531" s="13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 x14ac:dyDescent="0.25">
      <c r="A532" s="14"/>
      <c r="B532" s="14"/>
      <c r="C532" s="14"/>
      <c r="D532" s="14"/>
      <c r="E532" s="25"/>
      <c r="F532" s="25"/>
      <c r="G532" s="14"/>
      <c r="H532" s="14"/>
      <c r="I532" s="14"/>
      <c r="J532" s="7"/>
      <c r="K532" s="14"/>
      <c r="L532" s="7"/>
      <c r="M532" s="14"/>
      <c r="N532" s="14"/>
      <c r="O532" s="7"/>
      <c r="P532" s="13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 x14ac:dyDescent="0.25">
      <c r="A533" s="14"/>
      <c r="B533" s="14"/>
      <c r="C533" s="14"/>
      <c r="D533" s="14"/>
      <c r="E533" s="25"/>
      <c r="F533" s="25"/>
      <c r="G533" s="14"/>
      <c r="H533" s="14"/>
      <c r="I533" s="14"/>
      <c r="J533" s="7"/>
      <c r="K533" s="14"/>
      <c r="L533" s="7"/>
      <c r="M533" s="14"/>
      <c r="N533" s="14"/>
      <c r="O533" s="7"/>
      <c r="P533" s="13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 x14ac:dyDescent="0.25">
      <c r="A534" s="14"/>
      <c r="B534" s="14"/>
      <c r="C534" s="14"/>
      <c r="D534" s="14"/>
      <c r="E534" s="25"/>
      <c r="F534" s="25"/>
      <c r="G534" s="14"/>
      <c r="H534" s="14"/>
      <c r="I534" s="14"/>
      <c r="J534" s="7"/>
      <c r="K534" s="14"/>
      <c r="L534" s="7"/>
      <c r="M534" s="14"/>
      <c r="N534" s="14"/>
      <c r="O534" s="7"/>
      <c r="P534" s="13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 x14ac:dyDescent="0.25">
      <c r="A535" s="14"/>
      <c r="B535" s="14"/>
      <c r="C535" s="14"/>
      <c r="D535" s="14"/>
      <c r="E535" s="25"/>
      <c r="F535" s="25"/>
      <c r="G535" s="14"/>
      <c r="H535" s="14"/>
      <c r="I535" s="14"/>
      <c r="J535" s="7"/>
      <c r="K535" s="14"/>
      <c r="L535" s="7"/>
      <c r="M535" s="14"/>
      <c r="N535" s="14"/>
      <c r="O535" s="7"/>
      <c r="P535" s="13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 x14ac:dyDescent="0.25">
      <c r="A536" s="14"/>
      <c r="B536" s="14"/>
      <c r="C536" s="14"/>
      <c r="D536" s="14"/>
      <c r="E536" s="25"/>
      <c r="F536" s="25"/>
      <c r="G536" s="14"/>
      <c r="H536" s="14"/>
      <c r="I536" s="14"/>
      <c r="J536" s="7"/>
      <c r="K536" s="14"/>
      <c r="L536" s="7"/>
      <c r="M536" s="14"/>
      <c r="N536" s="14"/>
      <c r="O536" s="7"/>
      <c r="P536" s="13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 x14ac:dyDescent="0.25">
      <c r="A537" s="14"/>
      <c r="B537" s="14"/>
      <c r="C537" s="14"/>
      <c r="D537" s="14"/>
      <c r="E537" s="25"/>
      <c r="F537" s="25"/>
      <c r="G537" s="14"/>
      <c r="H537" s="14"/>
      <c r="I537" s="14"/>
      <c r="J537" s="7"/>
      <c r="K537" s="14"/>
      <c r="L537" s="7"/>
      <c r="M537" s="14"/>
      <c r="N537" s="14"/>
      <c r="O537" s="7"/>
      <c r="P537" s="13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 x14ac:dyDescent="0.25">
      <c r="A538" s="14"/>
      <c r="B538" s="14"/>
      <c r="C538" s="14"/>
      <c r="D538" s="14"/>
      <c r="E538" s="25"/>
      <c r="F538" s="25"/>
      <c r="G538" s="14"/>
      <c r="H538" s="14"/>
      <c r="I538" s="14"/>
      <c r="J538" s="7"/>
      <c r="K538" s="14"/>
      <c r="L538" s="7"/>
      <c r="M538" s="14"/>
      <c r="N538" s="14"/>
      <c r="O538" s="7"/>
      <c r="P538" s="13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 x14ac:dyDescent="0.25">
      <c r="A539" s="14"/>
      <c r="B539" s="14"/>
      <c r="C539" s="14"/>
      <c r="D539" s="14"/>
      <c r="E539" s="25"/>
      <c r="F539" s="25"/>
      <c r="G539" s="14"/>
      <c r="H539" s="14"/>
      <c r="I539" s="14"/>
      <c r="J539" s="7"/>
      <c r="K539" s="14"/>
      <c r="L539" s="7"/>
      <c r="M539" s="14"/>
      <c r="N539" s="14"/>
      <c r="O539" s="7"/>
      <c r="P539" s="13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 x14ac:dyDescent="0.25">
      <c r="A540" s="14"/>
      <c r="B540" s="14"/>
      <c r="C540" s="14"/>
      <c r="D540" s="14"/>
      <c r="E540" s="25"/>
      <c r="F540" s="25"/>
      <c r="G540" s="14"/>
      <c r="H540" s="14"/>
      <c r="I540" s="14"/>
      <c r="J540" s="7"/>
      <c r="K540" s="14"/>
      <c r="L540" s="7"/>
      <c r="M540" s="14"/>
      <c r="N540" s="14"/>
      <c r="O540" s="7"/>
      <c r="P540" s="13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 x14ac:dyDescent="0.25">
      <c r="A541" s="14"/>
      <c r="B541" s="14"/>
      <c r="C541" s="14"/>
      <c r="D541" s="14"/>
      <c r="E541" s="25"/>
      <c r="F541" s="25"/>
      <c r="G541" s="14"/>
      <c r="H541" s="14"/>
      <c r="I541" s="14"/>
      <c r="J541" s="7"/>
      <c r="K541" s="14"/>
      <c r="L541" s="7"/>
      <c r="M541" s="14"/>
      <c r="N541" s="14"/>
      <c r="O541" s="7"/>
      <c r="P541" s="13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 x14ac:dyDescent="0.25">
      <c r="A542" s="14"/>
      <c r="B542" s="14"/>
      <c r="C542" s="14"/>
      <c r="D542" s="14"/>
      <c r="E542" s="25"/>
      <c r="F542" s="25"/>
      <c r="G542" s="14"/>
      <c r="H542" s="14"/>
      <c r="I542" s="14"/>
      <c r="J542" s="7"/>
      <c r="K542" s="14"/>
      <c r="L542" s="7"/>
      <c r="M542" s="14"/>
      <c r="N542" s="14"/>
      <c r="O542" s="7"/>
      <c r="P542" s="13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 x14ac:dyDescent="0.25">
      <c r="A543" s="14"/>
      <c r="B543" s="14"/>
      <c r="C543" s="14"/>
      <c r="D543" s="14"/>
      <c r="E543" s="25"/>
      <c r="F543" s="25"/>
      <c r="G543" s="14"/>
      <c r="H543" s="14"/>
      <c r="I543" s="14"/>
      <c r="J543" s="7"/>
      <c r="K543" s="14"/>
      <c r="L543" s="7"/>
      <c r="M543" s="14"/>
      <c r="N543" s="14"/>
      <c r="O543" s="7"/>
      <c r="P543" s="13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 x14ac:dyDescent="0.25">
      <c r="A544" s="14"/>
      <c r="B544" s="14"/>
      <c r="C544" s="14"/>
      <c r="D544" s="14"/>
      <c r="E544" s="25"/>
      <c r="F544" s="25"/>
      <c r="G544" s="14"/>
      <c r="H544" s="14"/>
      <c r="I544" s="14"/>
      <c r="J544" s="7"/>
      <c r="K544" s="14"/>
      <c r="L544" s="7"/>
      <c r="M544" s="14"/>
      <c r="N544" s="14"/>
      <c r="O544" s="7"/>
      <c r="P544" s="13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 x14ac:dyDescent="0.25">
      <c r="A545" s="14"/>
      <c r="B545" s="14"/>
      <c r="C545" s="14"/>
      <c r="D545" s="14"/>
      <c r="E545" s="25"/>
      <c r="F545" s="25"/>
      <c r="G545" s="14"/>
      <c r="H545" s="14"/>
      <c r="I545" s="14"/>
      <c r="J545" s="7"/>
      <c r="K545" s="14"/>
      <c r="L545" s="7"/>
      <c r="M545" s="14"/>
      <c r="N545" s="14"/>
      <c r="O545" s="7"/>
      <c r="P545" s="13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 x14ac:dyDescent="0.25">
      <c r="A546" s="14"/>
      <c r="B546" s="14"/>
      <c r="C546" s="14"/>
      <c r="D546" s="14"/>
      <c r="E546" s="25"/>
      <c r="F546" s="25"/>
      <c r="G546" s="14"/>
      <c r="H546" s="14"/>
      <c r="I546" s="14"/>
      <c r="J546" s="7"/>
      <c r="K546" s="14"/>
      <c r="L546" s="7"/>
      <c r="M546" s="14"/>
      <c r="N546" s="14"/>
      <c r="O546" s="7"/>
      <c r="P546" s="13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 x14ac:dyDescent="0.25">
      <c r="A547" s="14"/>
      <c r="B547" s="14"/>
      <c r="C547" s="14"/>
      <c r="D547" s="14"/>
      <c r="E547" s="25"/>
      <c r="F547" s="25"/>
      <c r="G547" s="14"/>
      <c r="H547" s="14"/>
      <c r="I547" s="14"/>
      <c r="J547" s="7"/>
      <c r="K547" s="14"/>
      <c r="L547" s="7"/>
      <c r="M547" s="14"/>
      <c r="N547" s="14"/>
      <c r="O547" s="7"/>
      <c r="P547" s="13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 x14ac:dyDescent="0.25">
      <c r="A548" s="14"/>
      <c r="B548" s="14"/>
      <c r="C548" s="14"/>
      <c r="D548" s="14"/>
      <c r="E548" s="25"/>
      <c r="F548" s="25"/>
      <c r="G548" s="14"/>
      <c r="H548" s="14"/>
      <c r="I548" s="14"/>
      <c r="J548" s="7"/>
      <c r="K548" s="14"/>
      <c r="L548" s="7"/>
      <c r="M548" s="14"/>
      <c r="N548" s="14"/>
      <c r="O548" s="7"/>
      <c r="P548" s="13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 x14ac:dyDescent="0.25">
      <c r="A549" s="14"/>
      <c r="B549" s="14"/>
      <c r="C549" s="14"/>
      <c r="D549" s="14"/>
      <c r="E549" s="25"/>
      <c r="F549" s="25"/>
      <c r="G549" s="14"/>
      <c r="H549" s="14"/>
      <c r="I549" s="14"/>
      <c r="J549" s="7"/>
      <c r="K549" s="14"/>
      <c r="L549" s="7"/>
      <c r="M549" s="14"/>
      <c r="N549" s="14"/>
      <c r="O549" s="7"/>
      <c r="P549" s="13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 x14ac:dyDescent="0.25">
      <c r="A550" s="14"/>
      <c r="B550" s="14"/>
      <c r="C550" s="14"/>
      <c r="D550" s="14"/>
      <c r="E550" s="25"/>
      <c r="F550" s="25"/>
      <c r="G550" s="14"/>
      <c r="H550" s="14"/>
      <c r="I550" s="14"/>
      <c r="J550" s="7"/>
      <c r="K550" s="14"/>
      <c r="L550" s="7"/>
      <c r="M550" s="14"/>
      <c r="N550" s="14"/>
      <c r="O550" s="7"/>
      <c r="P550" s="13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 x14ac:dyDescent="0.25">
      <c r="A551" s="14"/>
      <c r="B551" s="14"/>
      <c r="C551" s="14"/>
      <c r="D551" s="14"/>
      <c r="E551" s="25"/>
      <c r="F551" s="25"/>
      <c r="G551" s="14"/>
      <c r="H551" s="14"/>
      <c r="I551" s="14"/>
      <c r="J551" s="7"/>
      <c r="K551" s="14"/>
      <c r="L551" s="7"/>
      <c r="M551" s="14"/>
      <c r="N551" s="14"/>
      <c r="O551" s="7"/>
      <c r="P551" s="13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 x14ac:dyDescent="0.25">
      <c r="A552" s="14"/>
      <c r="B552" s="14"/>
      <c r="C552" s="14"/>
      <c r="D552" s="14"/>
      <c r="E552" s="25"/>
      <c r="F552" s="25"/>
      <c r="G552" s="14"/>
      <c r="H552" s="14"/>
      <c r="I552" s="14"/>
      <c r="J552" s="7"/>
      <c r="K552" s="14"/>
      <c r="L552" s="7"/>
      <c r="M552" s="14"/>
      <c r="N552" s="14"/>
      <c r="O552" s="7"/>
      <c r="P552" s="13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 x14ac:dyDescent="0.25">
      <c r="A553" s="14"/>
      <c r="B553" s="14"/>
      <c r="C553" s="14"/>
      <c r="D553" s="14"/>
      <c r="E553" s="25"/>
      <c r="F553" s="25"/>
      <c r="G553" s="14"/>
      <c r="H553" s="14"/>
      <c r="I553" s="14"/>
      <c r="J553" s="7"/>
      <c r="K553" s="14"/>
      <c r="L553" s="7"/>
      <c r="M553" s="14"/>
      <c r="N553" s="14"/>
      <c r="O553" s="7"/>
      <c r="P553" s="13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 x14ac:dyDescent="0.25">
      <c r="A554" s="14"/>
      <c r="B554" s="14"/>
      <c r="C554" s="14"/>
      <c r="D554" s="14"/>
      <c r="E554" s="25"/>
      <c r="F554" s="25"/>
      <c r="G554" s="14"/>
      <c r="H554" s="14"/>
      <c r="I554" s="14"/>
      <c r="J554" s="7"/>
      <c r="K554" s="14"/>
      <c r="L554" s="7"/>
      <c r="M554" s="14"/>
      <c r="N554" s="14"/>
      <c r="O554" s="7"/>
      <c r="P554" s="13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 x14ac:dyDescent="0.25">
      <c r="A555" s="14"/>
      <c r="B555" s="14"/>
      <c r="C555" s="14"/>
      <c r="D555" s="14"/>
      <c r="E555" s="25"/>
      <c r="F555" s="25"/>
      <c r="G555" s="14"/>
      <c r="H555" s="14"/>
      <c r="I555" s="14"/>
      <c r="J555" s="7"/>
      <c r="K555" s="14"/>
      <c r="L555" s="7"/>
      <c r="M555" s="14"/>
      <c r="N555" s="14"/>
      <c r="O555" s="7"/>
      <c r="P555" s="13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 x14ac:dyDescent="0.25">
      <c r="A556" s="14"/>
      <c r="B556" s="14"/>
      <c r="C556" s="14"/>
      <c r="D556" s="14"/>
      <c r="E556" s="25"/>
      <c r="F556" s="25"/>
      <c r="G556" s="14"/>
      <c r="H556" s="14"/>
      <c r="I556" s="14"/>
      <c r="J556" s="7"/>
      <c r="K556" s="14"/>
      <c r="L556" s="7"/>
      <c r="M556" s="14"/>
      <c r="N556" s="14"/>
      <c r="O556" s="7"/>
      <c r="P556" s="13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 x14ac:dyDescent="0.25">
      <c r="A557" s="14"/>
      <c r="B557" s="14"/>
      <c r="C557" s="14"/>
      <c r="D557" s="14"/>
      <c r="E557" s="25"/>
      <c r="F557" s="25"/>
      <c r="G557" s="14"/>
      <c r="H557" s="14"/>
      <c r="I557" s="14"/>
      <c r="J557" s="7"/>
      <c r="K557" s="14"/>
      <c r="L557" s="7"/>
      <c r="M557" s="14"/>
      <c r="N557" s="14"/>
      <c r="O557" s="7"/>
      <c r="P557" s="13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 x14ac:dyDescent="0.25">
      <c r="A558" s="14"/>
      <c r="B558" s="14"/>
      <c r="C558" s="14"/>
      <c r="D558" s="14"/>
      <c r="E558" s="25"/>
      <c r="F558" s="25"/>
      <c r="G558" s="14"/>
      <c r="H558" s="14"/>
      <c r="I558" s="14"/>
      <c r="J558" s="7"/>
      <c r="K558" s="14"/>
      <c r="L558" s="7"/>
      <c r="M558" s="14"/>
      <c r="N558" s="14"/>
      <c r="O558" s="7"/>
      <c r="P558" s="13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 x14ac:dyDescent="0.25">
      <c r="A559" s="14"/>
      <c r="B559" s="14"/>
      <c r="C559" s="14"/>
      <c r="D559" s="14"/>
      <c r="E559" s="25"/>
      <c r="F559" s="25"/>
      <c r="G559" s="14"/>
      <c r="H559" s="14"/>
      <c r="I559" s="14"/>
      <c r="J559" s="7"/>
      <c r="K559" s="14"/>
      <c r="L559" s="7"/>
      <c r="M559" s="14"/>
      <c r="N559" s="14"/>
      <c r="O559" s="7"/>
      <c r="P559" s="13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 x14ac:dyDescent="0.25">
      <c r="A560" s="14"/>
      <c r="B560" s="14"/>
      <c r="C560" s="14"/>
      <c r="D560" s="14"/>
      <c r="E560" s="25"/>
      <c r="F560" s="25"/>
      <c r="G560" s="14"/>
      <c r="H560" s="14"/>
      <c r="I560" s="14"/>
      <c r="J560" s="7"/>
      <c r="K560" s="14"/>
      <c r="L560" s="7"/>
      <c r="M560" s="14"/>
      <c r="N560" s="14"/>
      <c r="O560" s="7"/>
      <c r="P560" s="13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 x14ac:dyDescent="0.25">
      <c r="A561" s="14"/>
      <c r="B561" s="14"/>
      <c r="C561" s="14"/>
      <c r="D561" s="14"/>
      <c r="E561" s="25"/>
      <c r="F561" s="25"/>
      <c r="G561" s="14"/>
      <c r="H561" s="14"/>
      <c r="I561" s="14"/>
      <c r="J561" s="7"/>
      <c r="K561" s="14"/>
      <c r="L561" s="7"/>
      <c r="M561" s="14"/>
      <c r="N561" s="14"/>
      <c r="O561" s="7"/>
      <c r="P561" s="13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 x14ac:dyDescent="0.25">
      <c r="A562" s="14"/>
      <c r="B562" s="14"/>
      <c r="C562" s="14"/>
      <c r="D562" s="14"/>
      <c r="E562" s="25"/>
      <c r="F562" s="25"/>
      <c r="G562" s="14"/>
      <c r="H562" s="14"/>
      <c r="I562" s="14"/>
      <c r="J562" s="7"/>
      <c r="K562" s="14"/>
      <c r="L562" s="7"/>
      <c r="M562" s="14"/>
      <c r="N562" s="14"/>
      <c r="O562" s="7"/>
      <c r="P562" s="13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 x14ac:dyDescent="0.25">
      <c r="A563" s="14"/>
      <c r="B563" s="14"/>
      <c r="C563" s="14"/>
      <c r="D563" s="14"/>
      <c r="E563" s="25"/>
      <c r="F563" s="25"/>
      <c r="G563" s="14"/>
      <c r="H563" s="14"/>
      <c r="I563" s="14"/>
      <c r="J563" s="7"/>
      <c r="K563" s="14"/>
      <c r="L563" s="7"/>
      <c r="M563" s="14"/>
      <c r="N563" s="14"/>
      <c r="O563" s="7"/>
      <c r="P563" s="13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 x14ac:dyDescent="0.25">
      <c r="A564" s="14"/>
      <c r="B564" s="14"/>
      <c r="C564" s="14"/>
      <c r="D564" s="14"/>
      <c r="E564" s="25"/>
      <c r="F564" s="25"/>
      <c r="G564" s="14"/>
      <c r="H564" s="14"/>
      <c r="I564" s="14"/>
      <c r="J564" s="7"/>
      <c r="K564" s="14"/>
      <c r="L564" s="7"/>
      <c r="M564" s="14"/>
      <c r="N564" s="14"/>
      <c r="O564" s="7"/>
      <c r="P564" s="13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 x14ac:dyDescent="0.25">
      <c r="A565" s="14"/>
      <c r="B565" s="14"/>
      <c r="C565" s="14"/>
      <c r="D565" s="14"/>
      <c r="E565" s="25"/>
      <c r="F565" s="25"/>
      <c r="G565" s="14"/>
      <c r="H565" s="14"/>
      <c r="I565" s="14"/>
      <c r="J565" s="7"/>
      <c r="K565" s="14"/>
      <c r="L565" s="7"/>
      <c r="M565" s="14"/>
      <c r="N565" s="14"/>
      <c r="O565" s="7"/>
      <c r="P565" s="13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 x14ac:dyDescent="0.25">
      <c r="A566" s="14"/>
      <c r="B566" s="14"/>
      <c r="C566" s="14"/>
      <c r="D566" s="14"/>
      <c r="E566" s="25"/>
      <c r="F566" s="25"/>
      <c r="G566" s="14"/>
      <c r="H566" s="14"/>
      <c r="I566" s="14"/>
      <c r="J566" s="7"/>
      <c r="K566" s="14"/>
      <c r="L566" s="7"/>
      <c r="M566" s="14"/>
      <c r="N566" s="14"/>
      <c r="O566" s="7"/>
      <c r="P566" s="13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 x14ac:dyDescent="0.25">
      <c r="A567" s="14"/>
      <c r="B567" s="14"/>
      <c r="C567" s="14"/>
      <c r="D567" s="14"/>
      <c r="E567" s="25"/>
      <c r="F567" s="25"/>
      <c r="G567" s="14"/>
      <c r="H567" s="14"/>
      <c r="I567" s="14"/>
      <c r="J567" s="7"/>
      <c r="K567" s="14"/>
      <c r="L567" s="7"/>
      <c r="M567" s="14"/>
      <c r="N567" s="14"/>
      <c r="O567" s="7"/>
      <c r="P567" s="13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 x14ac:dyDescent="0.25">
      <c r="A568" s="14"/>
      <c r="B568" s="14"/>
      <c r="C568" s="14"/>
      <c r="D568" s="14"/>
      <c r="E568" s="25"/>
      <c r="F568" s="25"/>
      <c r="G568" s="14"/>
      <c r="H568" s="14"/>
      <c r="I568" s="14"/>
      <c r="J568" s="7"/>
      <c r="K568" s="14"/>
      <c r="L568" s="7"/>
      <c r="M568" s="14"/>
      <c r="N568" s="14"/>
      <c r="O568" s="7"/>
      <c r="P568" s="13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 x14ac:dyDescent="0.25">
      <c r="A569" s="14"/>
      <c r="B569" s="14"/>
      <c r="C569" s="14"/>
      <c r="D569" s="14"/>
      <c r="E569" s="25"/>
      <c r="F569" s="25"/>
      <c r="G569" s="14"/>
      <c r="H569" s="14"/>
      <c r="I569" s="14"/>
      <c r="J569" s="7"/>
      <c r="K569" s="14"/>
      <c r="L569" s="7"/>
      <c r="M569" s="14"/>
      <c r="N569" s="14"/>
      <c r="O569" s="7"/>
      <c r="P569" s="13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 x14ac:dyDescent="0.25">
      <c r="A570" s="14"/>
      <c r="B570" s="14"/>
      <c r="C570" s="14"/>
      <c r="D570" s="14"/>
      <c r="E570" s="25"/>
      <c r="F570" s="25"/>
      <c r="G570" s="14"/>
      <c r="H570" s="14"/>
      <c r="I570" s="14"/>
      <c r="J570" s="7"/>
      <c r="K570" s="14"/>
      <c r="L570" s="7"/>
      <c r="M570" s="14"/>
      <c r="N570" s="14"/>
      <c r="O570" s="7"/>
      <c r="P570" s="13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 x14ac:dyDescent="0.25">
      <c r="A571" s="14"/>
      <c r="B571" s="14"/>
      <c r="C571" s="14"/>
      <c r="D571" s="14"/>
      <c r="E571" s="25"/>
      <c r="F571" s="25"/>
      <c r="G571" s="14"/>
      <c r="H571" s="14"/>
      <c r="I571" s="14"/>
      <c r="J571" s="7"/>
      <c r="K571" s="14"/>
      <c r="L571" s="7"/>
      <c r="M571" s="14"/>
      <c r="N571" s="14"/>
      <c r="O571" s="7"/>
      <c r="P571" s="13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 x14ac:dyDescent="0.25">
      <c r="A572" s="14"/>
      <c r="B572" s="14"/>
      <c r="C572" s="14"/>
      <c r="D572" s="14"/>
      <c r="E572" s="25"/>
      <c r="F572" s="25"/>
      <c r="G572" s="14"/>
      <c r="H572" s="14"/>
      <c r="I572" s="14"/>
      <c r="J572" s="7"/>
      <c r="K572" s="14"/>
      <c r="L572" s="7"/>
      <c r="M572" s="14"/>
      <c r="N572" s="14"/>
      <c r="O572" s="7"/>
      <c r="P572" s="13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 x14ac:dyDescent="0.25">
      <c r="A573" s="14"/>
      <c r="B573" s="14"/>
      <c r="C573" s="14"/>
      <c r="D573" s="14"/>
      <c r="E573" s="25"/>
      <c r="F573" s="25"/>
      <c r="G573" s="14"/>
      <c r="H573" s="14"/>
      <c r="I573" s="14"/>
      <c r="J573" s="7"/>
      <c r="K573" s="14"/>
      <c r="L573" s="7"/>
      <c r="M573" s="14"/>
      <c r="N573" s="14"/>
      <c r="O573" s="7"/>
      <c r="P573" s="13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 x14ac:dyDescent="0.25">
      <c r="A574" s="14"/>
      <c r="B574" s="14"/>
      <c r="C574" s="14"/>
      <c r="D574" s="14"/>
      <c r="E574" s="25"/>
      <c r="F574" s="25"/>
      <c r="G574" s="14"/>
      <c r="H574" s="14"/>
      <c r="I574" s="14"/>
      <c r="J574" s="7"/>
      <c r="K574" s="14"/>
      <c r="L574" s="7"/>
      <c r="M574" s="14"/>
      <c r="N574" s="14"/>
      <c r="O574" s="7"/>
      <c r="P574" s="13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 x14ac:dyDescent="0.25">
      <c r="A575" s="14"/>
      <c r="B575" s="14"/>
      <c r="C575" s="14"/>
      <c r="D575" s="14"/>
      <c r="E575" s="25"/>
      <c r="F575" s="25"/>
      <c r="G575" s="14"/>
      <c r="H575" s="14"/>
      <c r="I575" s="14"/>
      <c r="J575" s="7"/>
      <c r="K575" s="14"/>
      <c r="L575" s="7"/>
      <c r="M575" s="14"/>
      <c r="N575" s="14"/>
      <c r="O575" s="7"/>
      <c r="P575" s="13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 x14ac:dyDescent="0.25">
      <c r="A576" s="14"/>
      <c r="B576" s="14"/>
      <c r="C576" s="14"/>
      <c r="D576" s="14"/>
      <c r="E576" s="25"/>
      <c r="F576" s="25"/>
      <c r="G576" s="14"/>
      <c r="H576" s="14"/>
      <c r="I576" s="14"/>
      <c r="J576" s="7"/>
      <c r="K576" s="14"/>
      <c r="L576" s="7"/>
      <c r="M576" s="14"/>
      <c r="N576" s="14"/>
      <c r="O576" s="7"/>
      <c r="P576" s="13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 x14ac:dyDescent="0.25">
      <c r="A577" s="14"/>
      <c r="B577" s="14"/>
      <c r="C577" s="14"/>
      <c r="D577" s="14"/>
      <c r="E577" s="25"/>
      <c r="F577" s="25"/>
      <c r="G577" s="14"/>
      <c r="H577" s="14"/>
      <c r="I577" s="14"/>
      <c r="J577" s="7"/>
      <c r="K577" s="14"/>
      <c r="L577" s="7"/>
      <c r="M577" s="14"/>
      <c r="N577" s="14"/>
      <c r="O577" s="7"/>
      <c r="P577" s="13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 x14ac:dyDescent="0.25">
      <c r="A578" s="14"/>
      <c r="B578" s="14"/>
      <c r="C578" s="14"/>
      <c r="D578" s="14"/>
      <c r="E578" s="25"/>
      <c r="F578" s="25"/>
      <c r="G578" s="14"/>
      <c r="H578" s="14"/>
      <c r="I578" s="14"/>
      <c r="J578" s="7"/>
      <c r="K578" s="14"/>
      <c r="L578" s="7"/>
      <c r="M578" s="14"/>
      <c r="N578" s="14"/>
      <c r="O578" s="7"/>
      <c r="P578" s="13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 x14ac:dyDescent="0.25">
      <c r="A579" s="14"/>
      <c r="B579" s="14"/>
      <c r="C579" s="14"/>
      <c r="D579" s="14"/>
      <c r="E579" s="25"/>
      <c r="F579" s="25"/>
      <c r="G579" s="14"/>
      <c r="H579" s="14"/>
      <c r="I579" s="14"/>
      <c r="J579" s="7"/>
      <c r="K579" s="14"/>
      <c r="L579" s="7"/>
      <c r="M579" s="14"/>
      <c r="N579" s="14"/>
      <c r="O579" s="7"/>
      <c r="P579" s="13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 x14ac:dyDescent="0.25">
      <c r="A580" s="14"/>
      <c r="B580" s="14"/>
      <c r="C580" s="14"/>
      <c r="D580" s="14"/>
      <c r="E580" s="25"/>
      <c r="F580" s="25"/>
      <c r="G580" s="14"/>
      <c r="H580" s="14"/>
      <c r="I580" s="14"/>
      <c r="J580" s="7"/>
      <c r="K580" s="14"/>
      <c r="L580" s="7"/>
      <c r="M580" s="14"/>
      <c r="N580" s="14"/>
      <c r="O580" s="7"/>
      <c r="P580" s="13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 x14ac:dyDescent="0.25">
      <c r="A581" s="14"/>
      <c r="B581" s="14"/>
      <c r="C581" s="14"/>
      <c r="D581" s="14"/>
      <c r="E581" s="25"/>
      <c r="F581" s="25"/>
      <c r="G581" s="14"/>
      <c r="H581" s="14"/>
      <c r="I581" s="14"/>
      <c r="J581" s="7"/>
      <c r="K581" s="14"/>
      <c r="L581" s="7"/>
      <c r="M581" s="14"/>
      <c r="N581" s="14"/>
      <c r="O581" s="7"/>
      <c r="P581" s="13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 x14ac:dyDescent="0.25">
      <c r="A582" s="14"/>
      <c r="B582" s="14"/>
      <c r="C582" s="14"/>
      <c r="D582" s="14"/>
      <c r="E582" s="25"/>
      <c r="F582" s="25"/>
      <c r="G582" s="14"/>
      <c r="H582" s="14"/>
      <c r="I582" s="14"/>
      <c r="J582" s="7"/>
      <c r="K582" s="14"/>
      <c r="L582" s="7"/>
      <c r="M582" s="14"/>
      <c r="N582" s="14"/>
      <c r="O582" s="7"/>
      <c r="P582" s="13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 x14ac:dyDescent="0.25">
      <c r="A583" s="14"/>
      <c r="B583" s="14"/>
      <c r="C583" s="14"/>
      <c r="D583" s="14"/>
      <c r="E583" s="25"/>
      <c r="F583" s="25"/>
      <c r="G583" s="14"/>
      <c r="H583" s="14"/>
      <c r="I583" s="14"/>
      <c r="J583" s="7"/>
      <c r="K583" s="14"/>
      <c r="L583" s="7"/>
      <c r="M583" s="14"/>
      <c r="N583" s="14"/>
      <c r="O583" s="7"/>
      <c r="P583" s="13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 x14ac:dyDescent="0.25">
      <c r="A584" s="14"/>
      <c r="B584" s="14"/>
      <c r="C584" s="14"/>
      <c r="D584" s="14"/>
      <c r="E584" s="25"/>
      <c r="F584" s="25"/>
      <c r="G584" s="14"/>
      <c r="H584" s="14"/>
      <c r="I584" s="14"/>
      <c r="J584" s="7"/>
      <c r="K584" s="14"/>
      <c r="L584" s="7"/>
      <c r="M584" s="14"/>
      <c r="N584" s="14"/>
      <c r="O584" s="7"/>
      <c r="P584" s="13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 x14ac:dyDescent="0.25">
      <c r="A585" s="14"/>
      <c r="B585" s="14"/>
      <c r="C585" s="14"/>
      <c r="D585" s="14"/>
      <c r="E585" s="25"/>
      <c r="F585" s="25"/>
      <c r="G585" s="14"/>
      <c r="H585" s="14"/>
      <c r="I585" s="14"/>
      <c r="J585" s="7"/>
      <c r="K585" s="14"/>
      <c r="L585" s="7"/>
      <c r="M585" s="14"/>
      <c r="N585" s="14"/>
      <c r="O585" s="7"/>
      <c r="P585" s="13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 x14ac:dyDescent="0.25">
      <c r="A586" s="14"/>
      <c r="B586" s="14"/>
      <c r="C586" s="14"/>
      <c r="D586" s="14"/>
      <c r="E586" s="25"/>
      <c r="F586" s="25"/>
      <c r="G586" s="14"/>
      <c r="H586" s="14"/>
      <c r="I586" s="14"/>
      <c r="J586" s="7"/>
      <c r="K586" s="14"/>
      <c r="L586" s="7"/>
      <c r="M586" s="14"/>
      <c r="N586" s="14"/>
      <c r="O586" s="7"/>
      <c r="P586" s="13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 x14ac:dyDescent="0.25">
      <c r="A587" s="14"/>
      <c r="B587" s="14"/>
      <c r="C587" s="14"/>
      <c r="D587" s="14"/>
      <c r="E587" s="25"/>
      <c r="F587" s="25"/>
      <c r="G587" s="14"/>
      <c r="H587" s="14"/>
      <c r="I587" s="14"/>
      <c r="J587" s="7"/>
      <c r="K587" s="14"/>
      <c r="L587" s="7"/>
      <c r="M587" s="14"/>
      <c r="N587" s="14"/>
      <c r="O587" s="7"/>
      <c r="P587" s="13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 x14ac:dyDescent="0.25">
      <c r="A588" s="14"/>
      <c r="B588" s="14"/>
      <c r="C588" s="14"/>
      <c r="D588" s="14"/>
      <c r="E588" s="25"/>
      <c r="F588" s="25"/>
      <c r="G588" s="14"/>
      <c r="H588" s="14"/>
      <c r="I588" s="14"/>
      <c r="J588" s="7"/>
      <c r="K588" s="14"/>
      <c r="L588" s="7"/>
      <c r="M588" s="14"/>
      <c r="N588" s="14"/>
      <c r="O588" s="7"/>
      <c r="P588" s="13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 x14ac:dyDescent="0.25">
      <c r="A589" s="14"/>
      <c r="B589" s="14"/>
      <c r="C589" s="14"/>
      <c r="D589" s="14"/>
      <c r="E589" s="25"/>
      <c r="F589" s="25"/>
      <c r="G589" s="14"/>
      <c r="H589" s="14"/>
      <c r="I589" s="14"/>
      <c r="J589" s="7"/>
      <c r="K589" s="14"/>
      <c r="L589" s="7"/>
      <c r="M589" s="14"/>
      <c r="N589" s="14"/>
      <c r="O589" s="7"/>
      <c r="P589" s="13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 x14ac:dyDescent="0.25">
      <c r="A590" s="14"/>
      <c r="B590" s="14"/>
      <c r="C590" s="14"/>
      <c r="D590" s="14"/>
      <c r="E590" s="25"/>
      <c r="F590" s="25"/>
      <c r="G590" s="14"/>
      <c r="H590" s="14"/>
      <c r="I590" s="14"/>
      <c r="J590" s="7"/>
      <c r="K590" s="14"/>
      <c r="L590" s="7"/>
      <c r="M590" s="14"/>
      <c r="N590" s="14"/>
      <c r="O590" s="7"/>
      <c r="P590" s="13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 x14ac:dyDescent="0.25">
      <c r="A591" s="14"/>
      <c r="B591" s="14"/>
      <c r="C591" s="14"/>
      <c r="D591" s="14"/>
      <c r="E591" s="25"/>
      <c r="F591" s="25"/>
      <c r="G591" s="14"/>
      <c r="H591" s="14"/>
      <c r="I591" s="14"/>
      <c r="J591" s="7"/>
      <c r="K591" s="14"/>
      <c r="L591" s="7"/>
      <c r="M591" s="14"/>
      <c r="N591" s="14"/>
      <c r="O591" s="7"/>
      <c r="P591" s="13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 x14ac:dyDescent="0.25">
      <c r="A592" s="14"/>
      <c r="B592" s="14"/>
      <c r="C592" s="14"/>
      <c r="D592" s="14"/>
      <c r="E592" s="25"/>
      <c r="F592" s="25"/>
      <c r="G592" s="14"/>
      <c r="H592" s="14"/>
      <c r="I592" s="14"/>
      <c r="J592" s="7"/>
      <c r="K592" s="14"/>
      <c r="L592" s="7"/>
      <c r="M592" s="14"/>
      <c r="N592" s="14"/>
      <c r="O592" s="7"/>
      <c r="P592" s="13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 x14ac:dyDescent="0.25">
      <c r="A593" s="14"/>
      <c r="B593" s="14"/>
      <c r="C593" s="14"/>
      <c r="D593" s="14"/>
      <c r="E593" s="25"/>
      <c r="F593" s="25"/>
      <c r="G593" s="14"/>
      <c r="H593" s="14"/>
      <c r="I593" s="14"/>
      <c r="J593" s="7"/>
      <c r="K593" s="14"/>
      <c r="L593" s="7"/>
      <c r="M593" s="14"/>
      <c r="N593" s="14"/>
      <c r="O593" s="7"/>
      <c r="P593" s="13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 x14ac:dyDescent="0.25">
      <c r="A594" s="14"/>
      <c r="B594" s="14"/>
      <c r="C594" s="14"/>
      <c r="D594" s="14"/>
      <c r="E594" s="25"/>
      <c r="F594" s="25"/>
      <c r="G594" s="14"/>
      <c r="H594" s="14"/>
      <c r="I594" s="14"/>
      <c r="J594" s="7"/>
      <c r="K594" s="14"/>
      <c r="L594" s="7"/>
      <c r="M594" s="14"/>
      <c r="N594" s="14"/>
      <c r="O594" s="7"/>
      <c r="P594" s="13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 x14ac:dyDescent="0.25">
      <c r="A595" s="14"/>
      <c r="B595" s="14"/>
      <c r="C595" s="14"/>
      <c r="D595" s="14"/>
      <c r="E595" s="25"/>
      <c r="F595" s="25"/>
      <c r="G595" s="14"/>
      <c r="H595" s="14"/>
      <c r="I595" s="14"/>
      <c r="J595" s="7"/>
      <c r="K595" s="14"/>
      <c r="L595" s="7"/>
      <c r="M595" s="14"/>
      <c r="N595" s="14"/>
      <c r="O595" s="7"/>
      <c r="P595" s="13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 x14ac:dyDescent="0.25">
      <c r="A596" s="14"/>
      <c r="B596" s="14"/>
      <c r="C596" s="14"/>
      <c r="D596" s="14"/>
      <c r="E596" s="25"/>
      <c r="F596" s="25"/>
      <c r="G596" s="14"/>
      <c r="H596" s="14"/>
      <c r="I596" s="14"/>
      <c r="J596" s="7"/>
      <c r="K596" s="14"/>
      <c r="L596" s="7"/>
      <c r="M596" s="14"/>
      <c r="N596" s="14"/>
      <c r="O596" s="7"/>
      <c r="P596" s="13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 x14ac:dyDescent="0.25">
      <c r="A597" s="14"/>
      <c r="B597" s="14"/>
      <c r="C597" s="14"/>
      <c r="D597" s="14"/>
      <c r="E597" s="25"/>
      <c r="F597" s="25"/>
      <c r="G597" s="14"/>
      <c r="H597" s="14"/>
      <c r="I597" s="14"/>
      <c r="J597" s="7"/>
      <c r="K597" s="14"/>
      <c r="L597" s="7"/>
      <c r="M597" s="14"/>
      <c r="N597" s="14"/>
      <c r="O597" s="7"/>
      <c r="P597" s="13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 x14ac:dyDescent="0.25">
      <c r="A598" s="14"/>
      <c r="B598" s="14"/>
      <c r="C598" s="14"/>
      <c r="D598" s="14"/>
      <c r="E598" s="25"/>
      <c r="F598" s="25"/>
      <c r="G598" s="14"/>
      <c r="H598" s="14"/>
      <c r="I598" s="14"/>
      <c r="J598" s="7"/>
      <c r="K598" s="14"/>
      <c r="L598" s="7"/>
      <c r="M598" s="14"/>
      <c r="N598" s="14"/>
      <c r="O598" s="7"/>
      <c r="P598" s="13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 x14ac:dyDescent="0.25">
      <c r="A599" s="14"/>
      <c r="B599" s="14"/>
      <c r="C599" s="14"/>
      <c r="D599" s="14"/>
      <c r="E599" s="25"/>
      <c r="F599" s="25"/>
      <c r="G599" s="14"/>
      <c r="H599" s="14"/>
      <c r="I599" s="14"/>
      <c r="J599" s="7"/>
      <c r="K599" s="14"/>
      <c r="L599" s="7"/>
      <c r="M599" s="14"/>
      <c r="N599" s="14"/>
      <c r="O599" s="7"/>
      <c r="P599" s="13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 x14ac:dyDescent="0.25">
      <c r="A600" s="14"/>
      <c r="B600" s="14"/>
      <c r="C600" s="14"/>
      <c r="D600" s="14"/>
      <c r="E600" s="25"/>
      <c r="F600" s="25"/>
      <c r="G600" s="14"/>
      <c r="H600" s="14"/>
      <c r="I600" s="14"/>
      <c r="J600" s="7"/>
      <c r="K600" s="14"/>
      <c r="L600" s="7"/>
      <c r="M600" s="14"/>
      <c r="N600" s="14"/>
      <c r="O600" s="7"/>
      <c r="P600" s="13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 x14ac:dyDescent="0.25">
      <c r="A601" s="14"/>
      <c r="B601" s="14"/>
      <c r="C601" s="14"/>
      <c r="D601" s="14"/>
      <c r="E601" s="25"/>
      <c r="F601" s="25"/>
      <c r="G601" s="14"/>
      <c r="H601" s="14"/>
      <c r="I601" s="14"/>
      <c r="J601" s="7"/>
      <c r="K601" s="14"/>
      <c r="L601" s="7"/>
      <c r="M601" s="14"/>
      <c r="N601" s="14"/>
      <c r="O601" s="7"/>
      <c r="P601" s="13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 x14ac:dyDescent="0.25">
      <c r="A602" s="14"/>
      <c r="B602" s="14"/>
      <c r="C602" s="14"/>
      <c r="D602" s="14"/>
      <c r="E602" s="25"/>
      <c r="F602" s="25"/>
      <c r="G602" s="14"/>
      <c r="H602" s="14"/>
      <c r="I602" s="14"/>
      <c r="J602" s="7"/>
      <c r="K602" s="14"/>
      <c r="L602" s="7"/>
      <c r="M602" s="14"/>
      <c r="N602" s="14"/>
      <c r="O602" s="7"/>
      <c r="P602" s="13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 x14ac:dyDescent="0.25">
      <c r="A603" s="14"/>
      <c r="B603" s="14"/>
      <c r="C603" s="14"/>
      <c r="D603" s="14"/>
      <c r="E603" s="25"/>
      <c r="F603" s="25"/>
      <c r="G603" s="14"/>
      <c r="H603" s="14"/>
      <c r="I603" s="14"/>
      <c r="J603" s="7"/>
      <c r="K603" s="14"/>
      <c r="L603" s="7"/>
      <c r="M603" s="14"/>
      <c r="N603" s="14"/>
      <c r="O603" s="7"/>
      <c r="P603" s="13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 x14ac:dyDescent="0.25">
      <c r="A604" s="14"/>
      <c r="B604" s="14"/>
      <c r="C604" s="14"/>
      <c r="D604" s="14"/>
      <c r="E604" s="25"/>
      <c r="F604" s="25"/>
      <c r="G604" s="14"/>
      <c r="H604" s="14"/>
      <c r="I604" s="14"/>
      <c r="J604" s="7"/>
      <c r="K604" s="14"/>
      <c r="L604" s="7"/>
      <c r="M604" s="14"/>
      <c r="N604" s="14"/>
      <c r="O604" s="7"/>
      <c r="P604" s="13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 x14ac:dyDescent="0.25">
      <c r="A605" s="14"/>
      <c r="B605" s="14"/>
      <c r="C605" s="14"/>
      <c r="D605" s="14"/>
      <c r="E605" s="25"/>
      <c r="F605" s="25"/>
      <c r="G605" s="14"/>
      <c r="H605" s="14"/>
      <c r="I605" s="14"/>
      <c r="J605" s="7"/>
      <c r="K605" s="14"/>
      <c r="L605" s="7"/>
      <c r="M605" s="14"/>
      <c r="N605" s="14"/>
      <c r="O605" s="7"/>
      <c r="P605" s="13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 x14ac:dyDescent="0.25">
      <c r="A606" s="14"/>
      <c r="B606" s="14"/>
      <c r="C606" s="14"/>
      <c r="D606" s="14"/>
      <c r="E606" s="25"/>
      <c r="F606" s="25"/>
      <c r="G606" s="14"/>
      <c r="H606" s="14"/>
      <c r="I606" s="14"/>
      <c r="J606" s="7"/>
      <c r="K606" s="14"/>
      <c r="L606" s="7"/>
      <c r="M606" s="14"/>
      <c r="N606" s="14"/>
      <c r="O606" s="7"/>
      <c r="P606" s="13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 x14ac:dyDescent="0.25">
      <c r="A607" s="14"/>
      <c r="B607" s="14"/>
      <c r="C607" s="14"/>
      <c r="D607" s="14"/>
      <c r="E607" s="25"/>
      <c r="F607" s="25"/>
      <c r="G607" s="14"/>
      <c r="H607" s="14"/>
      <c r="I607" s="14"/>
      <c r="J607" s="7"/>
      <c r="K607" s="14"/>
      <c r="L607" s="7"/>
      <c r="M607" s="14"/>
      <c r="N607" s="14"/>
      <c r="O607" s="7"/>
      <c r="P607" s="13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 x14ac:dyDescent="0.25">
      <c r="A608" s="14"/>
      <c r="B608" s="14"/>
      <c r="C608" s="14"/>
      <c r="D608" s="14"/>
      <c r="E608" s="25"/>
      <c r="F608" s="25"/>
      <c r="G608" s="14"/>
      <c r="H608" s="14"/>
      <c r="I608" s="14"/>
      <c r="J608" s="7"/>
      <c r="K608" s="14"/>
      <c r="L608" s="7"/>
      <c r="M608" s="14"/>
      <c r="N608" s="14"/>
      <c r="O608" s="7"/>
      <c r="P608" s="13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 x14ac:dyDescent="0.25">
      <c r="A609" s="14"/>
      <c r="B609" s="14"/>
      <c r="C609" s="14"/>
      <c r="D609" s="14"/>
      <c r="E609" s="25"/>
      <c r="F609" s="25"/>
      <c r="G609" s="14"/>
      <c r="H609" s="14"/>
      <c r="I609" s="14"/>
      <c r="J609" s="7"/>
      <c r="K609" s="14"/>
      <c r="L609" s="7"/>
      <c r="M609" s="14"/>
      <c r="N609" s="14"/>
      <c r="O609" s="7"/>
      <c r="P609" s="13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 x14ac:dyDescent="0.25">
      <c r="A610" s="14"/>
      <c r="B610" s="14"/>
      <c r="C610" s="14"/>
      <c r="D610" s="14"/>
      <c r="E610" s="25"/>
      <c r="F610" s="25"/>
      <c r="G610" s="14"/>
      <c r="H610" s="14"/>
      <c r="I610" s="14"/>
      <c r="J610" s="7"/>
      <c r="K610" s="14"/>
      <c r="L610" s="7"/>
      <c r="M610" s="14"/>
      <c r="N610" s="14"/>
      <c r="O610" s="7"/>
      <c r="P610" s="13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 x14ac:dyDescent="0.25">
      <c r="A611" s="14"/>
      <c r="B611" s="14"/>
      <c r="C611" s="14"/>
      <c r="D611" s="14"/>
      <c r="E611" s="25"/>
      <c r="F611" s="25"/>
      <c r="G611" s="14"/>
      <c r="H611" s="14"/>
      <c r="I611" s="14"/>
      <c r="J611" s="7"/>
      <c r="K611" s="14"/>
      <c r="L611" s="7"/>
      <c r="M611" s="14"/>
      <c r="N611" s="14"/>
      <c r="O611" s="7"/>
      <c r="P611" s="13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 x14ac:dyDescent="0.25">
      <c r="A612" s="14"/>
      <c r="B612" s="14"/>
      <c r="C612" s="14"/>
      <c r="D612" s="14"/>
      <c r="E612" s="25"/>
      <c r="F612" s="25"/>
      <c r="G612" s="14"/>
      <c r="H612" s="14"/>
      <c r="I612" s="14"/>
      <c r="J612" s="7"/>
      <c r="K612" s="14"/>
      <c r="L612" s="7"/>
      <c r="M612" s="14"/>
      <c r="N612" s="14"/>
      <c r="O612" s="7"/>
      <c r="P612" s="13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 x14ac:dyDescent="0.25">
      <c r="A613" s="14"/>
      <c r="B613" s="14"/>
      <c r="C613" s="14"/>
      <c r="D613" s="14"/>
      <c r="E613" s="25"/>
      <c r="F613" s="25"/>
      <c r="G613" s="14"/>
      <c r="H613" s="14"/>
      <c r="I613" s="14"/>
      <c r="J613" s="7"/>
      <c r="K613" s="14"/>
      <c r="L613" s="7"/>
      <c r="M613" s="14"/>
      <c r="N613" s="14"/>
      <c r="O613" s="7"/>
      <c r="P613" s="13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 x14ac:dyDescent="0.25">
      <c r="A614" s="14"/>
      <c r="B614" s="14"/>
      <c r="C614" s="14"/>
      <c r="D614" s="14"/>
      <c r="E614" s="25"/>
      <c r="F614" s="25"/>
      <c r="G614" s="14"/>
      <c r="H614" s="14"/>
      <c r="I614" s="14"/>
      <c r="J614" s="7"/>
      <c r="K614" s="14"/>
      <c r="L614" s="7"/>
      <c r="M614" s="14"/>
      <c r="N614" s="14"/>
      <c r="O614" s="7"/>
      <c r="P614" s="13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 x14ac:dyDescent="0.25">
      <c r="A615" s="14"/>
      <c r="B615" s="14"/>
      <c r="C615" s="14"/>
      <c r="D615" s="14"/>
      <c r="E615" s="25"/>
      <c r="F615" s="25"/>
      <c r="G615" s="14"/>
      <c r="H615" s="14"/>
      <c r="I615" s="14"/>
      <c r="J615" s="7"/>
      <c r="K615" s="14"/>
      <c r="L615" s="7"/>
      <c r="M615" s="14"/>
      <c r="N615" s="14"/>
      <c r="O615" s="7"/>
      <c r="P615" s="13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 x14ac:dyDescent="0.25">
      <c r="A616" s="14"/>
      <c r="B616" s="14"/>
      <c r="C616" s="14"/>
      <c r="D616" s="14"/>
      <c r="E616" s="25"/>
      <c r="F616" s="25"/>
      <c r="G616" s="14"/>
      <c r="H616" s="14"/>
      <c r="I616" s="14"/>
      <c r="J616" s="7"/>
      <c r="K616" s="14"/>
      <c r="L616" s="7"/>
      <c r="M616" s="14"/>
      <c r="N616" s="14"/>
      <c r="O616" s="7"/>
      <c r="P616" s="13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 x14ac:dyDescent="0.25">
      <c r="A617" s="14"/>
      <c r="B617" s="14"/>
      <c r="C617" s="14"/>
      <c r="D617" s="14"/>
      <c r="E617" s="25"/>
      <c r="F617" s="25"/>
      <c r="G617" s="14"/>
      <c r="H617" s="14"/>
      <c r="I617" s="14"/>
      <c r="J617" s="7"/>
      <c r="K617" s="14"/>
      <c r="L617" s="7"/>
      <c r="M617" s="14"/>
      <c r="N617" s="14"/>
      <c r="O617" s="7"/>
      <c r="P617" s="13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 x14ac:dyDescent="0.25">
      <c r="A618" s="14"/>
      <c r="B618" s="14"/>
      <c r="C618" s="14"/>
      <c r="D618" s="14"/>
      <c r="E618" s="25"/>
      <c r="F618" s="25"/>
      <c r="G618" s="14"/>
      <c r="H618" s="14"/>
      <c r="I618" s="14"/>
      <c r="J618" s="7"/>
      <c r="K618" s="14"/>
      <c r="L618" s="7"/>
      <c r="M618" s="14"/>
      <c r="N618" s="14"/>
      <c r="O618" s="7"/>
      <c r="P618" s="13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 x14ac:dyDescent="0.25">
      <c r="A619" s="14"/>
      <c r="B619" s="14"/>
      <c r="C619" s="14"/>
      <c r="D619" s="14"/>
      <c r="E619" s="25"/>
      <c r="F619" s="25"/>
      <c r="G619" s="14"/>
      <c r="H619" s="14"/>
      <c r="I619" s="14"/>
      <c r="J619" s="7"/>
      <c r="K619" s="14"/>
      <c r="L619" s="7"/>
      <c r="M619" s="14"/>
      <c r="N619" s="14"/>
      <c r="O619" s="7"/>
      <c r="P619" s="13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 x14ac:dyDescent="0.25">
      <c r="A620" s="14"/>
      <c r="B620" s="14"/>
      <c r="C620" s="14"/>
      <c r="D620" s="14"/>
      <c r="E620" s="25"/>
      <c r="F620" s="25"/>
      <c r="G620" s="14"/>
      <c r="H620" s="14"/>
      <c r="I620" s="14"/>
      <c r="J620" s="7"/>
      <c r="K620" s="14"/>
      <c r="L620" s="7"/>
      <c r="M620" s="14"/>
      <c r="N620" s="14"/>
      <c r="O620" s="7"/>
      <c r="P620" s="13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 x14ac:dyDescent="0.25">
      <c r="A621" s="14"/>
      <c r="B621" s="14"/>
      <c r="C621" s="14"/>
      <c r="D621" s="14"/>
      <c r="E621" s="25"/>
      <c r="F621" s="25"/>
      <c r="G621" s="14"/>
      <c r="H621" s="14"/>
      <c r="I621" s="14"/>
      <c r="J621" s="7"/>
      <c r="K621" s="14"/>
      <c r="L621" s="7"/>
      <c r="M621" s="14"/>
      <c r="N621" s="14"/>
      <c r="O621" s="7"/>
      <c r="P621" s="13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 x14ac:dyDescent="0.25">
      <c r="A622" s="14"/>
      <c r="B622" s="14"/>
      <c r="C622" s="14"/>
      <c r="D622" s="14"/>
      <c r="E622" s="25"/>
      <c r="F622" s="25"/>
      <c r="G622" s="14"/>
      <c r="H622" s="14"/>
      <c r="I622" s="14"/>
      <c r="J622" s="7"/>
      <c r="K622" s="14"/>
      <c r="L622" s="7"/>
      <c r="M622" s="14"/>
      <c r="N622" s="14"/>
      <c r="O622" s="7"/>
      <c r="P622" s="13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 x14ac:dyDescent="0.25">
      <c r="A623" s="14"/>
      <c r="B623" s="14"/>
      <c r="C623" s="14"/>
      <c r="D623" s="14"/>
      <c r="E623" s="25"/>
      <c r="F623" s="25"/>
      <c r="G623" s="14"/>
      <c r="H623" s="14"/>
      <c r="I623" s="14"/>
      <c r="J623" s="7"/>
      <c r="K623" s="14"/>
      <c r="L623" s="7"/>
      <c r="M623" s="14"/>
      <c r="N623" s="14"/>
      <c r="O623" s="7"/>
      <c r="P623" s="13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 x14ac:dyDescent="0.25">
      <c r="A624" s="14"/>
      <c r="B624" s="14"/>
      <c r="C624" s="14"/>
      <c r="D624" s="14"/>
      <c r="E624" s="25"/>
      <c r="F624" s="25"/>
      <c r="G624" s="14"/>
      <c r="H624" s="14"/>
      <c r="I624" s="14"/>
      <c r="J624" s="7"/>
      <c r="K624" s="14"/>
      <c r="L624" s="7"/>
      <c r="M624" s="14"/>
      <c r="N624" s="14"/>
      <c r="O624" s="7"/>
      <c r="P624" s="13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 x14ac:dyDescent="0.25">
      <c r="A625" s="14"/>
      <c r="B625" s="14"/>
      <c r="C625" s="14"/>
      <c r="D625" s="14"/>
      <c r="E625" s="25"/>
      <c r="F625" s="25"/>
      <c r="G625" s="14"/>
      <c r="H625" s="14"/>
      <c r="I625" s="14"/>
      <c r="J625" s="7"/>
      <c r="K625" s="14"/>
      <c r="L625" s="7"/>
      <c r="M625" s="14"/>
      <c r="N625" s="14"/>
      <c r="O625" s="7"/>
      <c r="P625" s="13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 x14ac:dyDescent="0.25">
      <c r="A626" s="14"/>
      <c r="B626" s="14"/>
      <c r="C626" s="14"/>
      <c r="D626" s="14"/>
      <c r="E626" s="25"/>
      <c r="F626" s="25"/>
      <c r="G626" s="14"/>
      <c r="H626" s="14"/>
      <c r="I626" s="14"/>
      <c r="J626" s="7"/>
      <c r="K626" s="14"/>
      <c r="L626" s="7"/>
      <c r="M626" s="14"/>
      <c r="N626" s="14"/>
      <c r="O626" s="7"/>
      <c r="P626" s="13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 x14ac:dyDescent="0.25">
      <c r="A627" s="14"/>
      <c r="B627" s="14"/>
      <c r="C627" s="14"/>
      <c r="D627" s="14"/>
      <c r="E627" s="25"/>
      <c r="F627" s="25"/>
      <c r="G627" s="14"/>
      <c r="H627" s="14"/>
      <c r="I627" s="14"/>
      <c r="J627" s="7"/>
      <c r="K627" s="14"/>
      <c r="L627" s="7"/>
      <c r="M627" s="14"/>
      <c r="N627" s="14"/>
      <c r="O627" s="7"/>
      <c r="P627" s="13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 x14ac:dyDescent="0.25">
      <c r="A628" s="14"/>
      <c r="B628" s="14"/>
      <c r="C628" s="14"/>
      <c r="D628" s="14"/>
      <c r="E628" s="25"/>
      <c r="F628" s="25"/>
      <c r="G628" s="14"/>
      <c r="H628" s="14"/>
      <c r="I628" s="14"/>
      <c r="J628" s="7"/>
      <c r="K628" s="14"/>
      <c r="L628" s="7"/>
      <c r="M628" s="14"/>
      <c r="N628" s="14"/>
      <c r="O628" s="7"/>
      <c r="P628" s="13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 x14ac:dyDescent="0.25">
      <c r="A629" s="14"/>
      <c r="B629" s="14"/>
      <c r="C629" s="14"/>
      <c r="D629" s="14"/>
      <c r="E629" s="25"/>
      <c r="F629" s="25"/>
      <c r="G629" s="14"/>
      <c r="H629" s="14"/>
      <c r="I629" s="14"/>
      <c r="J629" s="7"/>
      <c r="K629" s="14"/>
      <c r="L629" s="7"/>
      <c r="M629" s="14"/>
      <c r="N629" s="14"/>
      <c r="O629" s="7"/>
      <c r="P629" s="13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 x14ac:dyDescent="0.25">
      <c r="A630" s="14"/>
      <c r="B630" s="14"/>
      <c r="C630" s="14"/>
      <c r="D630" s="14"/>
      <c r="E630" s="25"/>
      <c r="F630" s="25"/>
      <c r="G630" s="14"/>
      <c r="H630" s="14"/>
      <c r="I630" s="14"/>
      <c r="J630" s="7"/>
      <c r="K630" s="14"/>
      <c r="L630" s="7"/>
      <c r="M630" s="14"/>
      <c r="N630" s="14"/>
      <c r="O630" s="7"/>
      <c r="P630" s="13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 x14ac:dyDescent="0.25">
      <c r="A631" s="14"/>
      <c r="B631" s="14"/>
      <c r="C631" s="14"/>
      <c r="D631" s="14"/>
      <c r="E631" s="25"/>
      <c r="F631" s="25"/>
      <c r="G631" s="14"/>
      <c r="H631" s="14"/>
      <c r="I631" s="14"/>
      <c r="J631" s="7"/>
      <c r="K631" s="14"/>
      <c r="L631" s="7"/>
      <c r="M631" s="14"/>
      <c r="N631" s="14"/>
      <c r="O631" s="7"/>
      <c r="P631" s="13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 x14ac:dyDescent="0.25">
      <c r="A632" s="14"/>
      <c r="B632" s="14"/>
      <c r="C632" s="14"/>
      <c r="D632" s="14"/>
      <c r="E632" s="25"/>
      <c r="F632" s="25"/>
      <c r="G632" s="14"/>
      <c r="H632" s="14"/>
      <c r="I632" s="14"/>
      <c r="J632" s="7"/>
      <c r="K632" s="14"/>
      <c r="L632" s="7"/>
      <c r="M632" s="14"/>
      <c r="N632" s="14"/>
      <c r="O632" s="7"/>
      <c r="P632" s="13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 x14ac:dyDescent="0.25">
      <c r="A633" s="14"/>
      <c r="B633" s="14"/>
      <c r="C633" s="14"/>
      <c r="D633" s="14"/>
      <c r="E633" s="25"/>
      <c r="F633" s="25"/>
      <c r="G633" s="14"/>
      <c r="H633" s="14"/>
      <c r="I633" s="14"/>
      <c r="J633" s="7"/>
      <c r="K633" s="14"/>
      <c r="L633" s="7"/>
      <c r="M633" s="14"/>
      <c r="N633" s="14"/>
      <c r="O633" s="7"/>
      <c r="P633" s="13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 x14ac:dyDescent="0.25">
      <c r="A634" s="14"/>
      <c r="B634" s="14"/>
      <c r="C634" s="14"/>
      <c r="D634" s="14"/>
      <c r="E634" s="25"/>
      <c r="F634" s="25"/>
      <c r="G634" s="14"/>
      <c r="H634" s="14"/>
      <c r="I634" s="14"/>
      <c r="J634" s="7"/>
      <c r="K634" s="14"/>
      <c r="L634" s="7"/>
      <c r="M634" s="14"/>
      <c r="N634" s="14"/>
      <c r="O634" s="7"/>
      <c r="P634" s="13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 x14ac:dyDescent="0.25">
      <c r="A635" s="14"/>
      <c r="B635" s="14"/>
      <c r="C635" s="14"/>
      <c r="D635" s="14"/>
      <c r="E635" s="25"/>
      <c r="F635" s="25"/>
      <c r="G635" s="14"/>
      <c r="H635" s="14"/>
      <c r="I635" s="14"/>
      <c r="J635" s="7"/>
      <c r="K635" s="14"/>
      <c r="L635" s="7"/>
      <c r="M635" s="14"/>
      <c r="N635" s="14"/>
      <c r="O635" s="7"/>
      <c r="P635" s="13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 x14ac:dyDescent="0.25">
      <c r="A636" s="14"/>
      <c r="B636" s="14"/>
      <c r="C636" s="14"/>
      <c r="D636" s="14"/>
      <c r="E636" s="25"/>
      <c r="F636" s="25"/>
      <c r="G636" s="14"/>
      <c r="H636" s="14"/>
      <c r="I636" s="14"/>
      <c r="J636" s="7"/>
      <c r="K636" s="14"/>
      <c r="L636" s="7"/>
      <c r="M636" s="14"/>
      <c r="N636" s="14"/>
      <c r="O636" s="7"/>
      <c r="P636" s="13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 x14ac:dyDescent="0.25">
      <c r="A637" s="14"/>
      <c r="B637" s="14"/>
      <c r="C637" s="14"/>
      <c r="D637" s="14"/>
      <c r="E637" s="25"/>
      <c r="F637" s="25"/>
      <c r="G637" s="14"/>
      <c r="H637" s="14"/>
      <c r="I637" s="14"/>
      <c r="J637" s="7"/>
      <c r="K637" s="14"/>
      <c r="L637" s="7"/>
      <c r="M637" s="14"/>
      <c r="N637" s="14"/>
      <c r="O637" s="7"/>
      <c r="P637" s="13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 x14ac:dyDescent="0.25">
      <c r="A638" s="14"/>
      <c r="B638" s="14"/>
      <c r="C638" s="14"/>
      <c r="D638" s="14"/>
      <c r="E638" s="25"/>
      <c r="F638" s="25"/>
      <c r="G638" s="14"/>
      <c r="H638" s="14"/>
      <c r="I638" s="14"/>
      <c r="J638" s="7"/>
      <c r="K638" s="14"/>
      <c r="L638" s="7"/>
      <c r="M638" s="14"/>
      <c r="N638" s="14"/>
      <c r="O638" s="7"/>
      <c r="P638" s="13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 x14ac:dyDescent="0.25">
      <c r="A639" s="14"/>
      <c r="B639" s="14"/>
      <c r="C639" s="14"/>
      <c r="D639" s="14"/>
      <c r="E639" s="25"/>
      <c r="F639" s="25"/>
      <c r="G639" s="14"/>
      <c r="H639" s="14"/>
      <c r="I639" s="14"/>
      <c r="J639" s="7"/>
      <c r="K639" s="14"/>
      <c r="L639" s="7"/>
      <c r="M639" s="14"/>
      <c r="N639" s="14"/>
      <c r="O639" s="7"/>
      <c r="P639" s="13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 x14ac:dyDescent="0.25">
      <c r="A640" s="14"/>
      <c r="B640" s="14"/>
      <c r="C640" s="14"/>
      <c r="D640" s="14"/>
      <c r="E640" s="25"/>
      <c r="F640" s="25"/>
      <c r="G640" s="14"/>
      <c r="H640" s="14"/>
      <c r="I640" s="14"/>
      <c r="J640" s="7"/>
      <c r="K640" s="14"/>
      <c r="L640" s="7"/>
      <c r="M640" s="14"/>
      <c r="N640" s="14"/>
      <c r="O640" s="7"/>
      <c r="P640" s="13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 x14ac:dyDescent="0.25">
      <c r="A641" s="14"/>
      <c r="B641" s="14"/>
      <c r="C641" s="14"/>
      <c r="D641" s="14"/>
      <c r="E641" s="25"/>
      <c r="F641" s="25"/>
      <c r="G641" s="14"/>
      <c r="H641" s="14"/>
      <c r="I641" s="14"/>
      <c r="J641" s="7"/>
      <c r="K641" s="14"/>
      <c r="L641" s="7"/>
      <c r="M641" s="14"/>
      <c r="N641" s="14"/>
      <c r="O641" s="7"/>
      <c r="P641" s="13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 x14ac:dyDescent="0.25">
      <c r="A642" s="14"/>
      <c r="B642" s="14"/>
      <c r="C642" s="14"/>
      <c r="D642" s="14"/>
      <c r="E642" s="25"/>
      <c r="F642" s="25"/>
      <c r="G642" s="14"/>
      <c r="H642" s="14"/>
      <c r="I642" s="14"/>
      <c r="J642" s="7"/>
      <c r="K642" s="14"/>
      <c r="L642" s="7"/>
      <c r="M642" s="14"/>
      <c r="N642" s="14"/>
      <c r="O642" s="7"/>
      <c r="P642" s="13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 x14ac:dyDescent="0.25">
      <c r="A643" s="14"/>
      <c r="B643" s="14"/>
      <c r="C643" s="14"/>
      <c r="D643" s="14"/>
      <c r="E643" s="25"/>
      <c r="F643" s="25"/>
      <c r="G643" s="14"/>
      <c r="H643" s="14"/>
      <c r="I643" s="14"/>
      <c r="J643" s="7"/>
      <c r="K643" s="14"/>
      <c r="L643" s="7"/>
      <c r="M643" s="14"/>
      <c r="N643" s="14"/>
      <c r="O643" s="7"/>
      <c r="P643" s="13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 x14ac:dyDescent="0.25">
      <c r="A644" s="14"/>
      <c r="B644" s="14"/>
      <c r="C644" s="14"/>
      <c r="D644" s="14"/>
      <c r="E644" s="25"/>
      <c r="F644" s="25"/>
      <c r="G644" s="14"/>
      <c r="H644" s="14"/>
      <c r="I644" s="14"/>
      <c r="J644" s="7"/>
      <c r="K644" s="14"/>
      <c r="L644" s="7"/>
      <c r="M644" s="14"/>
      <c r="N644" s="14"/>
      <c r="O644" s="7"/>
      <c r="P644" s="13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 x14ac:dyDescent="0.25">
      <c r="A645" s="14"/>
      <c r="B645" s="14"/>
      <c r="C645" s="14"/>
      <c r="D645" s="14"/>
      <c r="E645" s="25"/>
      <c r="F645" s="25"/>
      <c r="G645" s="14"/>
      <c r="H645" s="14"/>
      <c r="I645" s="14"/>
      <c r="J645" s="7"/>
      <c r="K645" s="14"/>
      <c r="L645" s="7"/>
      <c r="M645" s="14"/>
      <c r="N645" s="14"/>
      <c r="O645" s="7"/>
      <c r="P645" s="13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 x14ac:dyDescent="0.25">
      <c r="A646" s="14"/>
      <c r="B646" s="14"/>
      <c r="C646" s="14"/>
      <c r="D646" s="14"/>
      <c r="E646" s="25"/>
      <c r="F646" s="25"/>
      <c r="G646" s="14"/>
      <c r="H646" s="14"/>
      <c r="I646" s="14"/>
      <c r="J646" s="7"/>
      <c r="K646" s="14"/>
      <c r="L646" s="7"/>
      <c r="M646" s="14"/>
      <c r="N646" s="14"/>
      <c r="O646" s="7"/>
      <c r="P646" s="13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 x14ac:dyDescent="0.25">
      <c r="A647" s="14"/>
      <c r="B647" s="14"/>
      <c r="C647" s="14"/>
      <c r="D647" s="14"/>
      <c r="E647" s="25"/>
      <c r="F647" s="25"/>
      <c r="G647" s="14"/>
      <c r="H647" s="14"/>
      <c r="I647" s="14"/>
      <c r="J647" s="7"/>
      <c r="K647" s="14"/>
      <c r="L647" s="7"/>
      <c r="M647" s="14"/>
      <c r="N647" s="14"/>
      <c r="O647" s="7"/>
      <c r="P647" s="13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 x14ac:dyDescent="0.25">
      <c r="A648" s="14"/>
      <c r="B648" s="14"/>
      <c r="C648" s="14"/>
      <c r="D648" s="14"/>
      <c r="E648" s="25"/>
      <c r="F648" s="25"/>
      <c r="G648" s="14"/>
      <c r="H648" s="14"/>
      <c r="I648" s="14"/>
      <c r="J648" s="7"/>
      <c r="K648" s="14"/>
      <c r="L648" s="7"/>
      <c r="M648" s="14"/>
      <c r="N648" s="14"/>
      <c r="O648" s="7"/>
      <c r="P648" s="13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 x14ac:dyDescent="0.25">
      <c r="A649" s="14"/>
      <c r="B649" s="14"/>
      <c r="C649" s="14"/>
      <c r="D649" s="14"/>
      <c r="E649" s="25"/>
      <c r="F649" s="25"/>
      <c r="G649" s="14"/>
      <c r="H649" s="14"/>
      <c r="I649" s="14"/>
      <c r="J649" s="7"/>
      <c r="K649" s="14"/>
      <c r="L649" s="7"/>
      <c r="M649" s="14"/>
      <c r="N649" s="14"/>
      <c r="O649" s="7"/>
      <c r="P649" s="13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 x14ac:dyDescent="0.25">
      <c r="A650" s="14"/>
      <c r="B650" s="14"/>
      <c r="C650" s="14"/>
      <c r="D650" s="14"/>
      <c r="E650" s="25"/>
      <c r="F650" s="25"/>
      <c r="G650" s="14"/>
      <c r="H650" s="14"/>
      <c r="I650" s="14"/>
      <c r="J650" s="7"/>
      <c r="K650" s="14"/>
      <c r="L650" s="7"/>
      <c r="M650" s="14"/>
      <c r="N650" s="14"/>
      <c r="O650" s="7"/>
      <c r="P650" s="13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 x14ac:dyDescent="0.25">
      <c r="A651" s="14"/>
      <c r="B651" s="14"/>
      <c r="C651" s="14"/>
      <c r="D651" s="14"/>
      <c r="E651" s="25"/>
      <c r="F651" s="25"/>
      <c r="G651" s="14"/>
      <c r="H651" s="14"/>
      <c r="I651" s="14"/>
      <c r="J651" s="7"/>
      <c r="K651" s="14"/>
      <c r="L651" s="7"/>
      <c r="M651" s="14"/>
      <c r="N651" s="14"/>
      <c r="O651" s="7"/>
      <c r="P651" s="13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 x14ac:dyDescent="0.25">
      <c r="A652" s="14"/>
      <c r="B652" s="14"/>
      <c r="C652" s="14"/>
      <c r="D652" s="14"/>
      <c r="E652" s="25"/>
      <c r="F652" s="25"/>
      <c r="G652" s="14"/>
      <c r="H652" s="14"/>
      <c r="I652" s="14"/>
      <c r="J652" s="7"/>
      <c r="K652" s="14"/>
      <c r="L652" s="7"/>
      <c r="M652" s="14"/>
      <c r="N652" s="14"/>
      <c r="O652" s="7"/>
      <c r="P652" s="13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 x14ac:dyDescent="0.25">
      <c r="A653" s="14"/>
      <c r="B653" s="14"/>
      <c r="C653" s="14"/>
      <c r="D653" s="14"/>
      <c r="E653" s="25"/>
      <c r="F653" s="25"/>
      <c r="G653" s="14"/>
      <c r="H653" s="14"/>
      <c r="I653" s="14"/>
      <c r="J653" s="7"/>
      <c r="K653" s="14"/>
      <c r="L653" s="7"/>
      <c r="M653" s="14"/>
      <c r="N653" s="14"/>
      <c r="O653" s="7"/>
      <c r="P653" s="13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 x14ac:dyDescent="0.25">
      <c r="A654" s="14"/>
      <c r="B654" s="14"/>
      <c r="C654" s="14"/>
      <c r="D654" s="14"/>
      <c r="E654" s="25"/>
      <c r="F654" s="25"/>
      <c r="G654" s="14"/>
      <c r="H654" s="14"/>
      <c r="I654" s="14"/>
      <c r="J654" s="7"/>
      <c r="K654" s="14"/>
      <c r="L654" s="7"/>
      <c r="M654" s="14"/>
      <c r="N654" s="14"/>
      <c r="O654" s="7"/>
      <c r="P654" s="13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 x14ac:dyDescent="0.25">
      <c r="A655" s="14"/>
      <c r="B655" s="14"/>
      <c r="C655" s="14"/>
      <c r="D655" s="14"/>
      <c r="E655" s="25"/>
      <c r="F655" s="25"/>
      <c r="G655" s="14"/>
      <c r="H655" s="14"/>
      <c r="I655" s="14"/>
      <c r="J655" s="7"/>
      <c r="K655" s="14"/>
      <c r="L655" s="7"/>
      <c r="M655" s="14"/>
      <c r="N655" s="14"/>
      <c r="O655" s="7"/>
      <c r="P655" s="13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 x14ac:dyDescent="0.25">
      <c r="A656" s="14"/>
      <c r="B656" s="14"/>
      <c r="C656" s="14"/>
      <c r="D656" s="14"/>
      <c r="E656" s="25"/>
      <c r="F656" s="25"/>
      <c r="G656" s="14"/>
      <c r="H656" s="14"/>
      <c r="I656" s="14"/>
      <c r="J656" s="7"/>
      <c r="K656" s="14"/>
      <c r="L656" s="7"/>
      <c r="M656" s="14"/>
      <c r="N656" s="14"/>
      <c r="O656" s="7"/>
      <c r="P656" s="13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 x14ac:dyDescent="0.25">
      <c r="A657" s="14"/>
      <c r="B657" s="14"/>
      <c r="C657" s="14"/>
      <c r="D657" s="14"/>
      <c r="E657" s="25"/>
      <c r="F657" s="25"/>
      <c r="G657" s="14"/>
      <c r="H657" s="14"/>
      <c r="I657" s="14"/>
      <c r="J657" s="7"/>
      <c r="K657" s="14"/>
      <c r="L657" s="7"/>
      <c r="M657" s="14"/>
      <c r="N657" s="14"/>
      <c r="O657" s="7"/>
      <c r="P657" s="13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 x14ac:dyDescent="0.25">
      <c r="A658" s="14"/>
      <c r="B658" s="14"/>
      <c r="C658" s="14"/>
      <c r="D658" s="14"/>
      <c r="E658" s="25"/>
      <c r="F658" s="25"/>
      <c r="G658" s="14"/>
      <c r="H658" s="14"/>
      <c r="I658" s="14"/>
      <c r="J658" s="7"/>
      <c r="K658" s="14"/>
      <c r="L658" s="7"/>
      <c r="M658" s="14"/>
      <c r="N658" s="14"/>
      <c r="O658" s="7"/>
      <c r="P658" s="13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 x14ac:dyDescent="0.25">
      <c r="A659" s="14"/>
      <c r="B659" s="14"/>
      <c r="C659" s="14"/>
      <c r="D659" s="14"/>
      <c r="E659" s="25"/>
      <c r="F659" s="25"/>
      <c r="G659" s="14"/>
      <c r="H659" s="14"/>
      <c r="I659" s="14"/>
      <c r="J659" s="7"/>
      <c r="K659" s="14"/>
      <c r="L659" s="7"/>
      <c r="M659" s="14"/>
      <c r="N659" s="14"/>
      <c r="O659" s="7"/>
      <c r="P659" s="13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 x14ac:dyDescent="0.25">
      <c r="A660" s="14"/>
      <c r="B660" s="14"/>
      <c r="C660" s="14"/>
      <c r="D660" s="14"/>
      <c r="E660" s="25"/>
      <c r="F660" s="25"/>
      <c r="G660" s="14"/>
      <c r="H660" s="14"/>
      <c r="I660" s="14"/>
      <c r="J660" s="7"/>
      <c r="K660" s="14"/>
      <c r="L660" s="7"/>
      <c r="M660" s="14"/>
      <c r="N660" s="14"/>
      <c r="O660" s="7"/>
      <c r="P660" s="13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 x14ac:dyDescent="0.25">
      <c r="A661" s="14"/>
      <c r="B661" s="14"/>
      <c r="C661" s="14"/>
      <c r="D661" s="14"/>
      <c r="E661" s="25"/>
      <c r="F661" s="25"/>
      <c r="G661" s="14"/>
      <c r="H661" s="14"/>
      <c r="I661" s="14"/>
      <c r="J661" s="7"/>
      <c r="K661" s="14"/>
      <c r="L661" s="7"/>
      <c r="M661" s="14"/>
      <c r="N661" s="14"/>
      <c r="O661" s="7"/>
      <c r="P661" s="13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 x14ac:dyDescent="0.25">
      <c r="A662" s="14"/>
      <c r="B662" s="14"/>
      <c r="C662" s="14"/>
      <c r="D662" s="14"/>
      <c r="E662" s="25"/>
      <c r="F662" s="25"/>
      <c r="G662" s="14"/>
      <c r="H662" s="14"/>
      <c r="I662" s="14"/>
      <c r="J662" s="7"/>
      <c r="K662" s="14"/>
      <c r="L662" s="7"/>
      <c r="M662" s="14"/>
      <c r="N662" s="14"/>
      <c r="O662" s="7"/>
      <c r="P662" s="13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 x14ac:dyDescent="0.25">
      <c r="A663" s="14"/>
      <c r="B663" s="14"/>
      <c r="C663" s="14"/>
      <c r="D663" s="14"/>
      <c r="E663" s="25"/>
      <c r="F663" s="25"/>
      <c r="G663" s="14"/>
      <c r="H663" s="14"/>
      <c r="I663" s="14"/>
      <c r="J663" s="7"/>
      <c r="K663" s="14"/>
      <c r="L663" s="7"/>
      <c r="M663" s="14"/>
      <c r="N663" s="14"/>
      <c r="O663" s="7"/>
      <c r="P663" s="13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 x14ac:dyDescent="0.25">
      <c r="A664" s="14"/>
      <c r="B664" s="14"/>
      <c r="C664" s="14"/>
      <c r="D664" s="14"/>
      <c r="E664" s="25"/>
      <c r="F664" s="25"/>
      <c r="G664" s="14"/>
      <c r="H664" s="14"/>
      <c r="I664" s="14"/>
      <c r="J664" s="7"/>
      <c r="K664" s="14"/>
      <c r="L664" s="7"/>
      <c r="M664" s="14"/>
      <c r="N664" s="14"/>
      <c r="O664" s="7"/>
      <c r="P664" s="13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 x14ac:dyDescent="0.25">
      <c r="A665" s="14"/>
      <c r="B665" s="14"/>
      <c r="C665" s="14"/>
      <c r="D665" s="14"/>
      <c r="E665" s="25"/>
      <c r="F665" s="25"/>
      <c r="G665" s="14"/>
      <c r="H665" s="14"/>
      <c r="I665" s="14"/>
      <c r="J665" s="7"/>
      <c r="K665" s="14"/>
      <c r="L665" s="7"/>
      <c r="M665" s="14"/>
      <c r="N665" s="14"/>
      <c r="O665" s="7"/>
      <c r="P665" s="13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 x14ac:dyDescent="0.25">
      <c r="A666" s="14"/>
      <c r="B666" s="14"/>
      <c r="C666" s="14"/>
      <c r="D666" s="14"/>
      <c r="E666" s="25"/>
      <c r="F666" s="25"/>
      <c r="G666" s="14"/>
      <c r="H666" s="14"/>
      <c r="I666" s="14"/>
      <c r="J666" s="7"/>
      <c r="K666" s="14"/>
      <c r="L666" s="7"/>
      <c r="M666" s="14"/>
      <c r="N666" s="14"/>
      <c r="O666" s="7"/>
      <c r="P666" s="13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 x14ac:dyDescent="0.25">
      <c r="A667" s="14"/>
      <c r="B667" s="14"/>
      <c r="C667" s="14"/>
      <c r="D667" s="14"/>
      <c r="E667" s="25"/>
      <c r="F667" s="25"/>
      <c r="G667" s="14"/>
      <c r="H667" s="14"/>
      <c r="I667" s="14"/>
      <c r="J667" s="7"/>
      <c r="K667" s="14"/>
      <c r="L667" s="7"/>
      <c r="M667" s="14"/>
      <c r="N667" s="14"/>
      <c r="O667" s="7"/>
      <c r="P667" s="13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 x14ac:dyDescent="0.25">
      <c r="A668" s="14"/>
      <c r="B668" s="14"/>
      <c r="C668" s="14"/>
      <c r="D668" s="14"/>
      <c r="E668" s="25"/>
      <c r="F668" s="25"/>
      <c r="G668" s="14"/>
      <c r="H668" s="14"/>
      <c r="I668" s="14"/>
      <c r="J668" s="7"/>
      <c r="K668" s="14"/>
      <c r="L668" s="7"/>
      <c r="M668" s="14"/>
      <c r="N668" s="14"/>
      <c r="O668" s="7"/>
      <c r="P668" s="13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 x14ac:dyDescent="0.25">
      <c r="A669" s="14"/>
      <c r="B669" s="14"/>
      <c r="C669" s="14"/>
      <c r="D669" s="14"/>
      <c r="E669" s="25"/>
      <c r="F669" s="25"/>
      <c r="G669" s="14"/>
      <c r="H669" s="14"/>
      <c r="I669" s="14"/>
      <c r="J669" s="7"/>
      <c r="K669" s="14"/>
      <c r="L669" s="7"/>
      <c r="M669" s="14"/>
      <c r="N669" s="14"/>
      <c r="O669" s="7"/>
      <c r="P669" s="13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 x14ac:dyDescent="0.25">
      <c r="A670" s="14"/>
      <c r="B670" s="14"/>
      <c r="C670" s="14"/>
      <c r="D670" s="14"/>
      <c r="E670" s="25"/>
      <c r="F670" s="25"/>
      <c r="G670" s="14"/>
      <c r="H670" s="14"/>
      <c r="I670" s="14"/>
      <c r="J670" s="7"/>
      <c r="K670" s="14"/>
      <c r="L670" s="7"/>
      <c r="M670" s="14"/>
      <c r="N670" s="14"/>
      <c r="O670" s="7"/>
      <c r="P670" s="13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 x14ac:dyDescent="0.25">
      <c r="A671" s="14"/>
      <c r="B671" s="14"/>
      <c r="C671" s="14"/>
      <c r="D671" s="14"/>
      <c r="E671" s="25"/>
      <c r="F671" s="25"/>
      <c r="G671" s="14"/>
      <c r="H671" s="14"/>
      <c r="I671" s="14"/>
      <c r="J671" s="7"/>
      <c r="K671" s="14"/>
      <c r="L671" s="7"/>
      <c r="M671" s="14"/>
      <c r="N671" s="14"/>
      <c r="O671" s="7"/>
      <c r="P671" s="13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 x14ac:dyDescent="0.25">
      <c r="A672" s="14"/>
      <c r="B672" s="14"/>
      <c r="C672" s="14"/>
      <c r="D672" s="14"/>
      <c r="E672" s="25"/>
      <c r="F672" s="25"/>
      <c r="G672" s="14"/>
      <c r="H672" s="14"/>
      <c r="I672" s="14"/>
      <c r="J672" s="7"/>
      <c r="K672" s="14"/>
      <c r="L672" s="7"/>
      <c r="M672" s="14"/>
      <c r="N672" s="14"/>
      <c r="O672" s="7"/>
      <c r="P672" s="13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 x14ac:dyDescent="0.25">
      <c r="A673" s="14"/>
      <c r="B673" s="14"/>
      <c r="C673" s="14"/>
      <c r="D673" s="14"/>
      <c r="E673" s="25"/>
      <c r="F673" s="25"/>
      <c r="G673" s="14"/>
      <c r="H673" s="14"/>
      <c r="I673" s="14"/>
      <c r="J673" s="7"/>
      <c r="K673" s="14"/>
      <c r="L673" s="7"/>
      <c r="M673" s="14"/>
      <c r="N673" s="14"/>
      <c r="O673" s="7"/>
      <c r="P673" s="13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 x14ac:dyDescent="0.25">
      <c r="A674" s="14"/>
      <c r="B674" s="14"/>
      <c r="C674" s="14"/>
      <c r="D674" s="14"/>
      <c r="E674" s="25"/>
      <c r="F674" s="25"/>
      <c r="G674" s="14"/>
      <c r="H674" s="14"/>
      <c r="I674" s="14"/>
      <c r="J674" s="7"/>
      <c r="K674" s="14"/>
      <c r="L674" s="7"/>
      <c r="M674" s="14"/>
      <c r="N674" s="14"/>
      <c r="O674" s="7"/>
      <c r="P674" s="13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 x14ac:dyDescent="0.25">
      <c r="A675" s="14"/>
      <c r="B675" s="14"/>
      <c r="C675" s="14"/>
      <c r="D675" s="14"/>
      <c r="E675" s="25"/>
      <c r="F675" s="25"/>
      <c r="G675" s="14"/>
      <c r="H675" s="14"/>
      <c r="I675" s="14"/>
      <c r="J675" s="7"/>
      <c r="K675" s="14"/>
      <c r="L675" s="7"/>
      <c r="M675" s="14"/>
      <c r="N675" s="14"/>
      <c r="O675" s="7"/>
      <c r="P675" s="13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 x14ac:dyDescent="0.25">
      <c r="A676" s="14"/>
      <c r="B676" s="14"/>
      <c r="C676" s="14"/>
      <c r="D676" s="14"/>
      <c r="E676" s="25"/>
      <c r="F676" s="25"/>
      <c r="G676" s="14"/>
      <c r="H676" s="14"/>
      <c r="I676" s="14"/>
      <c r="J676" s="7"/>
      <c r="K676" s="14"/>
      <c r="L676" s="7"/>
      <c r="M676" s="14"/>
      <c r="N676" s="14"/>
      <c r="O676" s="7"/>
      <c r="P676" s="13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 x14ac:dyDescent="0.25">
      <c r="A677" s="14"/>
      <c r="B677" s="14"/>
      <c r="C677" s="14"/>
      <c r="D677" s="14"/>
      <c r="E677" s="25"/>
      <c r="F677" s="25"/>
      <c r="G677" s="14"/>
      <c r="H677" s="14"/>
      <c r="I677" s="14"/>
      <c r="J677" s="7"/>
      <c r="K677" s="14"/>
      <c r="L677" s="7"/>
      <c r="M677" s="14"/>
      <c r="N677" s="14"/>
      <c r="O677" s="7"/>
      <c r="P677" s="13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 x14ac:dyDescent="0.25">
      <c r="A678" s="14"/>
      <c r="B678" s="14"/>
      <c r="C678" s="14"/>
      <c r="D678" s="14"/>
      <c r="E678" s="25"/>
      <c r="F678" s="25"/>
      <c r="G678" s="14"/>
      <c r="H678" s="14"/>
      <c r="I678" s="14"/>
      <c r="J678" s="7"/>
      <c r="K678" s="14"/>
      <c r="L678" s="7"/>
      <c r="M678" s="14"/>
      <c r="N678" s="14"/>
      <c r="O678" s="7"/>
      <c r="P678" s="13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 x14ac:dyDescent="0.25">
      <c r="A679" s="14"/>
      <c r="B679" s="14"/>
      <c r="C679" s="14"/>
      <c r="D679" s="14"/>
      <c r="E679" s="25"/>
      <c r="F679" s="25"/>
      <c r="G679" s="14"/>
      <c r="H679" s="14"/>
      <c r="I679" s="14"/>
      <c r="J679" s="7"/>
      <c r="K679" s="14"/>
      <c r="L679" s="7"/>
      <c r="M679" s="14"/>
      <c r="N679" s="14"/>
      <c r="O679" s="7"/>
      <c r="P679" s="13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 x14ac:dyDescent="0.25">
      <c r="A680" s="14"/>
      <c r="B680" s="14"/>
      <c r="C680" s="14"/>
      <c r="D680" s="14"/>
      <c r="E680" s="25"/>
      <c r="F680" s="25"/>
      <c r="G680" s="14"/>
      <c r="H680" s="14"/>
      <c r="I680" s="14"/>
      <c r="J680" s="7"/>
      <c r="K680" s="14"/>
      <c r="L680" s="7"/>
      <c r="M680" s="14"/>
      <c r="N680" s="14"/>
      <c r="O680" s="7"/>
      <c r="P680" s="13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 x14ac:dyDescent="0.25">
      <c r="A681" s="14"/>
      <c r="B681" s="14"/>
      <c r="C681" s="14"/>
      <c r="D681" s="14"/>
      <c r="E681" s="25"/>
      <c r="F681" s="25"/>
      <c r="G681" s="14"/>
      <c r="H681" s="14"/>
      <c r="I681" s="14"/>
      <c r="J681" s="7"/>
      <c r="K681" s="14"/>
      <c r="L681" s="7"/>
      <c r="M681" s="14"/>
      <c r="N681" s="14"/>
      <c r="O681" s="7"/>
      <c r="P681" s="13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 x14ac:dyDescent="0.25">
      <c r="A682" s="14"/>
      <c r="B682" s="14"/>
      <c r="C682" s="14"/>
      <c r="D682" s="14"/>
      <c r="E682" s="25"/>
      <c r="F682" s="25"/>
      <c r="G682" s="14"/>
      <c r="H682" s="14"/>
      <c r="I682" s="14"/>
      <c r="J682" s="7"/>
      <c r="K682" s="14"/>
      <c r="L682" s="7"/>
      <c r="M682" s="14"/>
      <c r="N682" s="14"/>
      <c r="O682" s="7"/>
      <c r="P682" s="13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 x14ac:dyDescent="0.25">
      <c r="A683" s="14"/>
      <c r="B683" s="14"/>
      <c r="C683" s="14"/>
      <c r="D683" s="14"/>
      <c r="E683" s="25"/>
      <c r="F683" s="25"/>
      <c r="G683" s="14"/>
      <c r="H683" s="14"/>
      <c r="I683" s="14"/>
      <c r="J683" s="7"/>
      <c r="K683" s="14"/>
      <c r="L683" s="7"/>
      <c r="M683" s="14"/>
      <c r="N683" s="14"/>
      <c r="O683" s="7"/>
      <c r="P683" s="13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 x14ac:dyDescent="0.25">
      <c r="A684" s="14"/>
      <c r="B684" s="14"/>
      <c r="C684" s="14"/>
      <c r="D684" s="14"/>
      <c r="E684" s="25"/>
      <c r="F684" s="25"/>
      <c r="G684" s="14"/>
      <c r="H684" s="14"/>
      <c r="I684" s="14"/>
      <c r="J684" s="7"/>
      <c r="K684" s="14"/>
      <c r="L684" s="7"/>
      <c r="M684" s="14"/>
      <c r="N684" s="14"/>
      <c r="O684" s="7"/>
      <c r="P684" s="13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 x14ac:dyDescent="0.25">
      <c r="A685" s="14"/>
      <c r="B685" s="14"/>
      <c r="C685" s="14"/>
      <c r="D685" s="14"/>
      <c r="E685" s="25"/>
      <c r="F685" s="25"/>
      <c r="G685" s="14"/>
      <c r="H685" s="14"/>
      <c r="I685" s="14"/>
      <c r="J685" s="7"/>
      <c r="K685" s="14"/>
      <c r="L685" s="7"/>
      <c r="M685" s="14"/>
      <c r="N685" s="14"/>
      <c r="O685" s="7"/>
      <c r="P685" s="13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 x14ac:dyDescent="0.25">
      <c r="A686" s="14"/>
      <c r="B686" s="14"/>
      <c r="C686" s="14"/>
      <c r="D686" s="14"/>
      <c r="E686" s="25"/>
      <c r="F686" s="25"/>
      <c r="G686" s="14"/>
      <c r="H686" s="14"/>
      <c r="I686" s="14"/>
      <c r="J686" s="7"/>
      <c r="K686" s="14"/>
      <c r="L686" s="7"/>
      <c r="M686" s="14"/>
      <c r="N686" s="14"/>
      <c r="O686" s="7"/>
      <c r="P686" s="13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 x14ac:dyDescent="0.25">
      <c r="A687" s="14"/>
      <c r="B687" s="14"/>
      <c r="C687" s="14"/>
      <c r="D687" s="14"/>
      <c r="E687" s="25"/>
      <c r="F687" s="25"/>
      <c r="G687" s="14"/>
      <c r="H687" s="14"/>
      <c r="I687" s="14"/>
      <c r="J687" s="7"/>
      <c r="K687" s="14"/>
      <c r="L687" s="7"/>
      <c r="M687" s="14"/>
      <c r="N687" s="14"/>
      <c r="O687" s="7"/>
      <c r="P687" s="13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 x14ac:dyDescent="0.25">
      <c r="A688" s="14"/>
      <c r="B688" s="14"/>
      <c r="C688" s="14"/>
      <c r="D688" s="14"/>
      <c r="E688" s="25"/>
      <c r="F688" s="25"/>
      <c r="G688" s="14"/>
      <c r="H688" s="14"/>
      <c r="I688" s="14"/>
      <c r="J688" s="7"/>
      <c r="K688" s="14"/>
      <c r="L688" s="7"/>
      <c r="M688" s="14"/>
      <c r="N688" s="14"/>
      <c r="O688" s="7"/>
      <c r="P688" s="13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 x14ac:dyDescent="0.25">
      <c r="A689" s="14"/>
      <c r="B689" s="14"/>
      <c r="C689" s="14"/>
      <c r="D689" s="14"/>
      <c r="E689" s="25"/>
      <c r="F689" s="25"/>
      <c r="G689" s="14"/>
      <c r="H689" s="14"/>
      <c r="I689" s="14"/>
      <c r="J689" s="7"/>
      <c r="K689" s="14"/>
      <c r="L689" s="7"/>
      <c r="M689" s="14"/>
      <c r="N689" s="14"/>
      <c r="O689" s="7"/>
      <c r="P689" s="13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 x14ac:dyDescent="0.25">
      <c r="A690" s="14"/>
      <c r="B690" s="14"/>
      <c r="C690" s="14"/>
      <c r="D690" s="14"/>
      <c r="E690" s="25"/>
      <c r="F690" s="25"/>
      <c r="G690" s="14"/>
      <c r="H690" s="14"/>
      <c r="I690" s="14"/>
      <c r="J690" s="7"/>
      <c r="K690" s="14"/>
      <c r="L690" s="7"/>
      <c r="M690" s="14"/>
      <c r="N690" s="14"/>
      <c r="O690" s="7"/>
      <c r="P690" s="13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 x14ac:dyDescent="0.25">
      <c r="A691" s="14"/>
      <c r="B691" s="14"/>
      <c r="C691" s="14"/>
      <c r="D691" s="14"/>
      <c r="E691" s="25"/>
      <c r="F691" s="25"/>
      <c r="G691" s="14"/>
      <c r="H691" s="14"/>
      <c r="I691" s="14"/>
      <c r="J691" s="7"/>
      <c r="K691" s="14"/>
      <c r="L691" s="7"/>
      <c r="M691" s="14"/>
      <c r="N691" s="14"/>
      <c r="O691" s="7"/>
      <c r="P691" s="13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 x14ac:dyDescent="0.25">
      <c r="A692" s="14"/>
      <c r="B692" s="14"/>
      <c r="C692" s="14"/>
      <c r="D692" s="14"/>
      <c r="E692" s="25"/>
      <c r="F692" s="25"/>
      <c r="G692" s="14"/>
      <c r="H692" s="14"/>
      <c r="I692" s="14"/>
      <c r="J692" s="7"/>
      <c r="K692" s="14"/>
      <c r="L692" s="7"/>
      <c r="M692" s="14"/>
      <c r="N692" s="14"/>
      <c r="O692" s="7"/>
      <c r="P692" s="13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 x14ac:dyDescent="0.25">
      <c r="A693" s="14"/>
      <c r="B693" s="14"/>
      <c r="C693" s="14"/>
      <c r="D693" s="14"/>
      <c r="E693" s="25"/>
      <c r="F693" s="25"/>
      <c r="G693" s="14"/>
      <c r="H693" s="14"/>
      <c r="I693" s="14"/>
      <c r="J693" s="7"/>
      <c r="K693" s="14"/>
      <c r="L693" s="7"/>
      <c r="M693" s="14"/>
      <c r="N693" s="14"/>
      <c r="O693" s="7"/>
      <c r="P693" s="13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 x14ac:dyDescent="0.25">
      <c r="A694" s="14"/>
      <c r="B694" s="14"/>
      <c r="C694" s="14"/>
      <c r="D694" s="14"/>
      <c r="E694" s="25"/>
      <c r="F694" s="25"/>
      <c r="G694" s="14"/>
      <c r="H694" s="14"/>
      <c r="I694" s="14"/>
      <c r="J694" s="7"/>
      <c r="K694" s="14"/>
      <c r="L694" s="7"/>
      <c r="M694" s="14"/>
      <c r="N694" s="14"/>
      <c r="O694" s="7"/>
      <c r="P694" s="13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 x14ac:dyDescent="0.25">
      <c r="A695" s="14"/>
      <c r="B695" s="14"/>
      <c r="C695" s="14"/>
      <c r="D695" s="14"/>
      <c r="E695" s="25"/>
      <c r="F695" s="25"/>
      <c r="G695" s="14"/>
      <c r="H695" s="14"/>
      <c r="I695" s="14"/>
      <c r="J695" s="7"/>
      <c r="K695" s="14"/>
      <c r="L695" s="7"/>
      <c r="M695" s="14"/>
      <c r="N695" s="14"/>
      <c r="O695" s="7"/>
      <c r="P695" s="13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 x14ac:dyDescent="0.25">
      <c r="A696" s="14"/>
      <c r="B696" s="14"/>
      <c r="C696" s="14"/>
      <c r="D696" s="14"/>
      <c r="E696" s="25"/>
      <c r="F696" s="25"/>
      <c r="G696" s="14"/>
      <c r="H696" s="14"/>
      <c r="I696" s="14"/>
      <c r="J696" s="7"/>
      <c r="K696" s="14"/>
      <c r="L696" s="7"/>
      <c r="M696" s="14"/>
      <c r="N696" s="14"/>
      <c r="O696" s="7"/>
      <c r="P696" s="13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 x14ac:dyDescent="0.25">
      <c r="A697" s="14"/>
      <c r="B697" s="14"/>
      <c r="C697" s="14"/>
      <c r="D697" s="14"/>
      <c r="E697" s="25"/>
      <c r="F697" s="25"/>
      <c r="G697" s="14"/>
      <c r="H697" s="14"/>
      <c r="I697" s="14"/>
      <c r="J697" s="7"/>
      <c r="K697" s="14"/>
      <c r="L697" s="7"/>
      <c r="M697" s="14"/>
      <c r="N697" s="14"/>
      <c r="O697" s="7"/>
      <c r="P697" s="13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 x14ac:dyDescent="0.25">
      <c r="A698" s="14"/>
      <c r="B698" s="14"/>
      <c r="C698" s="14"/>
      <c r="D698" s="14"/>
      <c r="E698" s="25"/>
      <c r="F698" s="25"/>
      <c r="G698" s="14"/>
      <c r="H698" s="14"/>
      <c r="I698" s="14"/>
      <c r="J698" s="7"/>
      <c r="K698" s="14"/>
      <c r="L698" s="7"/>
      <c r="M698" s="14"/>
      <c r="N698" s="14"/>
      <c r="O698" s="7"/>
      <c r="P698" s="13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 x14ac:dyDescent="0.25">
      <c r="A699" s="14"/>
      <c r="B699" s="14"/>
      <c r="C699" s="14"/>
      <c r="D699" s="14"/>
      <c r="E699" s="25"/>
      <c r="F699" s="25"/>
      <c r="G699" s="14"/>
      <c r="H699" s="14"/>
      <c r="I699" s="14"/>
      <c r="J699" s="7"/>
      <c r="K699" s="14"/>
      <c r="L699" s="7"/>
      <c r="M699" s="14"/>
      <c r="N699" s="14"/>
      <c r="O699" s="7"/>
      <c r="P699" s="13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 x14ac:dyDescent="0.25">
      <c r="A700" s="14"/>
      <c r="B700" s="14"/>
      <c r="C700" s="14"/>
      <c r="D700" s="14"/>
      <c r="E700" s="25"/>
      <c r="F700" s="25"/>
      <c r="G700" s="14"/>
      <c r="H700" s="14"/>
      <c r="I700" s="14"/>
      <c r="J700" s="7"/>
      <c r="K700" s="14"/>
      <c r="L700" s="7"/>
      <c r="M700" s="14"/>
      <c r="N700" s="14"/>
      <c r="O700" s="7"/>
      <c r="P700" s="13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 x14ac:dyDescent="0.25">
      <c r="A701" s="14"/>
      <c r="B701" s="14"/>
      <c r="C701" s="14"/>
      <c r="D701" s="14"/>
      <c r="E701" s="25"/>
      <c r="F701" s="25"/>
      <c r="G701" s="14"/>
      <c r="H701" s="14"/>
      <c r="I701" s="14"/>
      <c r="J701" s="7"/>
      <c r="K701" s="14"/>
      <c r="L701" s="7"/>
      <c r="M701" s="14"/>
      <c r="N701" s="14"/>
      <c r="O701" s="7"/>
      <c r="P701" s="13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 x14ac:dyDescent="0.25">
      <c r="A702" s="14"/>
      <c r="B702" s="14"/>
      <c r="C702" s="14"/>
      <c r="D702" s="14"/>
      <c r="E702" s="25"/>
      <c r="F702" s="25"/>
      <c r="G702" s="14"/>
      <c r="H702" s="14"/>
      <c r="I702" s="14"/>
      <c r="J702" s="7"/>
      <c r="K702" s="14"/>
      <c r="L702" s="7"/>
      <c r="M702" s="14"/>
      <c r="N702" s="14"/>
      <c r="O702" s="7"/>
      <c r="P702" s="13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 x14ac:dyDescent="0.25">
      <c r="A703" s="14"/>
      <c r="B703" s="14"/>
      <c r="C703" s="14"/>
      <c r="D703" s="14"/>
      <c r="E703" s="25"/>
      <c r="F703" s="25"/>
      <c r="G703" s="14"/>
      <c r="H703" s="14"/>
      <c r="I703" s="14"/>
      <c r="J703" s="7"/>
      <c r="K703" s="14"/>
      <c r="L703" s="7"/>
      <c r="M703" s="14"/>
      <c r="N703" s="14"/>
      <c r="O703" s="7"/>
      <c r="P703" s="13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 x14ac:dyDescent="0.25">
      <c r="A704" s="14"/>
      <c r="B704" s="14"/>
      <c r="C704" s="14"/>
      <c r="D704" s="14"/>
      <c r="E704" s="25"/>
      <c r="F704" s="25"/>
      <c r="G704" s="14"/>
      <c r="H704" s="14"/>
      <c r="I704" s="14"/>
      <c r="J704" s="7"/>
      <c r="K704" s="14"/>
      <c r="L704" s="7"/>
      <c r="M704" s="14"/>
      <c r="N704" s="14"/>
      <c r="O704" s="7"/>
      <c r="P704" s="13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 x14ac:dyDescent="0.25">
      <c r="A705" s="14"/>
      <c r="B705" s="14"/>
      <c r="C705" s="14"/>
      <c r="D705" s="14"/>
      <c r="E705" s="25"/>
      <c r="F705" s="25"/>
      <c r="G705" s="14"/>
      <c r="H705" s="14"/>
      <c r="I705" s="14"/>
      <c r="J705" s="7"/>
      <c r="K705" s="14"/>
      <c r="L705" s="7"/>
      <c r="M705" s="14"/>
      <c r="N705" s="14"/>
      <c r="O705" s="7"/>
      <c r="P705" s="13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 x14ac:dyDescent="0.25">
      <c r="A706" s="14"/>
      <c r="B706" s="14"/>
      <c r="C706" s="14"/>
      <c r="D706" s="14"/>
      <c r="E706" s="25"/>
      <c r="F706" s="25"/>
      <c r="G706" s="14"/>
      <c r="H706" s="14"/>
      <c r="I706" s="14"/>
      <c r="J706" s="7"/>
      <c r="K706" s="14"/>
      <c r="L706" s="7"/>
      <c r="M706" s="14"/>
      <c r="N706" s="14"/>
      <c r="O706" s="7"/>
      <c r="P706" s="13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 x14ac:dyDescent="0.25">
      <c r="A707" s="14"/>
      <c r="B707" s="14"/>
      <c r="C707" s="14"/>
      <c r="D707" s="14"/>
      <c r="E707" s="25"/>
      <c r="F707" s="25"/>
      <c r="G707" s="14"/>
      <c r="H707" s="14"/>
      <c r="I707" s="14"/>
      <c r="J707" s="7"/>
      <c r="K707" s="14"/>
      <c r="L707" s="7"/>
      <c r="M707" s="14"/>
      <c r="N707" s="14"/>
      <c r="O707" s="7"/>
      <c r="P707" s="13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 x14ac:dyDescent="0.25">
      <c r="A708" s="14"/>
      <c r="B708" s="14"/>
      <c r="C708" s="14"/>
      <c r="D708" s="14"/>
      <c r="E708" s="25"/>
      <c r="F708" s="25"/>
      <c r="G708" s="14"/>
      <c r="H708" s="14"/>
      <c r="I708" s="14"/>
      <c r="J708" s="7"/>
      <c r="K708" s="14"/>
      <c r="L708" s="7"/>
      <c r="M708" s="14"/>
      <c r="N708" s="14"/>
      <c r="O708" s="7"/>
      <c r="P708" s="13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 x14ac:dyDescent="0.25">
      <c r="A709" s="14"/>
      <c r="B709" s="14"/>
      <c r="C709" s="14"/>
      <c r="D709" s="14"/>
      <c r="E709" s="25"/>
      <c r="F709" s="25"/>
      <c r="G709" s="14"/>
      <c r="H709" s="14"/>
      <c r="I709" s="14"/>
      <c r="J709" s="7"/>
      <c r="K709" s="14"/>
      <c r="L709" s="7"/>
      <c r="M709" s="14"/>
      <c r="N709" s="14"/>
      <c r="O709" s="7"/>
      <c r="P709" s="13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 x14ac:dyDescent="0.25">
      <c r="A710" s="14"/>
      <c r="B710" s="14"/>
      <c r="C710" s="14"/>
      <c r="D710" s="14"/>
      <c r="E710" s="25"/>
      <c r="F710" s="25"/>
      <c r="G710" s="14"/>
      <c r="H710" s="14"/>
      <c r="I710" s="14"/>
      <c r="J710" s="7"/>
      <c r="K710" s="14"/>
      <c r="L710" s="7"/>
      <c r="M710" s="14"/>
      <c r="N710" s="14"/>
      <c r="O710" s="7"/>
      <c r="P710" s="13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 x14ac:dyDescent="0.25">
      <c r="A711" s="14"/>
      <c r="B711" s="14"/>
      <c r="C711" s="14"/>
      <c r="D711" s="14"/>
      <c r="E711" s="25"/>
      <c r="F711" s="25"/>
      <c r="G711" s="14"/>
      <c r="H711" s="14"/>
      <c r="I711" s="14"/>
      <c r="J711" s="7"/>
      <c r="K711" s="14"/>
      <c r="L711" s="7"/>
      <c r="M711" s="14"/>
      <c r="N711" s="14"/>
      <c r="O711" s="7"/>
      <c r="P711" s="13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 x14ac:dyDescent="0.25">
      <c r="A712" s="14"/>
      <c r="B712" s="14"/>
      <c r="C712" s="14"/>
      <c r="D712" s="14"/>
      <c r="E712" s="25"/>
      <c r="F712" s="25"/>
      <c r="G712" s="14"/>
      <c r="H712" s="14"/>
      <c r="I712" s="14"/>
      <c r="J712" s="7"/>
      <c r="K712" s="14"/>
      <c r="L712" s="7"/>
      <c r="M712" s="14"/>
      <c r="N712" s="14"/>
      <c r="O712" s="7"/>
      <c r="P712" s="13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 x14ac:dyDescent="0.25">
      <c r="A713" s="14"/>
      <c r="B713" s="14"/>
      <c r="C713" s="14"/>
      <c r="D713" s="14"/>
      <c r="E713" s="25"/>
      <c r="F713" s="25"/>
      <c r="G713" s="14"/>
      <c r="H713" s="14"/>
      <c r="I713" s="14"/>
      <c r="J713" s="7"/>
      <c r="K713" s="14"/>
      <c r="L713" s="7"/>
      <c r="M713" s="14"/>
      <c r="N713" s="14"/>
      <c r="O713" s="7"/>
      <c r="P713" s="13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 x14ac:dyDescent="0.25">
      <c r="A714" s="14"/>
      <c r="B714" s="14"/>
      <c r="C714" s="14"/>
      <c r="D714" s="14"/>
      <c r="E714" s="25"/>
      <c r="F714" s="25"/>
      <c r="G714" s="14"/>
      <c r="H714" s="14"/>
      <c r="I714" s="14"/>
      <c r="J714" s="7"/>
      <c r="K714" s="14"/>
      <c r="L714" s="7"/>
      <c r="M714" s="14"/>
      <c r="N714" s="14"/>
      <c r="O714" s="7"/>
      <c r="P714" s="13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 x14ac:dyDescent="0.25">
      <c r="A715" s="14"/>
      <c r="B715" s="14"/>
      <c r="C715" s="14"/>
      <c r="D715" s="14"/>
      <c r="E715" s="25"/>
      <c r="F715" s="25"/>
      <c r="G715" s="14"/>
      <c r="H715" s="14"/>
      <c r="I715" s="14"/>
      <c r="J715" s="7"/>
      <c r="K715" s="14"/>
      <c r="L715" s="7"/>
      <c r="M715" s="14"/>
      <c r="N715" s="14"/>
      <c r="O715" s="7"/>
      <c r="P715" s="13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 x14ac:dyDescent="0.25">
      <c r="A716" s="14"/>
      <c r="B716" s="14"/>
      <c r="C716" s="14"/>
      <c r="D716" s="14"/>
      <c r="E716" s="25"/>
      <c r="F716" s="25"/>
      <c r="G716" s="14"/>
      <c r="H716" s="14"/>
      <c r="I716" s="14"/>
      <c r="J716" s="7"/>
      <c r="K716" s="14"/>
      <c r="L716" s="7"/>
      <c r="M716" s="14"/>
      <c r="N716" s="14"/>
      <c r="O716" s="7"/>
      <c r="P716" s="13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 x14ac:dyDescent="0.25">
      <c r="A717" s="14"/>
      <c r="B717" s="14"/>
      <c r="C717" s="14"/>
      <c r="D717" s="14"/>
      <c r="E717" s="25"/>
      <c r="F717" s="25"/>
      <c r="G717" s="14"/>
      <c r="H717" s="14"/>
      <c r="I717" s="14"/>
      <c r="J717" s="7"/>
      <c r="K717" s="14"/>
      <c r="L717" s="7"/>
      <c r="M717" s="14"/>
      <c r="N717" s="14"/>
      <c r="O717" s="7"/>
      <c r="P717" s="13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 x14ac:dyDescent="0.25">
      <c r="A718" s="14"/>
      <c r="B718" s="14"/>
      <c r="C718" s="14"/>
      <c r="D718" s="14"/>
      <c r="E718" s="25"/>
      <c r="F718" s="25"/>
      <c r="G718" s="14"/>
      <c r="H718" s="14"/>
      <c r="I718" s="14"/>
      <c r="J718" s="7"/>
      <c r="K718" s="14"/>
      <c r="L718" s="7"/>
      <c r="M718" s="14"/>
      <c r="N718" s="14"/>
      <c r="O718" s="7"/>
      <c r="P718" s="13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 x14ac:dyDescent="0.25">
      <c r="A719" s="14"/>
      <c r="B719" s="14"/>
      <c r="C719" s="14"/>
      <c r="D719" s="14"/>
      <c r="E719" s="25"/>
      <c r="F719" s="25"/>
      <c r="G719" s="14"/>
      <c r="H719" s="14"/>
      <c r="I719" s="14"/>
      <c r="J719" s="7"/>
      <c r="K719" s="14"/>
      <c r="L719" s="7"/>
      <c r="M719" s="14"/>
      <c r="N719" s="14"/>
      <c r="O719" s="7"/>
      <c r="P719" s="13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 x14ac:dyDescent="0.25">
      <c r="A720" s="14"/>
      <c r="B720" s="14"/>
      <c r="C720" s="14"/>
      <c r="D720" s="14"/>
      <c r="E720" s="25"/>
      <c r="F720" s="25"/>
      <c r="G720" s="14"/>
      <c r="H720" s="14"/>
      <c r="I720" s="14"/>
      <c r="J720" s="7"/>
      <c r="K720" s="14"/>
      <c r="L720" s="7"/>
      <c r="M720" s="14"/>
      <c r="N720" s="14"/>
      <c r="O720" s="7"/>
      <c r="P720" s="13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 x14ac:dyDescent="0.25">
      <c r="A721" s="14"/>
      <c r="B721" s="14"/>
      <c r="C721" s="14"/>
      <c r="D721" s="14"/>
      <c r="E721" s="25"/>
      <c r="F721" s="25"/>
      <c r="G721" s="14"/>
      <c r="H721" s="14"/>
      <c r="I721" s="14"/>
      <c r="J721" s="7"/>
      <c r="K721" s="14"/>
      <c r="L721" s="7"/>
      <c r="M721" s="14"/>
      <c r="N721" s="14"/>
      <c r="O721" s="7"/>
      <c r="P721" s="13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 x14ac:dyDescent="0.25">
      <c r="A722" s="14"/>
      <c r="B722" s="14"/>
      <c r="C722" s="14"/>
      <c r="D722" s="14"/>
      <c r="E722" s="25"/>
      <c r="F722" s="25"/>
      <c r="G722" s="14"/>
      <c r="H722" s="14"/>
      <c r="I722" s="14"/>
      <c r="J722" s="7"/>
      <c r="K722" s="14"/>
      <c r="L722" s="7"/>
      <c r="M722" s="14"/>
      <c r="N722" s="14"/>
      <c r="O722" s="7"/>
      <c r="P722" s="13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 x14ac:dyDescent="0.25">
      <c r="A723" s="14"/>
      <c r="B723" s="14"/>
      <c r="C723" s="14"/>
      <c r="D723" s="14"/>
      <c r="E723" s="25"/>
      <c r="F723" s="25"/>
      <c r="G723" s="14"/>
      <c r="H723" s="14"/>
      <c r="I723" s="14"/>
      <c r="J723" s="7"/>
      <c r="K723" s="14"/>
      <c r="L723" s="7"/>
      <c r="M723" s="14"/>
      <c r="N723" s="14"/>
      <c r="O723" s="7"/>
      <c r="P723" s="13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 x14ac:dyDescent="0.25">
      <c r="A724" s="14"/>
      <c r="B724" s="14"/>
      <c r="C724" s="14"/>
      <c r="D724" s="14"/>
      <c r="E724" s="25"/>
      <c r="F724" s="25"/>
      <c r="G724" s="14"/>
      <c r="H724" s="14"/>
      <c r="I724" s="14"/>
      <c r="J724" s="7"/>
      <c r="K724" s="14"/>
      <c r="L724" s="7"/>
      <c r="M724" s="14"/>
      <c r="N724" s="14"/>
      <c r="O724" s="7"/>
      <c r="P724" s="13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 x14ac:dyDescent="0.25">
      <c r="A725" s="14"/>
      <c r="B725" s="14"/>
      <c r="C725" s="14"/>
      <c r="D725" s="14"/>
      <c r="E725" s="25"/>
      <c r="F725" s="25"/>
      <c r="G725" s="14"/>
      <c r="H725" s="14"/>
      <c r="I725" s="14"/>
      <c r="J725" s="7"/>
      <c r="K725" s="14"/>
      <c r="L725" s="7"/>
      <c r="M725" s="14"/>
      <c r="N725" s="14"/>
      <c r="O725" s="7"/>
      <c r="P725" s="13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 x14ac:dyDescent="0.25">
      <c r="A726" s="14"/>
      <c r="B726" s="14"/>
      <c r="C726" s="14"/>
      <c r="D726" s="14"/>
      <c r="E726" s="25"/>
      <c r="F726" s="25"/>
      <c r="G726" s="14"/>
      <c r="H726" s="14"/>
      <c r="I726" s="14"/>
      <c r="J726" s="7"/>
      <c r="K726" s="14"/>
      <c r="L726" s="7"/>
      <c r="M726" s="14"/>
      <c r="N726" s="14"/>
      <c r="O726" s="7"/>
      <c r="P726" s="13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 x14ac:dyDescent="0.25">
      <c r="A727" s="14"/>
      <c r="B727" s="14"/>
      <c r="C727" s="14"/>
      <c r="D727" s="14"/>
      <c r="E727" s="25"/>
      <c r="F727" s="25"/>
      <c r="G727" s="14"/>
      <c r="H727" s="14"/>
      <c r="I727" s="14"/>
      <c r="J727" s="7"/>
      <c r="K727" s="14"/>
      <c r="L727" s="7"/>
      <c r="M727" s="14"/>
      <c r="N727" s="14"/>
      <c r="O727" s="7"/>
      <c r="P727" s="13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 x14ac:dyDescent="0.25">
      <c r="A728" s="14"/>
      <c r="B728" s="14"/>
      <c r="C728" s="14"/>
      <c r="D728" s="14"/>
      <c r="E728" s="25"/>
      <c r="F728" s="25"/>
      <c r="G728" s="14"/>
      <c r="H728" s="14"/>
      <c r="I728" s="14"/>
      <c r="J728" s="7"/>
      <c r="K728" s="14"/>
      <c r="L728" s="7"/>
      <c r="M728" s="14"/>
      <c r="N728" s="14"/>
      <c r="O728" s="7"/>
      <c r="P728" s="13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 x14ac:dyDescent="0.25">
      <c r="A729" s="14"/>
      <c r="B729" s="14"/>
      <c r="C729" s="14"/>
      <c r="D729" s="14"/>
      <c r="E729" s="25"/>
      <c r="F729" s="25"/>
      <c r="G729" s="14"/>
      <c r="H729" s="14"/>
      <c r="I729" s="14"/>
      <c r="J729" s="7"/>
      <c r="K729" s="14"/>
      <c r="L729" s="7"/>
      <c r="M729" s="14"/>
      <c r="N729" s="14"/>
      <c r="O729" s="7"/>
      <c r="P729" s="13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 x14ac:dyDescent="0.25">
      <c r="A730" s="14"/>
      <c r="B730" s="14"/>
      <c r="C730" s="14"/>
      <c r="D730" s="14"/>
      <c r="E730" s="25"/>
      <c r="F730" s="25"/>
      <c r="G730" s="14"/>
      <c r="H730" s="14"/>
      <c r="I730" s="14"/>
      <c r="J730" s="7"/>
      <c r="K730" s="14"/>
      <c r="L730" s="7"/>
      <c r="M730" s="14"/>
      <c r="N730" s="14"/>
      <c r="O730" s="7"/>
      <c r="P730" s="13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 x14ac:dyDescent="0.25">
      <c r="A731" s="14"/>
      <c r="B731" s="14"/>
      <c r="C731" s="14"/>
      <c r="D731" s="14"/>
      <c r="E731" s="25"/>
      <c r="F731" s="25"/>
      <c r="G731" s="14"/>
      <c r="H731" s="14"/>
      <c r="I731" s="14"/>
      <c r="J731" s="7"/>
      <c r="K731" s="14"/>
      <c r="L731" s="7"/>
      <c r="M731" s="14"/>
      <c r="N731" s="14"/>
      <c r="O731" s="7"/>
      <c r="P731" s="13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 x14ac:dyDescent="0.25">
      <c r="A732" s="14"/>
      <c r="B732" s="14"/>
      <c r="C732" s="14"/>
      <c r="D732" s="14"/>
      <c r="E732" s="25"/>
      <c r="F732" s="25"/>
      <c r="G732" s="14"/>
      <c r="H732" s="14"/>
      <c r="I732" s="14"/>
      <c r="J732" s="7"/>
      <c r="K732" s="14"/>
      <c r="L732" s="7"/>
      <c r="M732" s="14"/>
      <c r="N732" s="14"/>
      <c r="O732" s="7"/>
      <c r="P732" s="13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 x14ac:dyDescent="0.25">
      <c r="A733" s="14"/>
      <c r="B733" s="14"/>
      <c r="C733" s="14"/>
      <c r="D733" s="14"/>
      <c r="E733" s="25"/>
      <c r="F733" s="25"/>
      <c r="G733" s="14"/>
      <c r="H733" s="14"/>
      <c r="I733" s="14"/>
      <c r="J733" s="7"/>
      <c r="K733" s="14"/>
      <c r="L733" s="7"/>
      <c r="M733" s="14"/>
      <c r="N733" s="14"/>
      <c r="O733" s="7"/>
      <c r="P733" s="13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 x14ac:dyDescent="0.25">
      <c r="A734" s="14"/>
      <c r="B734" s="14"/>
      <c r="C734" s="14"/>
      <c r="D734" s="14"/>
      <c r="E734" s="25"/>
      <c r="F734" s="25"/>
      <c r="G734" s="14"/>
      <c r="H734" s="14"/>
      <c r="I734" s="14"/>
      <c r="J734" s="7"/>
      <c r="K734" s="14"/>
      <c r="L734" s="7"/>
      <c r="M734" s="14"/>
      <c r="N734" s="14"/>
      <c r="O734" s="7"/>
      <c r="P734" s="13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 x14ac:dyDescent="0.25">
      <c r="A735" s="14"/>
      <c r="B735" s="14"/>
      <c r="C735" s="14"/>
      <c r="D735" s="14"/>
      <c r="E735" s="25"/>
      <c r="F735" s="25"/>
      <c r="G735" s="14"/>
      <c r="H735" s="14"/>
      <c r="I735" s="14"/>
      <c r="J735" s="7"/>
      <c r="K735" s="14"/>
      <c r="L735" s="7"/>
      <c r="M735" s="14"/>
      <c r="N735" s="14"/>
      <c r="O735" s="7"/>
      <c r="P735" s="13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 x14ac:dyDescent="0.25">
      <c r="A736" s="14"/>
      <c r="B736" s="14"/>
      <c r="C736" s="14"/>
      <c r="D736" s="14"/>
      <c r="E736" s="25"/>
      <c r="F736" s="25"/>
      <c r="G736" s="14"/>
      <c r="H736" s="14"/>
      <c r="I736" s="14"/>
      <c r="J736" s="7"/>
      <c r="K736" s="14"/>
      <c r="L736" s="7"/>
      <c r="M736" s="14"/>
      <c r="N736" s="14"/>
      <c r="O736" s="7"/>
      <c r="P736" s="13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 x14ac:dyDescent="0.25">
      <c r="A737" s="14"/>
      <c r="B737" s="14"/>
      <c r="C737" s="14"/>
      <c r="D737" s="14"/>
      <c r="E737" s="25"/>
      <c r="F737" s="25"/>
      <c r="G737" s="14"/>
      <c r="H737" s="14"/>
      <c r="I737" s="14"/>
      <c r="J737" s="7"/>
      <c r="K737" s="14"/>
      <c r="L737" s="7"/>
      <c r="M737" s="14"/>
      <c r="N737" s="14"/>
      <c r="O737" s="7"/>
      <c r="P737" s="13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 x14ac:dyDescent="0.25">
      <c r="A738" s="14"/>
      <c r="B738" s="14"/>
      <c r="C738" s="14"/>
      <c r="D738" s="14"/>
      <c r="E738" s="25"/>
      <c r="F738" s="25"/>
      <c r="G738" s="14"/>
      <c r="H738" s="14"/>
      <c r="I738" s="14"/>
      <c r="J738" s="7"/>
      <c r="K738" s="14"/>
      <c r="L738" s="7"/>
      <c r="M738" s="14"/>
      <c r="N738" s="14"/>
      <c r="O738" s="7"/>
      <c r="P738" s="13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 x14ac:dyDescent="0.25">
      <c r="A739" s="14"/>
      <c r="B739" s="14"/>
      <c r="C739" s="14"/>
      <c r="D739" s="14"/>
      <c r="E739" s="25"/>
      <c r="F739" s="25"/>
      <c r="G739" s="14"/>
      <c r="H739" s="14"/>
      <c r="I739" s="14"/>
      <c r="J739" s="7"/>
      <c r="K739" s="14"/>
      <c r="L739" s="7"/>
      <c r="M739" s="14"/>
      <c r="N739" s="14"/>
      <c r="O739" s="7"/>
      <c r="P739" s="13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 x14ac:dyDescent="0.25">
      <c r="A740" s="14"/>
      <c r="B740" s="14"/>
      <c r="C740" s="14"/>
      <c r="D740" s="14"/>
      <c r="E740" s="25"/>
      <c r="F740" s="25"/>
      <c r="G740" s="14"/>
      <c r="H740" s="14"/>
      <c r="I740" s="14"/>
      <c r="J740" s="7"/>
      <c r="K740" s="14"/>
      <c r="L740" s="7"/>
      <c r="M740" s="14"/>
      <c r="N740" s="14"/>
      <c r="O740" s="7"/>
      <c r="P740" s="13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 x14ac:dyDescent="0.25">
      <c r="A741" s="14"/>
      <c r="B741" s="14"/>
      <c r="C741" s="14"/>
      <c r="D741" s="14"/>
      <c r="E741" s="25"/>
      <c r="F741" s="25"/>
      <c r="G741" s="14"/>
      <c r="H741" s="14"/>
      <c r="I741" s="14"/>
      <c r="J741" s="7"/>
      <c r="K741" s="14"/>
      <c r="L741" s="7"/>
      <c r="M741" s="14"/>
      <c r="N741" s="14"/>
      <c r="O741" s="7"/>
      <c r="P741" s="13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 x14ac:dyDescent="0.25">
      <c r="A742" s="14"/>
      <c r="B742" s="14"/>
      <c r="C742" s="14"/>
      <c r="D742" s="14"/>
      <c r="E742" s="25"/>
      <c r="F742" s="25"/>
      <c r="G742" s="14"/>
      <c r="H742" s="14"/>
      <c r="I742" s="14"/>
      <c r="J742" s="7"/>
      <c r="K742" s="14"/>
      <c r="L742" s="7"/>
      <c r="M742" s="14"/>
      <c r="N742" s="14"/>
      <c r="O742" s="7"/>
      <c r="P742" s="13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 x14ac:dyDescent="0.25">
      <c r="A743" s="14"/>
      <c r="B743" s="14"/>
      <c r="C743" s="14"/>
      <c r="D743" s="14"/>
      <c r="E743" s="25"/>
      <c r="F743" s="25"/>
      <c r="G743" s="14"/>
      <c r="H743" s="14"/>
      <c r="I743" s="14"/>
      <c r="J743" s="7"/>
      <c r="K743" s="14"/>
      <c r="L743" s="7"/>
      <c r="M743" s="14"/>
      <c r="N743" s="14"/>
      <c r="O743" s="7"/>
      <c r="P743" s="13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 x14ac:dyDescent="0.25">
      <c r="A744" s="14"/>
      <c r="B744" s="14"/>
      <c r="C744" s="14"/>
      <c r="D744" s="14"/>
      <c r="E744" s="25"/>
      <c r="F744" s="25"/>
      <c r="G744" s="14"/>
      <c r="H744" s="14"/>
      <c r="I744" s="14"/>
      <c r="J744" s="7"/>
      <c r="K744" s="14"/>
      <c r="L744" s="7"/>
      <c r="M744" s="14"/>
      <c r="N744" s="14"/>
      <c r="O744" s="7"/>
      <c r="P744" s="13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 x14ac:dyDescent="0.25">
      <c r="A745" s="14"/>
      <c r="B745" s="14"/>
      <c r="C745" s="14"/>
      <c r="D745" s="14"/>
      <c r="E745" s="25"/>
      <c r="F745" s="25"/>
      <c r="G745" s="14"/>
      <c r="H745" s="14"/>
      <c r="I745" s="14"/>
      <c r="J745" s="7"/>
      <c r="K745" s="14"/>
      <c r="L745" s="7"/>
      <c r="M745" s="14"/>
      <c r="N745" s="14"/>
      <c r="O745" s="7"/>
      <c r="P745" s="13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 x14ac:dyDescent="0.25">
      <c r="A746" s="14"/>
      <c r="B746" s="14"/>
      <c r="C746" s="14"/>
      <c r="D746" s="14"/>
      <c r="E746" s="25"/>
      <c r="F746" s="25"/>
      <c r="G746" s="14"/>
      <c r="H746" s="14"/>
      <c r="I746" s="14"/>
      <c r="J746" s="7"/>
      <c r="K746" s="14"/>
      <c r="L746" s="7"/>
      <c r="M746" s="14"/>
      <c r="N746" s="14"/>
      <c r="O746" s="7"/>
      <c r="P746" s="13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 x14ac:dyDescent="0.25">
      <c r="A747" s="14"/>
      <c r="B747" s="14"/>
      <c r="C747" s="14"/>
      <c r="D747" s="14"/>
      <c r="E747" s="25"/>
      <c r="F747" s="25"/>
      <c r="G747" s="14"/>
      <c r="H747" s="14"/>
      <c r="I747" s="14"/>
      <c r="J747" s="7"/>
      <c r="K747" s="14"/>
      <c r="L747" s="7"/>
      <c r="M747" s="14"/>
      <c r="N747" s="14"/>
      <c r="O747" s="7"/>
      <c r="P747" s="13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 x14ac:dyDescent="0.25">
      <c r="A748" s="14"/>
      <c r="B748" s="14"/>
      <c r="C748" s="14"/>
      <c r="D748" s="14"/>
      <c r="E748" s="25"/>
      <c r="F748" s="25"/>
      <c r="G748" s="14"/>
      <c r="H748" s="14"/>
      <c r="I748" s="14"/>
      <c r="J748" s="7"/>
      <c r="K748" s="14"/>
      <c r="L748" s="7"/>
      <c r="M748" s="14"/>
      <c r="N748" s="14"/>
      <c r="O748" s="7"/>
      <c r="P748" s="13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 x14ac:dyDescent="0.25">
      <c r="A749" s="14"/>
      <c r="B749" s="14"/>
      <c r="C749" s="14"/>
      <c r="D749" s="14"/>
      <c r="E749" s="25"/>
      <c r="F749" s="25"/>
      <c r="G749" s="14"/>
      <c r="H749" s="14"/>
      <c r="I749" s="14"/>
      <c r="J749" s="7"/>
      <c r="K749" s="14"/>
      <c r="L749" s="7"/>
      <c r="M749" s="14"/>
      <c r="N749" s="14"/>
      <c r="O749" s="7"/>
      <c r="P749" s="13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 x14ac:dyDescent="0.25">
      <c r="A750" s="14"/>
      <c r="B750" s="14"/>
      <c r="C750" s="14"/>
      <c r="D750" s="14"/>
      <c r="E750" s="25"/>
      <c r="F750" s="25"/>
      <c r="G750" s="14"/>
      <c r="H750" s="14"/>
      <c r="I750" s="14"/>
      <c r="J750" s="7"/>
      <c r="K750" s="14"/>
      <c r="L750" s="7"/>
      <c r="M750" s="14"/>
      <c r="N750" s="14"/>
      <c r="O750" s="7"/>
      <c r="P750" s="13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 x14ac:dyDescent="0.25">
      <c r="A751" s="14"/>
      <c r="B751" s="14"/>
      <c r="C751" s="14"/>
      <c r="D751" s="14"/>
      <c r="E751" s="25"/>
      <c r="F751" s="25"/>
      <c r="G751" s="14"/>
      <c r="H751" s="14"/>
      <c r="I751" s="14"/>
      <c r="J751" s="7"/>
      <c r="K751" s="14"/>
      <c r="L751" s="7"/>
      <c r="M751" s="14"/>
      <c r="N751" s="14"/>
      <c r="O751" s="7"/>
      <c r="P751" s="13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 x14ac:dyDescent="0.25">
      <c r="A752" s="14"/>
      <c r="B752" s="14"/>
      <c r="C752" s="14"/>
      <c r="D752" s="14"/>
      <c r="E752" s="25"/>
      <c r="F752" s="25"/>
      <c r="G752" s="14"/>
      <c r="H752" s="14"/>
      <c r="I752" s="14"/>
      <c r="J752" s="7"/>
      <c r="K752" s="14"/>
      <c r="L752" s="7"/>
      <c r="M752" s="14"/>
      <c r="N752" s="14"/>
      <c r="O752" s="7"/>
      <c r="P752" s="13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 x14ac:dyDescent="0.25">
      <c r="A753" s="14"/>
      <c r="B753" s="14"/>
      <c r="C753" s="14"/>
      <c r="D753" s="14"/>
      <c r="E753" s="25"/>
      <c r="F753" s="25"/>
      <c r="G753" s="14"/>
      <c r="H753" s="14"/>
      <c r="I753" s="14"/>
      <c r="J753" s="7"/>
      <c r="K753" s="14"/>
      <c r="L753" s="7"/>
      <c r="M753" s="14"/>
      <c r="N753" s="14"/>
      <c r="O753" s="7"/>
      <c r="P753" s="13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 x14ac:dyDescent="0.25">
      <c r="A754" s="14"/>
      <c r="B754" s="14"/>
      <c r="C754" s="14"/>
      <c r="D754" s="14"/>
      <c r="E754" s="25"/>
      <c r="F754" s="25"/>
      <c r="G754" s="14"/>
      <c r="H754" s="14"/>
      <c r="I754" s="14"/>
      <c r="J754" s="7"/>
      <c r="K754" s="14"/>
      <c r="L754" s="7"/>
      <c r="M754" s="14"/>
      <c r="N754" s="14"/>
      <c r="O754" s="7"/>
      <c r="P754" s="13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 x14ac:dyDescent="0.25">
      <c r="A755" s="14"/>
      <c r="B755" s="14"/>
      <c r="C755" s="14"/>
      <c r="D755" s="14"/>
      <c r="E755" s="25"/>
      <c r="F755" s="25"/>
      <c r="G755" s="14"/>
      <c r="H755" s="14"/>
      <c r="I755" s="14"/>
      <c r="J755" s="7"/>
      <c r="K755" s="14"/>
      <c r="L755" s="7"/>
      <c r="M755" s="14"/>
      <c r="N755" s="14"/>
      <c r="O755" s="7"/>
      <c r="P755" s="13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 x14ac:dyDescent="0.25">
      <c r="A756" s="14"/>
      <c r="B756" s="14"/>
      <c r="C756" s="14"/>
      <c r="D756" s="14"/>
      <c r="E756" s="25"/>
      <c r="F756" s="25"/>
      <c r="G756" s="14"/>
      <c r="H756" s="14"/>
      <c r="I756" s="14"/>
      <c r="J756" s="7"/>
      <c r="K756" s="14"/>
      <c r="L756" s="7"/>
      <c r="M756" s="14"/>
      <c r="N756" s="14"/>
      <c r="O756" s="7"/>
      <c r="P756" s="13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 x14ac:dyDescent="0.25">
      <c r="A757" s="14"/>
      <c r="B757" s="14"/>
      <c r="C757" s="14"/>
      <c r="D757" s="14"/>
      <c r="E757" s="25"/>
      <c r="F757" s="25"/>
      <c r="G757" s="14"/>
      <c r="H757" s="14"/>
      <c r="I757" s="14"/>
      <c r="J757" s="7"/>
      <c r="K757" s="14"/>
      <c r="L757" s="7"/>
      <c r="M757" s="14"/>
      <c r="N757" s="14"/>
      <c r="O757" s="7"/>
      <c r="P757" s="13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 x14ac:dyDescent="0.25">
      <c r="A758" s="14"/>
      <c r="B758" s="14"/>
      <c r="C758" s="14"/>
      <c r="D758" s="14"/>
      <c r="E758" s="25"/>
      <c r="F758" s="25"/>
      <c r="G758" s="14"/>
      <c r="H758" s="14"/>
      <c r="I758" s="14"/>
      <c r="J758" s="7"/>
      <c r="K758" s="14"/>
      <c r="L758" s="7"/>
      <c r="M758" s="14"/>
      <c r="N758" s="14"/>
      <c r="O758" s="7"/>
      <c r="P758" s="13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 x14ac:dyDescent="0.25">
      <c r="A759" s="14"/>
      <c r="B759" s="14"/>
      <c r="C759" s="14"/>
      <c r="D759" s="14"/>
      <c r="E759" s="25"/>
      <c r="F759" s="25"/>
      <c r="G759" s="14"/>
      <c r="H759" s="14"/>
      <c r="I759" s="14"/>
      <c r="J759" s="7"/>
      <c r="K759" s="14"/>
      <c r="L759" s="7"/>
      <c r="M759" s="14"/>
      <c r="N759" s="14"/>
      <c r="O759" s="7"/>
      <c r="P759" s="13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 x14ac:dyDescent="0.25">
      <c r="A760" s="14"/>
      <c r="B760" s="14"/>
      <c r="C760" s="14"/>
      <c r="D760" s="14"/>
      <c r="E760" s="25"/>
      <c r="F760" s="25"/>
      <c r="G760" s="14"/>
      <c r="H760" s="14"/>
      <c r="I760" s="14"/>
      <c r="J760" s="7"/>
      <c r="K760" s="14"/>
      <c r="L760" s="7"/>
      <c r="M760" s="14"/>
      <c r="N760" s="14"/>
      <c r="O760" s="7"/>
      <c r="P760" s="13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 x14ac:dyDescent="0.25">
      <c r="A761" s="14"/>
      <c r="B761" s="14"/>
      <c r="C761" s="14"/>
      <c r="D761" s="14"/>
      <c r="E761" s="25"/>
      <c r="F761" s="25"/>
      <c r="G761" s="14"/>
      <c r="H761" s="14"/>
      <c r="I761" s="14"/>
      <c r="J761" s="7"/>
      <c r="K761" s="14"/>
      <c r="L761" s="7"/>
      <c r="M761" s="14"/>
      <c r="N761" s="14"/>
      <c r="O761" s="7"/>
      <c r="P761" s="13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 x14ac:dyDescent="0.25">
      <c r="A762" s="14"/>
      <c r="B762" s="14"/>
      <c r="C762" s="14"/>
      <c r="D762" s="14"/>
      <c r="E762" s="25"/>
      <c r="F762" s="25"/>
      <c r="G762" s="14"/>
      <c r="H762" s="14"/>
      <c r="I762" s="14"/>
      <c r="J762" s="7"/>
      <c r="K762" s="14"/>
      <c r="L762" s="7"/>
      <c r="M762" s="14"/>
      <c r="N762" s="14"/>
      <c r="O762" s="7"/>
      <c r="P762" s="13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 x14ac:dyDescent="0.25">
      <c r="A763" s="14"/>
      <c r="B763" s="14"/>
      <c r="C763" s="14"/>
      <c r="D763" s="14"/>
      <c r="E763" s="25"/>
      <c r="F763" s="25"/>
      <c r="G763" s="14"/>
      <c r="H763" s="14"/>
      <c r="I763" s="14"/>
      <c r="J763" s="7"/>
      <c r="K763" s="14"/>
      <c r="L763" s="7"/>
      <c r="M763" s="14"/>
      <c r="N763" s="14"/>
      <c r="O763" s="7"/>
      <c r="P763" s="13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 x14ac:dyDescent="0.25">
      <c r="A764" s="14"/>
      <c r="B764" s="14"/>
      <c r="C764" s="14"/>
      <c r="D764" s="14"/>
      <c r="E764" s="25"/>
      <c r="F764" s="25"/>
      <c r="G764" s="14"/>
      <c r="H764" s="14"/>
      <c r="I764" s="14"/>
      <c r="J764" s="7"/>
      <c r="K764" s="14"/>
      <c r="L764" s="7"/>
      <c r="M764" s="14"/>
      <c r="N764" s="14"/>
      <c r="O764" s="7"/>
      <c r="P764" s="13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 x14ac:dyDescent="0.25">
      <c r="A765" s="14"/>
      <c r="B765" s="14"/>
      <c r="C765" s="14"/>
      <c r="D765" s="14"/>
      <c r="E765" s="25"/>
      <c r="F765" s="25"/>
      <c r="G765" s="14"/>
      <c r="H765" s="14"/>
      <c r="I765" s="14"/>
      <c r="J765" s="7"/>
      <c r="K765" s="14"/>
      <c r="L765" s="7"/>
      <c r="M765" s="14"/>
      <c r="N765" s="14"/>
      <c r="O765" s="7"/>
      <c r="P765" s="13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 x14ac:dyDescent="0.25">
      <c r="A766" s="14"/>
      <c r="B766" s="14"/>
      <c r="C766" s="14"/>
      <c r="D766" s="14"/>
      <c r="E766" s="25"/>
      <c r="F766" s="25"/>
      <c r="G766" s="14"/>
      <c r="H766" s="14"/>
      <c r="I766" s="14"/>
      <c r="J766" s="7"/>
      <c r="K766" s="14"/>
      <c r="L766" s="7"/>
      <c r="M766" s="14"/>
      <c r="N766" s="14"/>
      <c r="O766" s="7"/>
      <c r="P766" s="13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 x14ac:dyDescent="0.25">
      <c r="A767" s="14"/>
      <c r="B767" s="14"/>
      <c r="C767" s="14"/>
      <c r="D767" s="14"/>
      <c r="E767" s="25"/>
      <c r="F767" s="25"/>
      <c r="G767" s="14"/>
      <c r="H767" s="14"/>
      <c r="I767" s="14"/>
      <c r="J767" s="7"/>
      <c r="K767" s="14"/>
      <c r="L767" s="7"/>
      <c r="M767" s="14"/>
      <c r="N767" s="14"/>
      <c r="O767" s="7"/>
      <c r="P767" s="13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 x14ac:dyDescent="0.25">
      <c r="A768" s="14"/>
      <c r="B768" s="14"/>
      <c r="C768" s="14"/>
      <c r="D768" s="14"/>
      <c r="E768" s="25"/>
      <c r="F768" s="25"/>
      <c r="G768" s="14"/>
      <c r="H768" s="14"/>
      <c r="I768" s="14"/>
      <c r="J768" s="7"/>
      <c r="K768" s="14"/>
      <c r="L768" s="7"/>
      <c r="M768" s="14"/>
      <c r="N768" s="14"/>
      <c r="O768" s="7"/>
      <c r="P768" s="13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 x14ac:dyDescent="0.25">
      <c r="A769" s="14"/>
      <c r="B769" s="14"/>
      <c r="C769" s="14"/>
      <c r="D769" s="14"/>
      <c r="E769" s="25"/>
      <c r="F769" s="25"/>
      <c r="G769" s="14"/>
      <c r="H769" s="14"/>
      <c r="I769" s="14"/>
      <c r="J769" s="7"/>
      <c r="K769" s="14"/>
      <c r="L769" s="7"/>
      <c r="M769" s="14"/>
      <c r="N769" s="14"/>
      <c r="O769" s="7"/>
      <c r="P769" s="13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 x14ac:dyDescent="0.25">
      <c r="A770" s="14"/>
      <c r="B770" s="14"/>
      <c r="C770" s="14"/>
      <c r="D770" s="14"/>
      <c r="E770" s="25"/>
      <c r="F770" s="25"/>
      <c r="G770" s="14"/>
      <c r="H770" s="14"/>
      <c r="I770" s="14"/>
      <c r="J770" s="7"/>
      <c r="K770" s="14"/>
      <c r="L770" s="7"/>
      <c r="M770" s="14"/>
      <c r="N770" s="14"/>
      <c r="O770" s="7"/>
      <c r="P770" s="13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 x14ac:dyDescent="0.25">
      <c r="A771" s="14"/>
      <c r="B771" s="14"/>
      <c r="C771" s="14"/>
      <c r="D771" s="14"/>
      <c r="E771" s="25"/>
      <c r="F771" s="25"/>
      <c r="G771" s="14"/>
      <c r="H771" s="14"/>
      <c r="I771" s="14"/>
      <c r="J771" s="7"/>
      <c r="K771" s="14"/>
      <c r="L771" s="7"/>
      <c r="M771" s="14"/>
      <c r="N771" s="14"/>
      <c r="O771" s="7"/>
      <c r="P771" s="13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 x14ac:dyDescent="0.25">
      <c r="A772" s="14"/>
      <c r="B772" s="14"/>
      <c r="C772" s="14"/>
      <c r="D772" s="14"/>
      <c r="E772" s="25"/>
      <c r="F772" s="25"/>
      <c r="G772" s="14"/>
      <c r="H772" s="14"/>
      <c r="I772" s="14"/>
      <c r="J772" s="7"/>
      <c r="K772" s="14"/>
      <c r="L772" s="7"/>
      <c r="M772" s="14"/>
      <c r="N772" s="14"/>
      <c r="O772" s="7"/>
      <c r="P772" s="13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 x14ac:dyDescent="0.25">
      <c r="A773" s="14"/>
      <c r="B773" s="14"/>
      <c r="C773" s="14"/>
      <c r="D773" s="14"/>
      <c r="E773" s="25"/>
      <c r="F773" s="25"/>
      <c r="G773" s="14"/>
      <c r="H773" s="14"/>
      <c r="I773" s="14"/>
      <c r="J773" s="7"/>
      <c r="K773" s="14"/>
      <c r="L773" s="7"/>
      <c r="M773" s="14"/>
      <c r="N773" s="14"/>
      <c r="O773" s="7"/>
      <c r="P773" s="13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 x14ac:dyDescent="0.25">
      <c r="A774" s="14"/>
      <c r="B774" s="14"/>
      <c r="C774" s="14"/>
      <c r="D774" s="14"/>
      <c r="E774" s="25"/>
      <c r="F774" s="25"/>
      <c r="G774" s="14"/>
      <c r="H774" s="14"/>
      <c r="I774" s="14"/>
      <c r="J774" s="7"/>
      <c r="K774" s="14"/>
      <c r="L774" s="7"/>
      <c r="M774" s="14"/>
      <c r="N774" s="14"/>
      <c r="O774" s="7"/>
      <c r="P774" s="13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 x14ac:dyDescent="0.25">
      <c r="A775" s="14"/>
      <c r="B775" s="14"/>
      <c r="C775" s="14"/>
      <c r="D775" s="14"/>
      <c r="E775" s="25"/>
      <c r="F775" s="25"/>
      <c r="G775" s="14"/>
      <c r="H775" s="14"/>
      <c r="I775" s="14"/>
      <c r="J775" s="7"/>
      <c r="K775" s="14"/>
      <c r="L775" s="7"/>
      <c r="M775" s="14"/>
      <c r="N775" s="14"/>
      <c r="O775" s="7"/>
      <c r="P775" s="13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 x14ac:dyDescent="0.25">
      <c r="A776" s="14"/>
      <c r="B776" s="14"/>
      <c r="C776" s="14"/>
      <c r="D776" s="14"/>
      <c r="E776" s="25"/>
      <c r="F776" s="25"/>
      <c r="G776" s="14"/>
      <c r="H776" s="14"/>
      <c r="I776" s="14"/>
      <c r="J776" s="7"/>
      <c r="K776" s="14"/>
      <c r="L776" s="7"/>
      <c r="M776" s="14"/>
      <c r="N776" s="14"/>
      <c r="O776" s="7"/>
      <c r="P776" s="13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 x14ac:dyDescent="0.25">
      <c r="A777" s="14"/>
      <c r="B777" s="14"/>
      <c r="C777" s="14"/>
      <c r="D777" s="14"/>
      <c r="E777" s="25"/>
      <c r="F777" s="25"/>
      <c r="G777" s="14"/>
      <c r="H777" s="14"/>
      <c r="I777" s="14"/>
      <c r="J777" s="7"/>
      <c r="K777" s="14"/>
      <c r="L777" s="7"/>
      <c r="M777" s="14"/>
      <c r="N777" s="14"/>
      <c r="O777" s="7"/>
      <c r="P777" s="13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 x14ac:dyDescent="0.25">
      <c r="A778" s="14"/>
      <c r="B778" s="14"/>
      <c r="C778" s="14"/>
      <c r="D778" s="14"/>
      <c r="E778" s="25"/>
      <c r="F778" s="25"/>
      <c r="G778" s="14"/>
      <c r="H778" s="14"/>
      <c r="I778" s="14"/>
      <c r="J778" s="7"/>
      <c r="K778" s="14"/>
      <c r="L778" s="7"/>
      <c r="M778" s="14"/>
      <c r="N778" s="14"/>
      <c r="O778" s="7"/>
      <c r="P778" s="13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 x14ac:dyDescent="0.25">
      <c r="A779" s="14"/>
      <c r="B779" s="14"/>
      <c r="C779" s="14"/>
      <c r="D779" s="14"/>
      <c r="E779" s="25"/>
      <c r="F779" s="25"/>
      <c r="G779" s="14"/>
      <c r="H779" s="14"/>
      <c r="I779" s="14"/>
      <c r="J779" s="7"/>
      <c r="K779" s="14"/>
      <c r="L779" s="7"/>
      <c r="M779" s="14"/>
      <c r="N779" s="14"/>
      <c r="O779" s="7"/>
      <c r="P779" s="13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 x14ac:dyDescent="0.25">
      <c r="A780" s="14"/>
      <c r="B780" s="14"/>
      <c r="C780" s="14"/>
      <c r="D780" s="14"/>
      <c r="E780" s="25"/>
      <c r="F780" s="25"/>
      <c r="G780" s="14"/>
      <c r="H780" s="14"/>
      <c r="I780" s="14"/>
      <c r="J780" s="7"/>
      <c r="K780" s="14"/>
      <c r="L780" s="7"/>
      <c r="M780" s="14"/>
      <c r="N780" s="14"/>
      <c r="O780" s="7"/>
      <c r="P780" s="13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 x14ac:dyDescent="0.25">
      <c r="A781" s="14"/>
      <c r="B781" s="14"/>
      <c r="C781" s="14"/>
      <c r="D781" s="14"/>
      <c r="E781" s="25"/>
      <c r="F781" s="25"/>
      <c r="G781" s="14"/>
      <c r="H781" s="14"/>
      <c r="I781" s="14"/>
      <c r="J781" s="7"/>
      <c r="K781" s="14"/>
      <c r="L781" s="7"/>
      <c r="M781" s="14"/>
      <c r="N781" s="14"/>
      <c r="O781" s="7"/>
      <c r="P781" s="13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 x14ac:dyDescent="0.25">
      <c r="A782" s="14"/>
      <c r="B782" s="14"/>
      <c r="C782" s="14"/>
      <c r="D782" s="14"/>
      <c r="E782" s="25"/>
      <c r="F782" s="25"/>
      <c r="G782" s="14"/>
      <c r="H782" s="14"/>
      <c r="I782" s="14"/>
      <c r="J782" s="7"/>
      <c r="K782" s="14"/>
      <c r="L782" s="7"/>
      <c r="M782" s="14"/>
      <c r="N782" s="14"/>
      <c r="O782" s="7"/>
      <c r="P782" s="13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 x14ac:dyDescent="0.25">
      <c r="A783" s="14"/>
      <c r="B783" s="14"/>
      <c r="C783" s="14"/>
      <c r="D783" s="14"/>
      <c r="E783" s="25"/>
      <c r="F783" s="25"/>
      <c r="G783" s="14"/>
      <c r="H783" s="14"/>
      <c r="I783" s="14"/>
      <c r="J783" s="7"/>
      <c r="K783" s="14"/>
      <c r="L783" s="7"/>
      <c r="M783" s="14"/>
      <c r="N783" s="14"/>
      <c r="O783" s="7"/>
      <c r="P783" s="13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 x14ac:dyDescent="0.25">
      <c r="A784" s="14"/>
      <c r="B784" s="14"/>
      <c r="C784" s="14"/>
      <c r="D784" s="14"/>
      <c r="E784" s="25"/>
      <c r="F784" s="25"/>
      <c r="G784" s="14"/>
      <c r="H784" s="14"/>
      <c r="I784" s="14"/>
      <c r="J784" s="7"/>
      <c r="K784" s="14"/>
      <c r="L784" s="7"/>
      <c r="M784" s="14"/>
      <c r="N784" s="14"/>
      <c r="O784" s="7"/>
      <c r="P784" s="13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 x14ac:dyDescent="0.25">
      <c r="A785" s="14"/>
      <c r="B785" s="14"/>
      <c r="C785" s="14"/>
      <c r="D785" s="14"/>
      <c r="E785" s="25"/>
      <c r="F785" s="25"/>
      <c r="G785" s="14"/>
      <c r="H785" s="14"/>
      <c r="I785" s="14"/>
      <c r="J785" s="7"/>
      <c r="K785" s="14"/>
      <c r="L785" s="7"/>
      <c r="M785" s="14"/>
      <c r="N785" s="14"/>
      <c r="O785" s="7"/>
      <c r="P785" s="13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 x14ac:dyDescent="0.25">
      <c r="A786" s="14"/>
      <c r="B786" s="14"/>
      <c r="C786" s="14"/>
      <c r="D786" s="14"/>
      <c r="E786" s="25"/>
      <c r="F786" s="25"/>
      <c r="G786" s="14"/>
      <c r="H786" s="14"/>
      <c r="I786" s="14"/>
      <c r="J786" s="7"/>
      <c r="K786" s="14"/>
      <c r="L786" s="7"/>
      <c r="M786" s="14"/>
      <c r="N786" s="14"/>
      <c r="O786" s="7"/>
      <c r="P786" s="13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 x14ac:dyDescent="0.25">
      <c r="A787" s="14"/>
      <c r="B787" s="14"/>
      <c r="C787" s="14"/>
      <c r="D787" s="14"/>
      <c r="E787" s="25"/>
      <c r="F787" s="25"/>
      <c r="G787" s="14"/>
      <c r="H787" s="14"/>
      <c r="I787" s="14"/>
      <c r="J787" s="7"/>
      <c r="K787" s="14"/>
      <c r="L787" s="7"/>
      <c r="M787" s="14"/>
      <c r="N787" s="14"/>
      <c r="O787" s="7"/>
      <c r="P787" s="13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 x14ac:dyDescent="0.25">
      <c r="A788" s="14"/>
      <c r="B788" s="14"/>
      <c r="C788" s="14"/>
      <c r="D788" s="14"/>
      <c r="E788" s="25"/>
      <c r="F788" s="25"/>
      <c r="G788" s="14"/>
      <c r="H788" s="14"/>
      <c r="I788" s="14"/>
      <c r="J788" s="7"/>
      <c r="K788" s="14"/>
      <c r="L788" s="7"/>
      <c r="M788" s="14"/>
      <c r="N788" s="14"/>
      <c r="O788" s="7"/>
      <c r="P788" s="13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 x14ac:dyDescent="0.25">
      <c r="A789" s="14"/>
      <c r="B789" s="14"/>
      <c r="C789" s="14"/>
      <c r="D789" s="14"/>
      <c r="E789" s="25"/>
      <c r="F789" s="25"/>
      <c r="G789" s="14"/>
      <c r="H789" s="14"/>
      <c r="I789" s="14"/>
      <c r="J789" s="7"/>
      <c r="K789" s="14"/>
      <c r="L789" s="7"/>
      <c r="M789" s="14"/>
      <c r="N789" s="14"/>
      <c r="O789" s="7"/>
      <c r="P789" s="13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 x14ac:dyDescent="0.25">
      <c r="A790" s="14"/>
      <c r="B790" s="14"/>
      <c r="C790" s="14"/>
      <c r="D790" s="14"/>
      <c r="E790" s="25"/>
      <c r="F790" s="25"/>
      <c r="G790" s="14"/>
      <c r="H790" s="14"/>
      <c r="I790" s="14"/>
      <c r="J790" s="7"/>
      <c r="K790" s="14"/>
      <c r="L790" s="7"/>
      <c r="M790" s="14"/>
      <c r="N790" s="14"/>
      <c r="O790" s="7"/>
      <c r="P790" s="13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 x14ac:dyDescent="0.25">
      <c r="A791" s="14"/>
      <c r="B791" s="14"/>
      <c r="C791" s="14"/>
      <c r="D791" s="14"/>
      <c r="E791" s="25"/>
      <c r="F791" s="25"/>
      <c r="G791" s="14"/>
      <c r="H791" s="14"/>
      <c r="I791" s="14"/>
      <c r="J791" s="7"/>
      <c r="K791" s="14"/>
      <c r="L791" s="7"/>
      <c r="M791" s="14"/>
      <c r="N791" s="14"/>
      <c r="O791" s="7"/>
      <c r="P791" s="13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 x14ac:dyDescent="0.25">
      <c r="A792" s="14"/>
      <c r="B792" s="14"/>
      <c r="C792" s="14"/>
      <c r="D792" s="14"/>
      <c r="E792" s="25"/>
      <c r="F792" s="25"/>
      <c r="G792" s="14"/>
      <c r="H792" s="14"/>
      <c r="I792" s="14"/>
      <c r="J792" s="7"/>
      <c r="K792" s="14"/>
      <c r="L792" s="7"/>
      <c r="M792" s="14"/>
      <c r="N792" s="14"/>
      <c r="O792" s="7"/>
      <c r="P792" s="13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 x14ac:dyDescent="0.25">
      <c r="A793" s="14"/>
      <c r="B793" s="14"/>
      <c r="C793" s="14"/>
      <c r="D793" s="14"/>
      <c r="E793" s="25"/>
      <c r="F793" s="25"/>
      <c r="G793" s="14"/>
      <c r="H793" s="14"/>
      <c r="I793" s="14"/>
      <c r="J793" s="7"/>
      <c r="K793" s="14"/>
      <c r="L793" s="7"/>
      <c r="M793" s="14"/>
      <c r="N793" s="14"/>
      <c r="O793" s="7"/>
      <c r="P793" s="13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 x14ac:dyDescent="0.25">
      <c r="A794" s="14"/>
      <c r="B794" s="14"/>
      <c r="C794" s="14"/>
      <c r="D794" s="14"/>
      <c r="E794" s="25"/>
      <c r="F794" s="25"/>
      <c r="G794" s="14"/>
      <c r="H794" s="14"/>
      <c r="I794" s="14"/>
      <c r="J794" s="7"/>
      <c r="K794" s="14"/>
      <c r="L794" s="7"/>
      <c r="M794" s="14"/>
      <c r="N794" s="14"/>
      <c r="O794" s="7"/>
      <c r="P794" s="13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 x14ac:dyDescent="0.25">
      <c r="A795" s="14"/>
      <c r="B795" s="14"/>
      <c r="C795" s="14"/>
      <c r="D795" s="14"/>
      <c r="E795" s="25"/>
      <c r="F795" s="25"/>
      <c r="G795" s="14"/>
      <c r="H795" s="14"/>
      <c r="I795" s="14"/>
      <c r="J795" s="7"/>
      <c r="K795" s="14"/>
      <c r="L795" s="7"/>
      <c r="M795" s="14"/>
      <c r="N795" s="14"/>
      <c r="O795" s="7"/>
      <c r="P795" s="13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 x14ac:dyDescent="0.25">
      <c r="A796" s="14"/>
      <c r="B796" s="14"/>
      <c r="C796" s="14"/>
      <c r="D796" s="14"/>
      <c r="E796" s="25"/>
      <c r="F796" s="25"/>
      <c r="G796" s="14"/>
      <c r="H796" s="14"/>
      <c r="I796" s="14"/>
      <c r="J796" s="7"/>
      <c r="K796" s="14"/>
      <c r="L796" s="7"/>
      <c r="M796" s="14"/>
      <c r="N796" s="14"/>
      <c r="O796" s="7"/>
      <c r="P796" s="13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 x14ac:dyDescent="0.25">
      <c r="A797" s="14"/>
      <c r="B797" s="14"/>
      <c r="C797" s="14"/>
      <c r="D797" s="14"/>
      <c r="E797" s="25"/>
      <c r="F797" s="25"/>
      <c r="G797" s="14"/>
      <c r="H797" s="14"/>
      <c r="I797" s="14"/>
      <c r="J797" s="7"/>
      <c r="K797" s="14"/>
      <c r="L797" s="7"/>
      <c r="M797" s="14"/>
      <c r="N797" s="14"/>
      <c r="O797" s="7"/>
      <c r="P797" s="13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 x14ac:dyDescent="0.25">
      <c r="A798" s="14"/>
      <c r="B798" s="14"/>
      <c r="C798" s="14"/>
      <c r="D798" s="14"/>
      <c r="E798" s="25"/>
      <c r="F798" s="25"/>
      <c r="G798" s="14"/>
      <c r="H798" s="14"/>
      <c r="I798" s="14"/>
      <c r="J798" s="7"/>
      <c r="K798" s="14"/>
      <c r="L798" s="7"/>
      <c r="M798" s="14"/>
      <c r="N798" s="14"/>
      <c r="O798" s="7"/>
      <c r="P798" s="13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 x14ac:dyDescent="0.25">
      <c r="A799" s="14"/>
      <c r="B799" s="14"/>
      <c r="C799" s="14"/>
      <c r="D799" s="14"/>
      <c r="E799" s="25"/>
      <c r="F799" s="25"/>
      <c r="G799" s="14"/>
      <c r="H799" s="14"/>
      <c r="I799" s="14"/>
      <c r="J799" s="7"/>
      <c r="K799" s="14"/>
      <c r="L799" s="7"/>
      <c r="M799" s="14"/>
      <c r="N799" s="14"/>
      <c r="O799" s="7"/>
      <c r="P799" s="13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 x14ac:dyDescent="0.25">
      <c r="A800" s="14"/>
      <c r="B800" s="14"/>
      <c r="C800" s="14"/>
      <c r="D800" s="14"/>
      <c r="E800" s="25"/>
      <c r="F800" s="25"/>
      <c r="G800" s="14"/>
      <c r="H800" s="14"/>
      <c r="I800" s="14"/>
      <c r="J800" s="7"/>
      <c r="K800" s="14"/>
      <c r="L800" s="7"/>
      <c r="M800" s="14"/>
      <c r="N800" s="14"/>
      <c r="O800" s="7"/>
      <c r="P800" s="13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 x14ac:dyDescent="0.25">
      <c r="A801" s="14"/>
      <c r="B801" s="14"/>
      <c r="C801" s="14"/>
      <c r="D801" s="14"/>
      <c r="E801" s="25"/>
      <c r="F801" s="25"/>
      <c r="G801" s="14"/>
      <c r="H801" s="14"/>
      <c r="I801" s="14"/>
      <c r="J801" s="7"/>
      <c r="K801" s="14"/>
      <c r="L801" s="7"/>
      <c r="M801" s="14"/>
      <c r="N801" s="14"/>
      <c r="O801" s="7"/>
      <c r="P801" s="13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 x14ac:dyDescent="0.25">
      <c r="A802" s="14"/>
      <c r="B802" s="14"/>
      <c r="C802" s="14"/>
      <c r="D802" s="14"/>
      <c r="E802" s="25"/>
      <c r="F802" s="25"/>
      <c r="G802" s="14"/>
      <c r="H802" s="14"/>
      <c r="I802" s="14"/>
      <c r="J802" s="7"/>
      <c r="K802" s="14"/>
      <c r="L802" s="7"/>
      <c r="M802" s="14"/>
      <c r="N802" s="14"/>
      <c r="O802" s="7"/>
      <c r="P802" s="13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 x14ac:dyDescent="0.25">
      <c r="A803" s="14"/>
      <c r="B803" s="14"/>
      <c r="C803" s="14"/>
      <c r="D803" s="14"/>
      <c r="E803" s="25"/>
      <c r="F803" s="25"/>
      <c r="G803" s="14"/>
      <c r="H803" s="14"/>
      <c r="I803" s="14"/>
      <c r="J803" s="7"/>
      <c r="K803" s="14"/>
      <c r="L803" s="7"/>
      <c r="M803" s="14"/>
      <c r="N803" s="14"/>
      <c r="O803" s="7"/>
      <c r="P803" s="13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 x14ac:dyDescent="0.25">
      <c r="A804" s="14"/>
      <c r="B804" s="14"/>
      <c r="C804" s="14"/>
      <c r="D804" s="14"/>
      <c r="E804" s="25"/>
      <c r="F804" s="25"/>
      <c r="G804" s="14"/>
      <c r="H804" s="14"/>
      <c r="I804" s="14"/>
      <c r="J804" s="7"/>
      <c r="K804" s="14"/>
      <c r="L804" s="7"/>
      <c r="M804" s="14"/>
      <c r="N804" s="14"/>
      <c r="O804" s="7"/>
      <c r="P804" s="13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 x14ac:dyDescent="0.25">
      <c r="A805" s="14"/>
      <c r="B805" s="14"/>
      <c r="C805" s="14"/>
      <c r="D805" s="14"/>
      <c r="E805" s="25"/>
      <c r="F805" s="25"/>
      <c r="G805" s="14"/>
      <c r="H805" s="14"/>
      <c r="I805" s="14"/>
      <c r="J805" s="7"/>
      <c r="K805" s="14"/>
      <c r="L805" s="7"/>
      <c r="M805" s="14"/>
      <c r="N805" s="14"/>
      <c r="O805" s="7"/>
      <c r="P805" s="13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 x14ac:dyDescent="0.25">
      <c r="A806" s="14"/>
      <c r="B806" s="14"/>
      <c r="C806" s="14"/>
      <c r="D806" s="14"/>
      <c r="E806" s="25"/>
      <c r="F806" s="25"/>
      <c r="G806" s="14"/>
      <c r="H806" s="14"/>
      <c r="I806" s="14"/>
      <c r="J806" s="7"/>
      <c r="K806" s="14"/>
      <c r="L806" s="7"/>
      <c r="M806" s="14"/>
      <c r="N806" s="14"/>
      <c r="O806" s="7"/>
      <c r="P806" s="13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 x14ac:dyDescent="0.25">
      <c r="A807" s="14"/>
      <c r="B807" s="14"/>
      <c r="C807" s="14"/>
      <c r="D807" s="14"/>
      <c r="E807" s="25"/>
      <c r="F807" s="25"/>
      <c r="G807" s="14"/>
      <c r="H807" s="14"/>
      <c r="I807" s="14"/>
      <c r="J807" s="7"/>
      <c r="K807" s="14"/>
      <c r="L807" s="7"/>
      <c r="M807" s="14"/>
      <c r="N807" s="14"/>
      <c r="O807" s="7"/>
      <c r="P807" s="13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 x14ac:dyDescent="0.25">
      <c r="A808" s="14"/>
      <c r="B808" s="14"/>
      <c r="C808" s="14"/>
      <c r="D808" s="14"/>
      <c r="E808" s="25"/>
      <c r="F808" s="25"/>
      <c r="G808" s="14"/>
      <c r="H808" s="14"/>
      <c r="I808" s="14"/>
      <c r="J808" s="7"/>
      <c r="K808" s="14"/>
      <c r="L808" s="7"/>
      <c r="M808" s="14"/>
      <c r="N808" s="14"/>
      <c r="O808" s="7"/>
      <c r="P808" s="13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 x14ac:dyDescent="0.25">
      <c r="A809" s="14"/>
      <c r="B809" s="14"/>
      <c r="C809" s="14"/>
      <c r="D809" s="14"/>
      <c r="E809" s="25"/>
      <c r="F809" s="25"/>
      <c r="G809" s="14"/>
      <c r="H809" s="14"/>
      <c r="I809" s="14"/>
      <c r="J809" s="7"/>
      <c r="K809" s="14"/>
      <c r="L809" s="7"/>
      <c r="M809" s="14"/>
      <c r="N809" s="14"/>
      <c r="O809" s="7"/>
      <c r="P809" s="13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 x14ac:dyDescent="0.25">
      <c r="A810" s="14"/>
      <c r="B810" s="14"/>
      <c r="C810" s="14"/>
      <c r="D810" s="14"/>
      <c r="E810" s="25"/>
      <c r="F810" s="25"/>
      <c r="G810" s="14"/>
      <c r="H810" s="14"/>
      <c r="I810" s="14"/>
      <c r="J810" s="7"/>
      <c r="K810" s="14"/>
      <c r="L810" s="7"/>
      <c r="M810" s="14"/>
      <c r="N810" s="14"/>
      <c r="O810" s="7"/>
      <c r="P810" s="13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 x14ac:dyDescent="0.25">
      <c r="A811" s="14"/>
      <c r="B811" s="14"/>
      <c r="C811" s="14"/>
      <c r="D811" s="14"/>
      <c r="E811" s="25"/>
      <c r="F811" s="25"/>
      <c r="G811" s="14"/>
      <c r="H811" s="14"/>
      <c r="I811" s="14"/>
      <c r="J811" s="7"/>
      <c r="K811" s="14"/>
      <c r="L811" s="7"/>
      <c r="M811" s="14"/>
      <c r="N811" s="14"/>
      <c r="O811" s="7"/>
      <c r="P811" s="13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 x14ac:dyDescent="0.25">
      <c r="A812" s="14"/>
      <c r="B812" s="14"/>
      <c r="C812" s="14"/>
      <c r="D812" s="14"/>
      <c r="E812" s="25"/>
      <c r="F812" s="25"/>
      <c r="G812" s="14"/>
      <c r="H812" s="14"/>
      <c r="I812" s="14"/>
      <c r="J812" s="7"/>
      <c r="K812" s="14"/>
      <c r="L812" s="7"/>
      <c r="M812" s="14"/>
      <c r="N812" s="14"/>
      <c r="O812" s="7"/>
      <c r="P812" s="13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 x14ac:dyDescent="0.25">
      <c r="A813" s="14"/>
      <c r="B813" s="14"/>
      <c r="C813" s="14"/>
      <c r="D813" s="14"/>
      <c r="E813" s="25"/>
      <c r="F813" s="25"/>
      <c r="G813" s="14"/>
      <c r="H813" s="14"/>
      <c r="I813" s="14"/>
      <c r="J813" s="7"/>
      <c r="K813" s="14"/>
      <c r="L813" s="7"/>
      <c r="M813" s="14"/>
      <c r="N813" s="14"/>
      <c r="O813" s="7"/>
      <c r="P813" s="13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 x14ac:dyDescent="0.25">
      <c r="A814" s="14"/>
      <c r="B814" s="14"/>
      <c r="C814" s="14"/>
      <c r="D814" s="14"/>
      <c r="E814" s="25"/>
      <c r="F814" s="25"/>
      <c r="G814" s="14"/>
      <c r="H814" s="14"/>
      <c r="I814" s="14"/>
      <c r="J814" s="7"/>
      <c r="K814" s="14"/>
      <c r="L814" s="7"/>
      <c r="M814" s="14"/>
      <c r="N814" s="14"/>
      <c r="O814" s="7"/>
      <c r="P814" s="13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 x14ac:dyDescent="0.25">
      <c r="A815" s="14"/>
      <c r="B815" s="14"/>
      <c r="C815" s="14"/>
      <c r="D815" s="14"/>
      <c r="E815" s="25"/>
      <c r="F815" s="25"/>
      <c r="G815" s="14"/>
      <c r="H815" s="14"/>
      <c r="I815" s="14"/>
      <c r="J815" s="7"/>
      <c r="K815" s="14"/>
      <c r="L815" s="7"/>
      <c r="M815" s="14"/>
      <c r="N815" s="14"/>
      <c r="O815" s="7"/>
      <c r="P815" s="13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 x14ac:dyDescent="0.25">
      <c r="A816" s="14"/>
      <c r="B816" s="14"/>
      <c r="C816" s="14"/>
      <c r="D816" s="14"/>
      <c r="E816" s="25"/>
      <c r="F816" s="25"/>
      <c r="G816" s="14"/>
      <c r="H816" s="14"/>
      <c r="I816" s="14"/>
      <c r="J816" s="7"/>
      <c r="K816" s="14"/>
      <c r="L816" s="7"/>
      <c r="M816" s="14"/>
      <c r="N816" s="14"/>
      <c r="O816" s="7"/>
      <c r="P816" s="13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 x14ac:dyDescent="0.25">
      <c r="A817" s="14"/>
      <c r="B817" s="14"/>
      <c r="C817" s="14"/>
      <c r="D817" s="14"/>
      <c r="E817" s="25"/>
      <c r="F817" s="25"/>
      <c r="G817" s="14"/>
      <c r="H817" s="14"/>
      <c r="I817" s="14"/>
      <c r="J817" s="7"/>
      <c r="K817" s="14"/>
      <c r="L817" s="7"/>
      <c r="M817" s="14"/>
      <c r="N817" s="14"/>
      <c r="O817" s="7"/>
      <c r="P817" s="13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 x14ac:dyDescent="0.25">
      <c r="A818" s="14"/>
      <c r="B818" s="14"/>
      <c r="C818" s="14"/>
      <c r="D818" s="14"/>
      <c r="E818" s="25"/>
      <c r="F818" s="25"/>
      <c r="G818" s="14"/>
      <c r="H818" s="14"/>
      <c r="I818" s="14"/>
      <c r="J818" s="7"/>
      <c r="K818" s="14"/>
      <c r="L818" s="7"/>
      <c r="M818" s="14"/>
      <c r="N818" s="14"/>
      <c r="O818" s="7"/>
      <c r="P818" s="13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 x14ac:dyDescent="0.25">
      <c r="A819" s="14"/>
      <c r="B819" s="14"/>
      <c r="C819" s="14"/>
      <c r="D819" s="14"/>
      <c r="E819" s="25"/>
      <c r="F819" s="25"/>
      <c r="G819" s="14"/>
      <c r="H819" s="14"/>
      <c r="I819" s="14"/>
      <c r="J819" s="7"/>
      <c r="K819" s="14"/>
      <c r="L819" s="7"/>
      <c r="M819" s="14"/>
      <c r="N819" s="14"/>
      <c r="O819" s="7"/>
      <c r="P819" s="13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 x14ac:dyDescent="0.25">
      <c r="A820" s="14"/>
      <c r="B820" s="14"/>
      <c r="C820" s="14"/>
      <c r="D820" s="14"/>
      <c r="E820" s="25"/>
      <c r="F820" s="25"/>
      <c r="G820" s="14"/>
      <c r="H820" s="14"/>
      <c r="I820" s="14"/>
      <c r="J820" s="7"/>
      <c r="K820" s="14"/>
      <c r="L820" s="7"/>
      <c r="M820" s="14"/>
      <c r="N820" s="14"/>
      <c r="O820" s="7"/>
      <c r="P820" s="13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 x14ac:dyDescent="0.25">
      <c r="A821" s="14"/>
      <c r="B821" s="14"/>
      <c r="C821" s="14"/>
      <c r="D821" s="14"/>
      <c r="E821" s="25"/>
      <c r="F821" s="25"/>
      <c r="G821" s="14"/>
      <c r="H821" s="14"/>
      <c r="I821" s="14"/>
      <c r="J821" s="7"/>
      <c r="K821" s="14"/>
      <c r="L821" s="7"/>
      <c r="M821" s="14"/>
      <c r="N821" s="14"/>
      <c r="O821" s="7"/>
      <c r="P821" s="13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 x14ac:dyDescent="0.25">
      <c r="A822" s="14"/>
      <c r="B822" s="14"/>
      <c r="C822" s="14"/>
      <c r="D822" s="14"/>
      <c r="E822" s="25"/>
      <c r="F822" s="25"/>
      <c r="G822" s="14"/>
      <c r="H822" s="14"/>
      <c r="I822" s="14"/>
      <c r="J822" s="7"/>
      <c r="K822" s="14"/>
      <c r="L822" s="7"/>
      <c r="M822" s="14"/>
      <c r="N822" s="14"/>
      <c r="O822" s="7"/>
      <c r="P822" s="13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 x14ac:dyDescent="0.25">
      <c r="A823" s="14"/>
      <c r="B823" s="14"/>
      <c r="C823" s="14"/>
      <c r="D823" s="14"/>
      <c r="E823" s="25"/>
      <c r="F823" s="25"/>
      <c r="G823" s="14"/>
      <c r="H823" s="14"/>
      <c r="I823" s="14"/>
      <c r="J823" s="7"/>
      <c r="K823" s="14"/>
      <c r="L823" s="7"/>
      <c r="M823" s="14"/>
      <c r="N823" s="14"/>
      <c r="O823" s="7"/>
      <c r="P823" s="13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 x14ac:dyDescent="0.25">
      <c r="A824" s="14"/>
      <c r="B824" s="14"/>
      <c r="C824" s="14"/>
      <c r="D824" s="14"/>
      <c r="E824" s="25"/>
      <c r="F824" s="25"/>
      <c r="G824" s="14"/>
      <c r="H824" s="14"/>
      <c r="I824" s="14"/>
      <c r="J824" s="7"/>
      <c r="K824" s="14"/>
      <c r="L824" s="7"/>
      <c r="M824" s="14"/>
      <c r="N824" s="14"/>
      <c r="O824" s="7"/>
      <c r="P824" s="13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 x14ac:dyDescent="0.25">
      <c r="A825" s="14"/>
      <c r="B825" s="14"/>
      <c r="C825" s="14"/>
      <c r="D825" s="14"/>
      <c r="E825" s="25"/>
      <c r="F825" s="25"/>
      <c r="G825" s="14"/>
      <c r="H825" s="14"/>
      <c r="I825" s="14"/>
      <c r="J825" s="7"/>
      <c r="K825" s="14"/>
      <c r="L825" s="7"/>
      <c r="M825" s="14"/>
      <c r="N825" s="14"/>
      <c r="O825" s="7"/>
      <c r="P825" s="13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 x14ac:dyDescent="0.25">
      <c r="A826" s="14"/>
      <c r="B826" s="14"/>
      <c r="C826" s="14"/>
      <c r="D826" s="14"/>
      <c r="E826" s="25"/>
      <c r="F826" s="25"/>
      <c r="G826" s="14"/>
      <c r="H826" s="14"/>
      <c r="I826" s="14"/>
      <c r="J826" s="7"/>
      <c r="K826" s="14"/>
      <c r="L826" s="7"/>
      <c r="M826" s="14"/>
      <c r="N826" s="14"/>
      <c r="O826" s="7"/>
      <c r="P826" s="13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 x14ac:dyDescent="0.25">
      <c r="A827" s="14"/>
      <c r="B827" s="14"/>
      <c r="C827" s="14"/>
      <c r="D827" s="14"/>
      <c r="E827" s="25"/>
      <c r="F827" s="25"/>
      <c r="G827" s="14"/>
      <c r="H827" s="14"/>
      <c r="I827" s="14"/>
      <c r="J827" s="7"/>
      <c r="K827" s="14"/>
      <c r="L827" s="7"/>
      <c r="M827" s="14"/>
      <c r="N827" s="14"/>
      <c r="O827" s="7"/>
      <c r="P827" s="13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 x14ac:dyDescent="0.25">
      <c r="A828" s="14"/>
      <c r="B828" s="14"/>
      <c r="C828" s="14"/>
      <c r="D828" s="14"/>
      <c r="E828" s="25"/>
      <c r="F828" s="25"/>
      <c r="G828" s="14"/>
      <c r="H828" s="14"/>
      <c r="I828" s="14"/>
      <c r="J828" s="7"/>
      <c r="K828" s="14"/>
      <c r="L828" s="7"/>
      <c r="M828" s="14"/>
      <c r="N828" s="14"/>
      <c r="O828" s="7"/>
      <c r="P828" s="13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 x14ac:dyDescent="0.25">
      <c r="A829" s="14"/>
      <c r="B829" s="14"/>
      <c r="C829" s="14"/>
      <c r="D829" s="14"/>
      <c r="E829" s="25"/>
      <c r="F829" s="25"/>
      <c r="G829" s="14"/>
      <c r="H829" s="14"/>
      <c r="I829" s="14"/>
      <c r="J829" s="7"/>
      <c r="K829" s="14"/>
      <c r="L829" s="7"/>
      <c r="M829" s="14"/>
      <c r="N829" s="14"/>
      <c r="O829" s="7"/>
      <c r="P829" s="13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 x14ac:dyDescent="0.25">
      <c r="A830" s="14"/>
      <c r="B830" s="14"/>
      <c r="C830" s="14"/>
      <c r="D830" s="14"/>
      <c r="E830" s="25"/>
      <c r="F830" s="25"/>
      <c r="G830" s="14"/>
      <c r="H830" s="14"/>
      <c r="I830" s="14"/>
      <c r="J830" s="7"/>
      <c r="K830" s="14"/>
      <c r="L830" s="7"/>
      <c r="M830" s="14"/>
      <c r="N830" s="14"/>
      <c r="O830" s="7"/>
      <c r="P830" s="13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 x14ac:dyDescent="0.25">
      <c r="A831" s="14"/>
      <c r="B831" s="14"/>
      <c r="C831" s="14"/>
      <c r="D831" s="14"/>
      <c r="E831" s="25"/>
      <c r="F831" s="25"/>
      <c r="G831" s="14"/>
      <c r="H831" s="14"/>
      <c r="I831" s="14"/>
      <c r="J831" s="7"/>
      <c r="K831" s="14"/>
      <c r="L831" s="7"/>
      <c r="M831" s="14"/>
      <c r="N831" s="14"/>
      <c r="O831" s="7"/>
      <c r="P831" s="13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 x14ac:dyDescent="0.25">
      <c r="A832" s="14"/>
      <c r="B832" s="14"/>
      <c r="C832" s="14"/>
      <c r="D832" s="14"/>
      <c r="E832" s="25"/>
      <c r="F832" s="25"/>
      <c r="G832" s="14"/>
      <c r="H832" s="14"/>
      <c r="I832" s="14"/>
      <c r="J832" s="7"/>
      <c r="K832" s="14"/>
      <c r="L832" s="7"/>
      <c r="M832" s="14"/>
      <c r="N832" s="14"/>
      <c r="O832" s="7"/>
      <c r="P832" s="13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 x14ac:dyDescent="0.25">
      <c r="A833" s="14"/>
      <c r="B833" s="14"/>
      <c r="C833" s="14"/>
      <c r="D833" s="14"/>
      <c r="E833" s="25"/>
      <c r="F833" s="25"/>
      <c r="G833" s="14"/>
      <c r="H833" s="14"/>
      <c r="I833" s="14"/>
      <c r="J833" s="7"/>
      <c r="K833" s="14"/>
      <c r="L833" s="7"/>
      <c r="M833" s="14"/>
      <c r="N833" s="14"/>
      <c r="O833" s="7"/>
      <c r="P833" s="13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 x14ac:dyDescent="0.25">
      <c r="A834" s="14"/>
      <c r="B834" s="14"/>
      <c r="C834" s="14"/>
      <c r="D834" s="14"/>
      <c r="E834" s="25"/>
      <c r="F834" s="25"/>
      <c r="G834" s="14"/>
      <c r="H834" s="14"/>
      <c r="I834" s="14"/>
      <c r="J834" s="7"/>
      <c r="K834" s="14"/>
      <c r="L834" s="7"/>
      <c r="M834" s="14"/>
      <c r="N834" s="14"/>
      <c r="O834" s="7"/>
      <c r="P834" s="13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 x14ac:dyDescent="0.25">
      <c r="A835" s="14"/>
      <c r="B835" s="14"/>
      <c r="C835" s="14"/>
      <c r="D835" s="14"/>
      <c r="E835" s="25"/>
      <c r="F835" s="25"/>
      <c r="G835" s="14"/>
      <c r="H835" s="14"/>
      <c r="I835" s="14"/>
      <c r="J835" s="7"/>
      <c r="K835" s="14"/>
      <c r="L835" s="7"/>
      <c r="M835" s="14"/>
      <c r="N835" s="14"/>
      <c r="O835" s="7"/>
      <c r="P835" s="13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 x14ac:dyDescent="0.25">
      <c r="A836" s="14"/>
      <c r="B836" s="14"/>
      <c r="C836" s="14"/>
      <c r="D836" s="14"/>
      <c r="E836" s="25"/>
      <c r="F836" s="25"/>
      <c r="G836" s="14"/>
      <c r="H836" s="14"/>
      <c r="I836" s="14"/>
      <c r="J836" s="7"/>
      <c r="K836" s="14"/>
      <c r="L836" s="7"/>
      <c r="M836" s="14"/>
      <c r="N836" s="14"/>
      <c r="O836" s="7"/>
      <c r="P836" s="13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 x14ac:dyDescent="0.25">
      <c r="A837" s="14"/>
      <c r="B837" s="14"/>
      <c r="C837" s="14"/>
      <c r="D837" s="14"/>
      <c r="E837" s="25"/>
      <c r="F837" s="25"/>
      <c r="G837" s="14"/>
      <c r="H837" s="14"/>
      <c r="I837" s="14"/>
      <c r="J837" s="7"/>
      <c r="K837" s="14"/>
      <c r="L837" s="7"/>
      <c r="M837" s="14"/>
      <c r="N837" s="14"/>
      <c r="O837" s="7"/>
      <c r="P837" s="13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 x14ac:dyDescent="0.25">
      <c r="A838" s="14"/>
      <c r="B838" s="14"/>
      <c r="C838" s="14"/>
      <c r="D838" s="14"/>
      <c r="E838" s="25"/>
      <c r="F838" s="25"/>
      <c r="G838" s="14"/>
      <c r="H838" s="14"/>
      <c r="I838" s="14"/>
      <c r="J838" s="7"/>
      <c r="K838" s="14"/>
      <c r="L838" s="7"/>
      <c r="M838" s="14"/>
      <c r="N838" s="14"/>
      <c r="O838" s="7"/>
      <c r="P838" s="13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 x14ac:dyDescent="0.25">
      <c r="A839" s="14"/>
      <c r="B839" s="14"/>
      <c r="C839" s="14"/>
      <c r="D839" s="14"/>
      <c r="E839" s="25"/>
      <c r="F839" s="25"/>
      <c r="G839" s="14"/>
      <c r="H839" s="14"/>
      <c r="I839" s="14"/>
      <c r="J839" s="7"/>
      <c r="K839" s="14"/>
      <c r="L839" s="7"/>
      <c r="M839" s="14"/>
      <c r="N839" s="14"/>
      <c r="O839" s="7"/>
      <c r="P839" s="13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 x14ac:dyDescent="0.25">
      <c r="A840" s="14"/>
      <c r="B840" s="14"/>
      <c r="C840" s="14"/>
      <c r="D840" s="14"/>
      <c r="E840" s="25"/>
      <c r="F840" s="25"/>
      <c r="G840" s="14"/>
      <c r="H840" s="14"/>
      <c r="I840" s="14"/>
      <c r="J840" s="7"/>
      <c r="K840" s="14"/>
      <c r="L840" s="7"/>
      <c r="M840" s="14"/>
      <c r="N840" s="14"/>
      <c r="O840" s="7"/>
      <c r="P840" s="13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 x14ac:dyDescent="0.25">
      <c r="A841" s="14"/>
      <c r="B841" s="14"/>
      <c r="C841" s="14"/>
      <c r="D841" s="14"/>
      <c r="E841" s="25"/>
      <c r="F841" s="25"/>
      <c r="G841" s="14"/>
      <c r="H841" s="14"/>
      <c r="I841" s="14"/>
      <c r="J841" s="7"/>
      <c r="K841" s="14"/>
      <c r="L841" s="7"/>
      <c r="M841" s="14"/>
      <c r="N841" s="14"/>
      <c r="O841" s="7"/>
      <c r="P841" s="13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 x14ac:dyDescent="0.25">
      <c r="A842" s="14"/>
      <c r="B842" s="14"/>
      <c r="C842" s="14"/>
      <c r="D842" s="14"/>
      <c r="E842" s="25"/>
      <c r="F842" s="25"/>
      <c r="G842" s="14"/>
      <c r="H842" s="14"/>
      <c r="I842" s="14"/>
      <c r="J842" s="7"/>
      <c r="K842" s="14"/>
      <c r="L842" s="7"/>
      <c r="M842" s="14"/>
      <c r="N842" s="14"/>
      <c r="O842" s="7"/>
      <c r="P842" s="13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 x14ac:dyDescent="0.25">
      <c r="A843" s="14"/>
      <c r="B843" s="14"/>
      <c r="C843" s="14"/>
      <c r="D843" s="14"/>
      <c r="E843" s="25"/>
      <c r="F843" s="25"/>
      <c r="G843" s="14"/>
      <c r="H843" s="14"/>
      <c r="I843" s="14"/>
      <c r="J843" s="7"/>
      <c r="K843" s="14"/>
      <c r="L843" s="7"/>
      <c r="M843" s="14"/>
      <c r="N843" s="14"/>
      <c r="O843" s="7"/>
      <c r="P843" s="13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 x14ac:dyDescent="0.25">
      <c r="A844" s="14"/>
      <c r="B844" s="14"/>
      <c r="C844" s="14"/>
      <c r="D844" s="14"/>
      <c r="E844" s="25"/>
      <c r="F844" s="25"/>
      <c r="G844" s="14"/>
      <c r="H844" s="14"/>
      <c r="I844" s="14"/>
      <c r="J844" s="7"/>
      <c r="K844" s="14"/>
      <c r="L844" s="7"/>
      <c r="M844" s="14"/>
      <c r="N844" s="14"/>
      <c r="O844" s="7"/>
      <c r="P844" s="13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 x14ac:dyDescent="0.25">
      <c r="A845" s="14"/>
      <c r="B845" s="14"/>
      <c r="C845" s="14"/>
      <c r="D845" s="14"/>
      <c r="E845" s="25"/>
      <c r="F845" s="25"/>
      <c r="G845" s="14"/>
      <c r="H845" s="14"/>
      <c r="I845" s="14"/>
      <c r="J845" s="7"/>
      <c r="K845" s="14"/>
      <c r="L845" s="7"/>
      <c r="M845" s="14"/>
      <c r="N845" s="14"/>
      <c r="O845" s="7"/>
      <c r="P845" s="13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 x14ac:dyDescent="0.25">
      <c r="A846" s="14"/>
      <c r="B846" s="14"/>
      <c r="C846" s="14"/>
      <c r="D846" s="14"/>
      <c r="E846" s="25"/>
      <c r="F846" s="25"/>
      <c r="G846" s="14"/>
      <c r="H846" s="14"/>
      <c r="I846" s="14"/>
      <c r="J846" s="7"/>
      <c r="K846" s="14"/>
      <c r="L846" s="7"/>
      <c r="M846" s="14"/>
      <c r="N846" s="14"/>
      <c r="O846" s="7"/>
      <c r="P846" s="13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 x14ac:dyDescent="0.25">
      <c r="A847" s="14"/>
      <c r="B847" s="14"/>
      <c r="C847" s="14"/>
      <c r="D847" s="14"/>
      <c r="E847" s="25"/>
      <c r="F847" s="25"/>
      <c r="G847" s="14"/>
      <c r="H847" s="14"/>
      <c r="I847" s="14"/>
      <c r="J847" s="7"/>
      <c r="K847" s="14"/>
      <c r="L847" s="7"/>
      <c r="M847" s="14"/>
      <c r="N847" s="14"/>
      <c r="O847" s="7"/>
      <c r="P847" s="13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 x14ac:dyDescent="0.25">
      <c r="A848" s="14"/>
      <c r="B848" s="14"/>
      <c r="C848" s="14"/>
      <c r="D848" s="14"/>
      <c r="E848" s="25"/>
      <c r="F848" s="25"/>
      <c r="G848" s="14"/>
      <c r="H848" s="14"/>
      <c r="I848" s="14"/>
      <c r="J848" s="7"/>
      <c r="K848" s="14"/>
      <c r="L848" s="7"/>
      <c r="M848" s="14"/>
      <c r="N848" s="14"/>
      <c r="O848" s="7"/>
      <c r="P848" s="13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 x14ac:dyDescent="0.25">
      <c r="A849" s="14"/>
      <c r="B849" s="14"/>
      <c r="C849" s="14"/>
      <c r="D849" s="14"/>
      <c r="E849" s="25"/>
      <c r="F849" s="25"/>
      <c r="G849" s="14"/>
      <c r="H849" s="14"/>
      <c r="I849" s="14"/>
      <c r="J849" s="7"/>
      <c r="K849" s="14"/>
      <c r="L849" s="7"/>
      <c r="M849" s="14"/>
      <c r="N849" s="14"/>
      <c r="O849" s="7"/>
      <c r="P849" s="13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 x14ac:dyDescent="0.25">
      <c r="A850" s="14"/>
      <c r="B850" s="14"/>
      <c r="C850" s="14"/>
      <c r="D850" s="14"/>
      <c r="E850" s="25"/>
      <c r="F850" s="25"/>
      <c r="G850" s="14"/>
      <c r="H850" s="14"/>
      <c r="I850" s="14"/>
      <c r="J850" s="7"/>
      <c r="K850" s="14"/>
      <c r="L850" s="7"/>
      <c r="M850" s="14"/>
      <c r="N850" s="14"/>
      <c r="O850" s="7"/>
      <c r="P850" s="13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 x14ac:dyDescent="0.25">
      <c r="A851" s="14"/>
      <c r="B851" s="14"/>
      <c r="C851" s="14"/>
      <c r="D851" s="14"/>
      <c r="E851" s="25"/>
      <c r="F851" s="25"/>
      <c r="G851" s="14"/>
      <c r="H851" s="14"/>
      <c r="I851" s="14"/>
      <c r="J851" s="7"/>
      <c r="K851" s="14"/>
      <c r="L851" s="7"/>
      <c r="M851" s="14"/>
      <c r="N851" s="14"/>
      <c r="O851" s="7"/>
      <c r="P851" s="13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 x14ac:dyDescent="0.25">
      <c r="A852" s="14"/>
      <c r="B852" s="14"/>
      <c r="C852" s="14"/>
      <c r="D852" s="14"/>
      <c r="E852" s="25"/>
      <c r="F852" s="25"/>
      <c r="G852" s="14"/>
      <c r="H852" s="14"/>
      <c r="I852" s="14"/>
      <c r="J852" s="7"/>
      <c r="K852" s="14"/>
      <c r="L852" s="7"/>
      <c r="M852" s="14"/>
      <c r="N852" s="14"/>
      <c r="O852" s="7"/>
      <c r="P852" s="13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 x14ac:dyDescent="0.25">
      <c r="A853" s="14"/>
      <c r="B853" s="14"/>
      <c r="C853" s="14"/>
      <c r="D853" s="14"/>
      <c r="E853" s="25"/>
      <c r="F853" s="25"/>
      <c r="G853" s="14"/>
      <c r="H853" s="14"/>
      <c r="I853" s="14"/>
      <c r="J853" s="7"/>
      <c r="K853" s="14"/>
      <c r="L853" s="7"/>
      <c r="M853" s="14"/>
      <c r="N853" s="14"/>
      <c r="O853" s="7"/>
      <c r="P853" s="13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 x14ac:dyDescent="0.25">
      <c r="A854" s="14"/>
      <c r="B854" s="14"/>
      <c r="C854" s="14"/>
      <c r="D854" s="14"/>
      <c r="E854" s="25"/>
      <c r="F854" s="25"/>
      <c r="G854" s="14"/>
      <c r="H854" s="14"/>
      <c r="I854" s="14"/>
      <c r="J854" s="7"/>
      <c r="K854" s="14"/>
      <c r="L854" s="7"/>
      <c r="M854" s="14"/>
      <c r="N854" s="14"/>
      <c r="O854" s="7"/>
      <c r="P854" s="13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 x14ac:dyDescent="0.25">
      <c r="A855" s="14"/>
      <c r="B855" s="14"/>
      <c r="C855" s="14"/>
      <c r="D855" s="14"/>
      <c r="E855" s="25"/>
      <c r="F855" s="25"/>
      <c r="G855" s="14"/>
      <c r="H855" s="14"/>
      <c r="I855" s="14"/>
      <c r="J855" s="7"/>
      <c r="K855" s="14"/>
      <c r="L855" s="7"/>
      <c r="M855" s="14"/>
      <c r="N855" s="14"/>
      <c r="O855" s="7"/>
      <c r="P855" s="13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 x14ac:dyDescent="0.25">
      <c r="A856" s="14"/>
      <c r="B856" s="14"/>
      <c r="C856" s="14"/>
      <c r="D856" s="14"/>
      <c r="E856" s="25"/>
      <c r="F856" s="25"/>
      <c r="G856" s="14"/>
      <c r="H856" s="14"/>
      <c r="I856" s="14"/>
      <c r="J856" s="7"/>
      <c r="K856" s="14"/>
      <c r="L856" s="7"/>
      <c r="M856" s="14"/>
      <c r="N856" s="14"/>
      <c r="O856" s="7"/>
      <c r="P856" s="13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 x14ac:dyDescent="0.25">
      <c r="A857" s="14"/>
      <c r="B857" s="14"/>
      <c r="C857" s="14"/>
      <c r="D857" s="14"/>
      <c r="E857" s="25"/>
      <c r="F857" s="25"/>
      <c r="G857" s="14"/>
      <c r="H857" s="14"/>
      <c r="I857" s="14"/>
      <c r="J857" s="7"/>
      <c r="K857" s="14"/>
      <c r="L857" s="7"/>
      <c r="M857" s="14"/>
      <c r="N857" s="14"/>
      <c r="O857" s="7"/>
      <c r="P857" s="13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 x14ac:dyDescent="0.25">
      <c r="A858" s="14"/>
      <c r="B858" s="14"/>
      <c r="C858" s="14"/>
      <c r="D858" s="14"/>
      <c r="E858" s="25"/>
      <c r="F858" s="25"/>
      <c r="G858" s="14"/>
      <c r="H858" s="14"/>
      <c r="I858" s="14"/>
      <c r="J858" s="7"/>
      <c r="K858" s="14"/>
      <c r="L858" s="7"/>
      <c r="M858" s="14"/>
      <c r="N858" s="14"/>
      <c r="O858" s="7"/>
      <c r="P858" s="13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 x14ac:dyDescent="0.25">
      <c r="A859" s="14"/>
      <c r="B859" s="14"/>
      <c r="C859" s="14"/>
      <c r="D859" s="14"/>
      <c r="E859" s="25"/>
      <c r="F859" s="25"/>
      <c r="G859" s="14"/>
      <c r="H859" s="14"/>
      <c r="I859" s="14"/>
      <c r="J859" s="7"/>
      <c r="K859" s="14"/>
      <c r="L859" s="7"/>
      <c r="M859" s="14"/>
      <c r="N859" s="14"/>
      <c r="O859" s="7"/>
      <c r="P859" s="13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 x14ac:dyDescent="0.25">
      <c r="A860" s="14"/>
      <c r="B860" s="14"/>
      <c r="C860" s="14"/>
      <c r="D860" s="14"/>
      <c r="E860" s="25"/>
      <c r="F860" s="25"/>
      <c r="G860" s="14"/>
      <c r="H860" s="14"/>
      <c r="I860" s="14"/>
      <c r="J860" s="7"/>
      <c r="K860" s="14"/>
      <c r="L860" s="7"/>
      <c r="M860" s="14"/>
      <c r="N860" s="14"/>
      <c r="O860" s="7"/>
      <c r="P860" s="13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 x14ac:dyDescent="0.25">
      <c r="A861" s="14"/>
      <c r="B861" s="14"/>
      <c r="C861" s="14"/>
      <c r="D861" s="14"/>
      <c r="E861" s="25"/>
      <c r="F861" s="25"/>
      <c r="G861" s="14"/>
      <c r="H861" s="14"/>
      <c r="I861" s="14"/>
      <c r="J861" s="7"/>
      <c r="K861" s="14"/>
      <c r="L861" s="7"/>
      <c r="M861" s="14"/>
      <c r="N861" s="14"/>
      <c r="O861" s="7"/>
      <c r="P861" s="13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 x14ac:dyDescent="0.25">
      <c r="A862" s="14"/>
      <c r="B862" s="14"/>
      <c r="C862" s="14"/>
      <c r="D862" s="14"/>
      <c r="E862" s="25"/>
      <c r="F862" s="25"/>
      <c r="G862" s="14"/>
      <c r="H862" s="14"/>
      <c r="I862" s="14"/>
      <c r="J862" s="7"/>
      <c r="K862" s="14"/>
      <c r="L862" s="7"/>
      <c r="M862" s="14"/>
      <c r="N862" s="14"/>
      <c r="O862" s="7"/>
      <c r="P862" s="13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 x14ac:dyDescent="0.25">
      <c r="A863" s="14"/>
      <c r="B863" s="14"/>
      <c r="C863" s="14"/>
      <c r="D863" s="14"/>
      <c r="E863" s="25"/>
      <c r="F863" s="25"/>
      <c r="G863" s="14"/>
      <c r="H863" s="14"/>
      <c r="I863" s="14"/>
      <c r="J863" s="7"/>
      <c r="K863" s="14"/>
      <c r="L863" s="7"/>
      <c r="M863" s="14"/>
      <c r="N863" s="14"/>
      <c r="O863" s="7"/>
      <c r="P863" s="13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 x14ac:dyDescent="0.25">
      <c r="A864" s="14"/>
      <c r="B864" s="14"/>
      <c r="C864" s="14"/>
      <c r="D864" s="14"/>
      <c r="E864" s="25"/>
      <c r="F864" s="25"/>
      <c r="G864" s="14"/>
      <c r="H864" s="14"/>
      <c r="I864" s="14"/>
      <c r="J864" s="7"/>
      <c r="K864" s="14"/>
      <c r="L864" s="7"/>
      <c r="M864" s="14"/>
      <c r="N864" s="14"/>
      <c r="O864" s="7"/>
      <c r="P864" s="13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 x14ac:dyDescent="0.25">
      <c r="A865" s="14"/>
      <c r="B865" s="14"/>
      <c r="C865" s="14"/>
      <c r="D865" s="14"/>
      <c r="E865" s="25"/>
      <c r="F865" s="25"/>
      <c r="G865" s="14"/>
      <c r="H865" s="14"/>
      <c r="I865" s="14"/>
      <c r="J865" s="7"/>
      <c r="K865" s="14"/>
      <c r="L865" s="7"/>
      <c r="M865" s="14"/>
      <c r="N865" s="14"/>
      <c r="O865" s="7"/>
      <c r="P865" s="13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 x14ac:dyDescent="0.25">
      <c r="A866" s="14"/>
      <c r="B866" s="14"/>
      <c r="C866" s="14"/>
      <c r="D866" s="14"/>
      <c r="E866" s="25"/>
      <c r="F866" s="25"/>
      <c r="G866" s="14"/>
      <c r="H866" s="14"/>
      <c r="I866" s="14"/>
      <c r="J866" s="7"/>
      <c r="K866" s="14"/>
      <c r="L866" s="7"/>
      <c r="M866" s="14"/>
      <c r="N866" s="14"/>
      <c r="O866" s="7"/>
      <c r="P866" s="13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 x14ac:dyDescent="0.25">
      <c r="A867" s="14"/>
      <c r="B867" s="14"/>
      <c r="C867" s="14"/>
      <c r="D867" s="14"/>
      <c r="E867" s="25"/>
      <c r="F867" s="25"/>
      <c r="G867" s="14"/>
      <c r="H867" s="14"/>
      <c r="I867" s="14"/>
      <c r="J867" s="7"/>
      <c r="K867" s="14"/>
      <c r="L867" s="7"/>
      <c r="M867" s="14"/>
      <c r="N867" s="14"/>
      <c r="O867" s="7"/>
      <c r="P867" s="13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 x14ac:dyDescent="0.25">
      <c r="A868" s="14"/>
      <c r="B868" s="14"/>
      <c r="C868" s="14"/>
      <c r="D868" s="14"/>
      <c r="E868" s="25"/>
      <c r="F868" s="25"/>
      <c r="G868" s="14"/>
      <c r="H868" s="14"/>
      <c r="I868" s="14"/>
      <c r="J868" s="7"/>
      <c r="K868" s="14"/>
      <c r="L868" s="7"/>
      <c r="M868" s="14"/>
      <c r="N868" s="14"/>
      <c r="O868" s="7"/>
      <c r="P868" s="13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 x14ac:dyDescent="0.25">
      <c r="A869" s="14"/>
      <c r="B869" s="14"/>
      <c r="C869" s="14"/>
      <c r="D869" s="14"/>
      <c r="E869" s="25"/>
      <c r="F869" s="25"/>
      <c r="G869" s="14"/>
      <c r="H869" s="14"/>
      <c r="I869" s="14"/>
      <c r="J869" s="7"/>
      <c r="K869" s="14"/>
      <c r="L869" s="7"/>
      <c r="M869" s="14"/>
      <c r="N869" s="14"/>
      <c r="O869" s="7"/>
      <c r="P869" s="13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 x14ac:dyDescent="0.25">
      <c r="A870" s="14"/>
      <c r="B870" s="14"/>
      <c r="C870" s="14"/>
      <c r="D870" s="14"/>
      <c r="E870" s="25"/>
      <c r="F870" s="25"/>
      <c r="G870" s="14"/>
      <c r="H870" s="14"/>
      <c r="I870" s="14"/>
      <c r="J870" s="7"/>
      <c r="K870" s="14"/>
      <c r="L870" s="7"/>
      <c r="M870" s="14"/>
      <c r="N870" s="14"/>
      <c r="O870" s="7"/>
      <c r="P870" s="13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 x14ac:dyDescent="0.25">
      <c r="A871" s="14"/>
      <c r="B871" s="14"/>
      <c r="C871" s="14"/>
      <c r="D871" s="14"/>
      <c r="E871" s="25"/>
      <c r="F871" s="25"/>
      <c r="G871" s="14"/>
      <c r="H871" s="14"/>
      <c r="I871" s="14"/>
      <c r="J871" s="7"/>
      <c r="K871" s="14"/>
      <c r="L871" s="7"/>
      <c r="M871" s="14"/>
      <c r="N871" s="14"/>
      <c r="O871" s="7"/>
      <c r="P871" s="13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 x14ac:dyDescent="0.25">
      <c r="A872" s="14"/>
      <c r="B872" s="14"/>
      <c r="C872" s="14"/>
      <c r="D872" s="14"/>
      <c r="E872" s="25"/>
      <c r="F872" s="25"/>
      <c r="G872" s="14"/>
      <c r="H872" s="14"/>
      <c r="I872" s="14"/>
      <c r="J872" s="7"/>
      <c r="K872" s="14"/>
      <c r="L872" s="7"/>
      <c r="M872" s="14"/>
      <c r="N872" s="14"/>
      <c r="O872" s="7"/>
      <c r="P872" s="13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 x14ac:dyDescent="0.25">
      <c r="A873" s="14"/>
      <c r="B873" s="14"/>
      <c r="C873" s="14"/>
      <c r="D873" s="14"/>
      <c r="E873" s="25"/>
      <c r="F873" s="25"/>
      <c r="G873" s="14"/>
      <c r="H873" s="14"/>
      <c r="I873" s="14"/>
      <c r="J873" s="7"/>
      <c r="K873" s="14"/>
      <c r="L873" s="7"/>
      <c r="M873" s="14"/>
      <c r="N873" s="14"/>
      <c r="O873" s="7"/>
      <c r="P873" s="13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 x14ac:dyDescent="0.25">
      <c r="A874" s="14"/>
      <c r="B874" s="14"/>
      <c r="C874" s="14"/>
      <c r="D874" s="14"/>
      <c r="E874" s="25"/>
      <c r="F874" s="25"/>
      <c r="G874" s="14"/>
      <c r="H874" s="14"/>
      <c r="I874" s="14"/>
      <c r="J874" s="7"/>
      <c r="K874" s="14"/>
      <c r="L874" s="7"/>
      <c r="M874" s="14"/>
      <c r="N874" s="14"/>
      <c r="O874" s="7"/>
      <c r="P874" s="13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 x14ac:dyDescent="0.25">
      <c r="A875" s="14"/>
      <c r="B875" s="14"/>
      <c r="C875" s="14"/>
      <c r="D875" s="14"/>
      <c r="E875" s="25"/>
      <c r="F875" s="25"/>
      <c r="G875" s="14"/>
      <c r="H875" s="14"/>
      <c r="I875" s="14"/>
      <c r="J875" s="7"/>
      <c r="K875" s="14"/>
      <c r="L875" s="7"/>
      <c r="M875" s="14"/>
      <c r="N875" s="14"/>
      <c r="O875" s="7"/>
      <c r="P875" s="13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 x14ac:dyDescent="0.25">
      <c r="A876" s="14"/>
      <c r="B876" s="14"/>
      <c r="C876" s="14"/>
      <c r="D876" s="14"/>
      <c r="E876" s="25"/>
      <c r="F876" s="25"/>
      <c r="G876" s="14"/>
      <c r="H876" s="14"/>
      <c r="I876" s="14"/>
      <c r="J876" s="7"/>
      <c r="K876" s="14"/>
      <c r="L876" s="7"/>
      <c r="M876" s="14"/>
      <c r="N876" s="14"/>
      <c r="O876" s="7"/>
      <c r="P876" s="13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 x14ac:dyDescent="0.25">
      <c r="A877" s="14"/>
      <c r="B877" s="14"/>
      <c r="C877" s="14"/>
      <c r="D877" s="14"/>
      <c r="E877" s="25"/>
      <c r="F877" s="25"/>
      <c r="G877" s="14"/>
      <c r="H877" s="14"/>
      <c r="I877" s="14"/>
      <c r="J877" s="7"/>
      <c r="K877" s="14"/>
      <c r="L877" s="7"/>
      <c r="M877" s="14"/>
      <c r="N877" s="14"/>
      <c r="O877" s="7"/>
      <c r="P877" s="13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 x14ac:dyDescent="0.25">
      <c r="A878" s="14"/>
      <c r="B878" s="14"/>
      <c r="C878" s="14"/>
      <c r="D878" s="14"/>
      <c r="E878" s="25"/>
      <c r="F878" s="25"/>
      <c r="G878" s="14"/>
      <c r="H878" s="14"/>
      <c r="I878" s="14"/>
      <c r="J878" s="7"/>
      <c r="K878" s="14"/>
      <c r="L878" s="7"/>
      <c r="M878" s="14"/>
      <c r="N878" s="14"/>
      <c r="O878" s="7"/>
      <c r="P878" s="13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 x14ac:dyDescent="0.25">
      <c r="A879" s="14"/>
      <c r="B879" s="14"/>
      <c r="C879" s="14"/>
      <c r="D879" s="14"/>
      <c r="E879" s="25"/>
      <c r="F879" s="25"/>
      <c r="G879" s="14"/>
      <c r="H879" s="14"/>
      <c r="I879" s="14"/>
      <c r="J879" s="7"/>
      <c r="K879" s="14"/>
      <c r="L879" s="7"/>
      <c r="M879" s="14"/>
      <c r="N879" s="14"/>
      <c r="O879" s="7"/>
      <c r="P879" s="13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 x14ac:dyDescent="0.25">
      <c r="A880" s="14"/>
      <c r="B880" s="14"/>
      <c r="C880" s="14"/>
      <c r="D880" s="14"/>
      <c r="E880" s="25"/>
      <c r="F880" s="25"/>
      <c r="G880" s="14"/>
      <c r="H880" s="14"/>
      <c r="I880" s="14"/>
      <c r="J880" s="7"/>
      <c r="K880" s="14"/>
      <c r="L880" s="7"/>
      <c r="M880" s="14"/>
      <c r="N880" s="14"/>
      <c r="O880" s="7"/>
      <c r="P880" s="13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 x14ac:dyDescent="0.25">
      <c r="A881" s="14"/>
      <c r="B881" s="14"/>
      <c r="C881" s="14"/>
      <c r="D881" s="14"/>
      <c r="E881" s="25"/>
      <c r="F881" s="25"/>
      <c r="G881" s="14"/>
      <c r="H881" s="14"/>
      <c r="I881" s="14"/>
      <c r="J881" s="7"/>
      <c r="K881" s="14"/>
      <c r="L881" s="7"/>
      <c r="M881" s="14"/>
      <c r="N881" s="14"/>
      <c r="O881" s="7"/>
      <c r="P881" s="13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 x14ac:dyDescent="0.25">
      <c r="A882" s="14"/>
      <c r="B882" s="14"/>
      <c r="C882" s="14"/>
      <c r="D882" s="14"/>
      <c r="E882" s="25"/>
      <c r="F882" s="25"/>
      <c r="G882" s="14"/>
      <c r="H882" s="14"/>
      <c r="I882" s="14"/>
      <c r="J882" s="7"/>
      <c r="K882" s="14"/>
      <c r="L882" s="7"/>
      <c r="M882" s="14"/>
      <c r="N882" s="14"/>
      <c r="O882" s="7"/>
      <c r="P882" s="13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 x14ac:dyDescent="0.25">
      <c r="A883" s="14"/>
      <c r="B883" s="14"/>
      <c r="C883" s="14"/>
      <c r="D883" s="14"/>
      <c r="E883" s="25"/>
      <c r="F883" s="25"/>
      <c r="G883" s="14"/>
      <c r="H883" s="14"/>
      <c r="I883" s="14"/>
      <c r="J883" s="7"/>
      <c r="K883" s="14"/>
      <c r="L883" s="7"/>
      <c r="M883" s="14"/>
      <c r="N883" s="14"/>
      <c r="O883" s="7"/>
      <c r="P883" s="13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 x14ac:dyDescent="0.25">
      <c r="A884" s="14"/>
      <c r="B884" s="14"/>
      <c r="C884" s="14"/>
      <c r="D884" s="14"/>
      <c r="E884" s="25"/>
      <c r="F884" s="25"/>
      <c r="G884" s="14"/>
      <c r="H884" s="14"/>
      <c r="I884" s="14"/>
      <c r="J884" s="7"/>
      <c r="K884" s="14"/>
      <c r="L884" s="7"/>
      <c r="M884" s="14"/>
      <c r="N884" s="14"/>
      <c r="O884" s="7"/>
      <c r="P884" s="13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 x14ac:dyDescent="0.25">
      <c r="A885" s="14"/>
      <c r="B885" s="14"/>
      <c r="C885" s="14"/>
      <c r="D885" s="14"/>
      <c r="E885" s="25"/>
      <c r="F885" s="25"/>
      <c r="G885" s="14"/>
      <c r="H885" s="14"/>
      <c r="I885" s="14"/>
      <c r="J885" s="7"/>
      <c r="K885" s="14"/>
      <c r="L885" s="7"/>
      <c r="M885" s="14"/>
      <c r="N885" s="14"/>
      <c r="O885" s="7"/>
      <c r="P885" s="13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 x14ac:dyDescent="0.25">
      <c r="A886" s="14"/>
      <c r="B886" s="14"/>
      <c r="C886" s="14"/>
      <c r="D886" s="14"/>
      <c r="E886" s="25"/>
      <c r="F886" s="25"/>
      <c r="G886" s="14"/>
      <c r="H886" s="14"/>
      <c r="I886" s="14"/>
      <c r="J886" s="7"/>
      <c r="K886" s="14"/>
      <c r="L886" s="7"/>
      <c r="M886" s="14"/>
      <c r="N886" s="14"/>
      <c r="O886" s="7"/>
      <c r="P886" s="13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 x14ac:dyDescent="0.25">
      <c r="A887" s="14"/>
      <c r="B887" s="14"/>
      <c r="C887" s="14"/>
      <c r="D887" s="14"/>
      <c r="E887" s="25"/>
      <c r="F887" s="25"/>
      <c r="G887" s="14"/>
      <c r="H887" s="14"/>
      <c r="I887" s="14"/>
      <c r="J887" s="7"/>
      <c r="K887" s="14"/>
      <c r="L887" s="7"/>
      <c r="M887" s="14"/>
      <c r="N887" s="14"/>
      <c r="O887" s="7"/>
      <c r="P887" s="13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 x14ac:dyDescent="0.25">
      <c r="A888" s="14"/>
      <c r="B888" s="14"/>
      <c r="C888" s="14"/>
      <c r="D888" s="14"/>
      <c r="E888" s="25"/>
      <c r="F888" s="25"/>
      <c r="G888" s="14"/>
      <c r="H888" s="14"/>
      <c r="I888" s="14"/>
      <c r="J888" s="7"/>
      <c r="K888" s="14"/>
      <c r="L888" s="7"/>
      <c r="M888" s="14"/>
      <c r="N888" s="14"/>
      <c r="O888" s="7"/>
      <c r="P888" s="13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 x14ac:dyDescent="0.25">
      <c r="A889" s="14"/>
      <c r="B889" s="14"/>
      <c r="C889" s="14"/>
      <c r="D889" s="14"/>
      <c r="E889" s="25"/>
      <c r="F889" s="25"/>
      <c r="G889" s="14"/>
      <c r="H889" s="14"/>
      <c r="I889" s="14"/>
      <c r="J889" s="7"/>
      <c r="K889" s="14"/>
      <c r="L889" s="7"/>
      <c r="M889" s="14"/>
      <c r="N889" s="14"/>
      <c r="O889" s="7"/>
      <c r="P889" s="13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 x14ac:dyDescent="0.25">
      <c r="A890" s="14"/>
      <c r="B890" s="14"/>
      <c r="C890" s="14"/>
      <c r="D890" s="14"/>
      <c r="E890" s="25"/>
      <c r="F890" s="25"/>
      <c r="G890" s="14"/>
      <c r="H890" s="14"/>
      <c r="I890" s="14"/>
      <c r="J890" s="7"/>
      <c r="K890" s="14"/>
      <c r="L890" s="7"/>
      <c r="M890" s="14"/>
      <c r="N890" s="14"/>
      <c r="O890" s="7"/>
      <c r="P890" s="13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 x14ac:dyDescent="0.25">
      <c r="A891" s="14"/>
      <c r="B891" s="14"/>
      <c r="C891" s="14"/>
      <c r="D891" s="14"/>
      <c r="E891" s="25"/>
      <c r="F891" s="25"/>
      <c r="G891" s="14"/>
      <c r="H891" s="14"/>
      <c r="I891" s="14"/>
      <c r="J891" s="7"/>
      <c r="K891" s="14"/>
      <c r="L891" s="7"/>
      <c r="M891" s="14"/>
      <c r="N891" s="14"/>
      <c r="O891" s="7"/>
      <c r="P891" s="13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 x14ac:dyDescent="0.25">
      <c r="A892" s="14"/>
      <c r="B892" s="14"/>
      <c r="C892" s="14"/>
      <c r="D892" s="14"/>
      <c r="E892" s="25"/>
      <c r="F892" s="25"/>
      <c r="G892" s="14"/>
      <c r="H892" s="14"/>
      <c r="I892" s="14"/>
      <c r="J892" s="7"/>
      <c r="K892" s="14"/>
      <c r="L892" s="7"/>
      <c r="M892" s="14"/>
      <c r="N892" s="14"/>
      <c r="O892" s="7"/>
      <c r="P892" s="13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 x14ac:dyDescent="0.25">
      <c r="A893" s="14"/>
      <c r="B893" s="14"/>
      <c r="C893" s="14"/>
      <c r="D893" s="14"/>
      <c r="E893" s="25"/>
      <c r="F893" s="25"/>
      <c r="G893" s="14"/>
      <c r="H893" s="14"/>
      <c r="I893" s="14"/>
      <c r="J893" s="7"/>
      <c r="K893" s="14"/>
      <c r="L893" s="7"/>
      <c r="M893" s="14"/>
      <c r="N893" s="14"/>
      <c r="O893" s="7"/>
      <c r="P893" s="13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 x14ac:dyDescent="0.25">
      <c r="A894" s="14"/>
      <c r="B894" s="14"/>
      <c r="C894" s="14"/>
      <c r="D894" s="14"/>
      <c r="E894" s="25"/>
      <c r="F894" s="25"/>
      <c r="G894" s="14"/>
      <c r="H894" s="14"/>
      <c r="I894" s="14"/>
      <c r="J894" s="7"/>
      <c r="K894" s="14"/>
      <c r="L894" s="7"/>
      <c r="M894" s="14"/>
      <c r="N894" s="14"/>
      <c r="O894" s="7"/>
      <c r="P894" s="13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 x14ac:dyDescent="0.25">
      <c r="A895" s="14"/>
      <c r="B895" s="14"/>
      <c r="C895" s="14"/>
      <c r="D895" s="14"/>
      <c r="E895" s="25"/>
      <c r="F895" s="25"/>
      <c r="G895" s="14"/>
      <c r="H895" s="14"/>
      <c r="I895" s="14"/>
      <c r="J895" s="7"/>
      <c r="K895" s="14"/>
      <c r="L895" s="7"/>
      <c r="M895" s="14"/>
      <c r="N895" s="14"/>
      <c r="O895" s="7"/>
      <c r="P895" s="13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 x14ac:dyDescent="0.25">
      <c r="A896" s="14"/>
      <c r="B896" s="14"/>
      <c r="C896" s="14"/>
      <c r="D896" s="14"/>
      <c r="E896" s="25"/>
      <c r="F896" s="25"/>
      <c r="G896" s="14"/>
      <c r="H896" s="14"/>
      <c r="I896" s="14"/>
      <c r="J896" s="7"/>
      <c r="K896" s="14"/>
      <c r="L896" s="7"/>
      <c r="M896" s="14"/>
      <c r="N896" s="14"/>
      <c r="O896" s="7"/>
      <c r="P896" s="13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 x14ac:dyDescent="0.25">
      <c r="A897" s="14"/>
      <c r="B897" s="14"/>
      <c r="C897" s="14"/>
      <c r="D897" s="14"/>
      <c r="E897" s="25"/>
      <c r="F897" s="25"/>
      <c r="G897" s="14"/>
      <c r="H897" s="14"/>
      <c r="I897" s="14"/>
      <c r="J897" s="7"/>
      <c r="K897" s="14"/>
      <c r="L897" s="7"/>
      <c r="M897" s="14"/>
      <c r="N897" s="14"/>
      <c r="O897" s="7"/>
      <c r="P897" s="13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 x14ac:dyDescent="0.25">
      <c r="A898" s="14"/>
      <c r="B898" s="14"/>
      <c r="C898" s="14"/>
      <c r="D898" s="14"/>
      <c r="E898" s="25"/>
      <c r="F898" s="25"/>
      <c r="G898" s="14"/>
      <c r="H898" s="14"/>
      <c r="I898" s="14"/>
      <c r="J898" s="7"/>
      <c r="K898" s="14"/>
      <c r="L898" s="7"/>
      <c r="M898" s="14"/>
      <c r="N898" s="14"/>
      <c r="O898" s="7"/>
      <c r="P898" s="13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 x14ac:dyDescent="0.25">
      <c r="A899" s="14"/>
      <c r="B899" s="14"/>
      <c r="C899" s="14"/>
      <c r="D899" s="14"/>
      <c r="E899" s="25"/>
      <c r="F899" s="25"/>
      <c r="G899" s="14"/>
      <c r="H899" s="14"/>
      <c r="I899" s="14"/>
      <c r="J899" s="7"/>
      <c r="K899" s="14"/>
      <c r="L899" s="7"/>
      <c r="M899" s="14"/>
      <c r="N899" s="14"/>
      <c r="O899" s="7"/>
      <c r="P899" s="13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 x14ac:dyDescent="0.25">
      <c r="A900" s="14"/>
      <c r="B900" s="14"/>
      <c r="C900" s="14"/>
      <c r="D900" s="14"/>
      <c r="E900" s="25"/>
      <c r="F900" s="25"/>
      <c r="G900" s="14"/>
      <c r="H900" s="14"/>
      <c r="I900" s="14"/>
      <c r="J900" s="7"/>
      <c r="K900" s="14"/>
      <c r="L900" s="7"/>
      <c r="M900" s="14"/>
      <c r="N900" s="14"/>
      <c r="O900" s="7"/>
      <c r="P900" s="13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 x14ac:dyDescent="0.25">
      <c r="A901" s="14"/>
      <c r="B901" s="14"/>
      <c r="C901" s="14"/>
      <c r="D901" s="14"/>
      <c r="E901" s="25"/>
      <c r="F901" s="25"/>
      <c r="G901" s="14"/>
      <c r="H901" s="14"/>
      <c r="I901" s="14"/>
      <c r="J901" s="7"/>
      <c r="K901" s="14"/>
      <c r="L901" s="7"/>
      <c r="M901" s="14"/>
      <c r="N901" s="14"/>
      <c r="O901" s="7"/>
      <c r="P901" s="13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 x14ac:dyDescent="0.25">
      <c r="A902" s="14"/>
      <c r="B902" s="14"/>
      <c r="C902" s="14"/>
      <c r="D902" s="14"/>
      <c r="E902" s="25"/>
      <c r="F902" s="25"/>
      <c r="G902" s="14"/>
      <c r="H902" s="14"/>
      <c r="I902" s="14"/>
      <c r="J902" s="7"/>
      <c r="K902" s="14"/>
      <c r="L902" s="7"/>
      <c r="M902" s="14"/>
      <c r="N902" s="14"/>
      <c r="O902" s="7"/>
      <c r="P902" s="13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 x14ac:dyDescent="0.25">
      <c r="A903" s="14"/>
      <c r="B903" s="14"/>
      <c r="C903" s="14"/>
      <c r="D903" s="14"/>
      <c r="E903" s="25"/>
      <c r="F903" s="25"/>
      <c r="G903" s="14"/>
      <c r="H903" s="14"/>
      <c r="I903" s="14"/>
      <c r="J903" s="7"/>
      <c r="K903" s="14"/>
      <c r="L903" s="7"/>
      <c r="M903" s="14"/>
      <c r="N903" s="14"/>
      <c r="O903" s="7"/>
      <c r="P903" s="13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 x14ac:dyDescent="0.25">
      <c r="A904" s="14"/>
      <c r="B904" s="14"/>
      <c r="C904" s="14"/>
      <c r="D904" s="14"/>
      <c r="E904" s="25"/>
      <c r="F904" s="25"/>
      <c r="G904" s="14"/>
      <c r="H904" s="14"/>
      <c r="I904" s="14"/>
      <c r="J904" s="7"/>
      <c r="K904" s="14"/>
      <c r="L904" s="7"/>
      <c r="M904" s="14"/>
      <c r="N904" s="14"/>
      <c r="O904" s="7"/>
      <c r="P904" s="13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 x14ac:dyDescent="0.25">
      <c r="A905" s="14"/>
      <c r="B905" s="14"/>
      <c r="C905" s="14"/>
      <c r="D905" s="14"/>
      <c r="E905" s="25"/>
      <c r="F905" s="25"/>
      <c r="G905" s="14"/>
      <c r="H905" s="14"/>
      <c r="I905" s="14"/>
      <c r="J905" s="7"/>
      <c r="K905" s="14"/>
      <c r="L905" s="7"/>
      <c r="M905" s="14"/>
      <c r="N905" s="14"/>
      <c r="O905" s="7"/>
      <c r="P905" s="13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 x14ac:dyDescent="0.25">
      <c r="A906" s="14"/>
      <c r="B906" s="14"/>
      <c r="C906" s="14"/>
      <c r="D906" s="14"/>
      <c r="E906" s="25"/>
      <c r="F906" s="25"/>
      <c r="G906" s="14"/>
      <c r="H906" s="14"/>
      <c r="I906" s="14"/>
      <c r="J906" s="7"/>
      <c r="K906" s="14"/>
      <c r="L906" s="7"/>
      <c r="M906" s="14"/>
      <c r="N906" s="14"/>
      <c r="O906" s="7"/>
      <c r="P906" s="13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 x14ac:dyDescent="0.25">
      <c r="A907" s="14"/>
      <c r="B907" s="14"/>
      <c r="C907" s="14"/>
      <c r="D907" s="14"/>
      <c r="E907" s="25"/>
      <c r="F907" s="25"/>
      <c r="G907" s="14"/>
      <c r="H907" s="14"/>
      <c r="I907" s="14"/>
      <c r="J907" s="7"/>
      <c r="K907" s="14"/>
      <c r="L907" s="7"/>
      <c r="M907" s="14"/>
      <c r="N907" s="14"/>
      <c r="O907" s="7"/>
      <c r="P907" s="13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 x14ac:dyDescent="0.25">
      <c r="A908" s="14"/>
      <c r="B908" s="14"/>
      <c r="C908" s="14"/>
      <c r="D908" s="14"/>
      <c r="E908" s="25"/>
      <c r="F908" s="25"/>
      <c r="G908" s="14"/>
      <c r="H908" s="14"/>
      <c r="I908" s="14"/>
      <c r="J908" s="7"/>
      <c r="K908" s="14"/>
      <c r="L908" s="7"/>
      <c r="M908" s="14"/>
      <c r="N908" s="14"/>
      <c r="O908" s="7"/>
      <c r="P908" s="13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 x14ac:dyDescent="0.25">
      <c r="A909" s="14"/>
      <c r="B909" s="14"/>
      <c r="C909" s="14"/>
      <c r="D909" s="14"/>
      <c r="E909" s="25"/>
      <c r="F909" s="25"/>
      <c r="G909" s="14"/>
      <c r="H909" s="14"/>
      <c r="I909" s="14"/>
      <c r="J909" s="7"/>
      <c r="K909" s="14"/>
      <c r="L909" s="7"/>
      <c r="M909" s="14"/>
      <c r="N909" s="14"/>
      <c r="O909" s="7"/>
      <c r="P909" s="13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 x14ac:dyDescent="0.25">
      <c r="A910" s="14"/>
      <c r="B910" s="14"/>
      <c r="C910" s="14"/>
      <c r="D910" s="14"/>
      <c r="E910" s="25"/>
      <c r="F910" s="25"/>
      <c r="G910" s="14"/>
      <c r="H910" s="14"/>
      <c r="I910" s="14"/>
      <c r="J910" s="7"/>
      <c r="K910" s="14"/>
      <c r="L910" s="7"/>
      <c r="M910" s="14"/>
      <c r="N910" s="14"/>
      <c r="O910" s="7"/>
      <c r="P910" s="13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 x14ac:dyDescent="0.25">
      <c r="A911" s="14"/>
      <c r="B911" s="14"/>
      <c r="C911" s="14"/>
      <c r="D911" s="14"/>
      <c r="E911" s="25"/>
      <c r="F911" s="25"/>
      <c r="G911" s="14"/>
      <c r="H911" s="14"/>
      <c r="I911" s="14"/>
      <c r="J911" s="7"/>
      <c r="K911" s="14"/>
      <c r="L911" s="7"/>
      <c r="M911" s="14"/>
      <c r="N911" s="14"/>
      <c r="O911" s="7"/>
      <c r="P911" s="13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 x14ac:dyDescent="0.25">
      <c r="A912" s="14"/>
      <c r="B912" s="14"/>
      <c r="C912" s="14"/>
      <c r="D912" s="14"/>
      <c r="E912" s="25"/>
      <c r="F912" s="25"/>
      <c r="G912" s="14"/>
      <c r="H912" s="14"/>
      <c r="I912" s="14"/>
      <c r="J912" s="7"/>
      <c r="K912" s="14"/>
      <c r="L912" s="7"/>
      <c r="M912" s="14"/>
      <c r="N912" s="14"/>
      <c r="O912" s="7"/>
      <c r="P912" s="13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 x14ac:dyDescent="0.25">
      <c r="A913" s="14"/>
      <c r="B913" s="14"/>
      <c r="C913" s="14"/>
      <c r="D913" s="14"/>
      <c r="E913" s="25"/>
      <c r="F913" s="25"/>
      <c r="G913" s="14"/>
      <c r="H913" s="14"/>
      <c r="I913" s="14"/>
      <c r="J913" s="7"/>
      <c r="K913" s="14"/>
      <c r="L913" s="7"/>
      <c r="M913" s="14"/>
      <c r="N913" s="14"/>
      <c r="O913" s="7"/>
      <c r="P913" s="13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 x14ac:dyDescent="0.25">
      <c r="A914" s="14"/>
      <c r="B914" s="14"/>
      <c r="C914" s="14"/>
      <c r="D914" s="14"/>
      <c r="E914" s="25"/>
      <c r="F914" s="25"/>
      <c r="G914" s="14"/>
      <c r="H914" s="14"/>
      <c r="I914" s="14"/>
      <c r="J914" s="7"/>
      <c r="K914" s="14"/>
      <c r="L914" s="7"/>
      <c r="M914" s="14"/>
      <c r="N914" s="14"/>
      <c r="O914" s="7"/>
      <c r="P914" s="13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 x14ac:dyDescent="0.25">
      <c r="A915" s="14"/>
      <c r="B915" s="14"/>
      <c r="C915" s="14"/>
      <c r="D915" s="14"/>
      <c r="E915" s="25"/>
      <c r="F915" s="25"/>
      <c r="G915" s="14"/>
      <c r="H915" s="14"/>
      <c r="I915" s="14"/>
      <c r="J915" s="7"/>
      <c r="K915" s="14"/>
      <c r="L915" s="7"/>
      <c r="M915" s="14"/>
      <c r="N915" s="14"/>
      <c r="O915" s="7"/>
      <c r="P915" s="13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 x14ac:dyDescent="0.25">
      <c r="A916" s="14"/>
      <c r="B916" s="14"/>
      <c r="C916" s="14"/>
      <c r="D916" s="14"/>
      <c r="E916" s="25"/>
      <c r="F916" s="25"/>
      <c r="G916" s="14"/>
      <c r="H916" s="14"/>
      <c r="I916" s="14"/>
      <c r="J916" s="7"/>
      <c r="K916" s="14"/>
      <c r="L916" s="7"/>
      <c r="M916" s="14"/>
      <c r="N916" s="14"/>
      <c r="O916" s="7"/>
      <c r="P916" s="13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 x14ac:dyDescent="0.25">
      <c r="A917" s="14"/>
      <c r="B917" s="14"/>
      <c r="C917" s="14"/>
      <c r="D917" s="14"/>
      <c r="E917" s="25"/>
      <c r="F917" s="25"/>
      <c r="G917" s="14"/>
      <c r="H917" s="14"/>
      <c r="I917" s="14"/>
      <c r="J917" s="7"/>
      <c r="K917" s="14"/>
      <c r="L917" s="7"/>
      <c r="M917" s="14"/>
      <c r="N917" s="14"/>
      <c r="O917" s="7"/>
      <c r="P917" s="13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 x14ac:dyDescent="0.25">
      <c r="A918" s="14"/>
      <c r="B918" s="14"/>
      <c r="C918" s="14"/>
      <c r="D918" s="14"/>
      <c r="E918" s="25"/>
      <c r="F918" s="25"/>
      <c r="G918" s="14"/>
      <c r="H918" s="14"/>
      <c r="I918" s="14"/>
      <c r="J918" s="7"/>
      <c r="K918" s="14"/>
      <c r="L918" s="7"/>
      <c r="M918" s="14"/>
      <c r="N918" s="14"/>
      <c r="O918" s="7"/>
      <c r="P918" s="13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 x14ac:dyDescent="0.25">
      <c r="A919" s="14"/>
      <c r="B919" s="14"/>
      <c r="C919" s="14"/>
      <c r="D919" s="14"/>
      <c r="E919" s="25"/>
      <c r="F919" s="25"/>
      <c r="G919" s="14"/>
      <c r="H919" s="14"/>
      <c r="I919" s="14"/>
      <c r="J919" s="7"/>
      <c r="K919" s="14"/>
      <c r="L919" s="7"/>
      <c r="M919" s="14"/>
      <c r="N919" s="14"/>
      <c r="O919" s="7"/>
      <c r="P919" s="13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 x14ac:dyDescent="0.25">
      <c r="A920" s="14"/>
      <c r="B920" s="14"/>
      <c r="C920" s="14"/>
      <c r="D920" s="14"/>
      <c r="E920" s="25"/>
      <c r="F920" s="25"/>
      <c r="G920" s="14"/>
      <c r="H920" s="14"/>
      <c r="I920" s="14"/>
      <c r="J920" s="7"/>
      <c r="K920" s="14"/>
      <c r="L920" s="7"/>
      <c r="M920" s="14"/>
      <c r="N920" s="14"/>
      <c r="O920" s="7"/>
      <c r="P920" s="13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 x14ac:dyDescent="0.25">
      <c r="A921" s="14"/>
      <c r="B921" s="14"/>
      <c r="C921" s="14"/>
      <c r="D921" s="14"/>
      <c r="E921" s="25"/>
      <c r="F921" s="25"/>
      <c r="G921" s="14"/>
      <c r="H921" s="14"/>
      <c r="I921" s="14"/>
      <c r="J921" s="7"/>
      <c r="K921" s="14"/>
      <c r="L921" s="7"/>
      <c r="M921" s="14"/>
      <c r="N921" s="14"/>
      <c r="O921" s="7"/>
      <c r="P921" s="13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 x14ac:dyDescent="0.25">
      <c r="A922" s="14"/>
      <c r="B922" s="14"/>
      <c r="C922" s="14"/>
      <c r="D922" s="14"/>
      <c r="E922" s="25"/>
      <c r="F922" s="25"/>
      <c r="G922" s="14"/>
      <c r="H922" s="14"/>
      <c r="I922" s="14"/>
      <c r="J922" s="7"/>
      <c r="K922" s="14"/>
      <c r="L922" s="7"/>
      <c r="M922" s="14"/>
      <c r="N922" s="14"/>
      <c r="O922" s="7"/>
      <c r="P922" s="13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 x14ac:dyDescent="0.25">
      <c r="A923" s="14"/>
      <c r="B923" s="14"/>
      <c r="C923" s="14"/>
      <c r="D923" s="14"/>
      <c r="E923" s="25"/>
      <c r="F923" s="25"/>
      <c r="G923" s="14"/>
      <c r="H923" s="14"/>
      <c r="I923" s="14"/>
      <c r="J923" s="7"/>
      <c r="K923" s="14"/>
      <c r="L923" s="7"/>
      <c r="M923" s="14"/>
      <c r="N923" s="14"/>
      <c r="O923" s="7"/>
      <c r="P923" s="13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 x14ac:dyDescent="0.25">
      <c r="A924" s="14"/>
      <c r="B924" s="14"/>
      <c r="C924" s="14"/>
      <c r="D924" s="14"/>
      <c r="E924" s="25"/>
      <c r="F924" s="25"/>
      <c r="G924" s="14"/>
      <c r="H924" s="14"/>
      <c r="I924" s="14"/>
      <c r="J924" s="7"/>
      <c r="K924" s="14"/>
      <c r="L924" s="7"/>
      <c r="M924" s="14"/>
      <c r="N924" s="14"/>
      <c r="O924" s="7"/>
      <c r="P924" s="13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 x14ac:dyDescent="0.25">
      <c r="A925" s="14"/>
      <c r="B925" s="14"/>
      <c r="C925" s="14"/>
      <c r="D925" s="14"/>
      <c r="E925" s="25"/>
      <c r="F925" s="25"/>
      <c r="G925" s="14"/>
      <c r="H925" s="14"/>
      <c r="I925" s="14"/>
      <c r="J925" s="7"/>
      <c r="K925" s="14"/>
      <c r="L925" s="7"/>
      <c r="M925" s="14"/>
      <c r="N925" s="14"/>
      <c r="O925" s="7"/>
      <c r="P925" s="13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 x14ac:dyDescent="0.25">
      <c r="A926" s="14"/>
      <c r="B926" s="14"/>
      <c r="C926" s="14"/>
      <c r="D926" s="14"/>
      <c r="E926" s="25"/>
      <c r="F926" s="25"/>
      <c r="G926" s="14"/>
      <c r="H926" s="14"/>
      <c r="I926" s="14"/>
      <c r="J926" s="7"/>
      <c r="K926" s="14"/>
      <c r="L926" s="7"/>
      <c r="M926" s="14"/>
      <c r="N926" s="14"/>
      <c r="O926" s="7"/>
      <c r="P926" s="13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 x14ac:dyDescent="0.25">
      <c r="A927" s="14"/>
      <c r="B927" s="14"/>
      <c r="C927" s="14"/>
      <c r="D927" s="14"/>
      <c r="E927" s="25"/>
      <c r="F927" s="25"/>
      <c r="G927" s="14"/>
      <c r="H927" s="14"/>
      <c r="I927" s="14"/>
      <c r="J927" s="7"/>
      <c r="K927" s="14"/>
      <c r="L927" s="7"/>
      <c r="M927" s="14"/>
      <c r="N927" s="14"/>
      <c r="O927" s="7"/>
      <c r="P927" s="13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 x14ac:dyDescent="0.25">
      <c r="A928" s="14"/>
      <c r="B928" s="14"/>
      <c r="C928" s="14"/>
      <c r="D928" s="14"/>
      <c r="E928" s="25"/>
      <c r="F928" s="25"/>
      <c r="G928" s="14"/>
      <c r="H928" s="14"/>
      <c r="I928" s="14"/>
      <c r="J928" s="7"/>
      <c r="K928" s="14"/>
      <c r="L928" s="7"/>
      <c r="M928" s="14"/>
      <c r="N928" s="14"/>
      <c r="O928" s="7"/>
      <c r="P928" s="13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 x14ac:dyDescent="0.25">
      <c r="A929" s="14"/>
      <c r="B929" s="14"/>
      <c r="C929" s="14"/>
      <c r="D929" s="14"/>
      <c r="E929" s="25"/>
      <c r="F929" s="25"/>
      <c r="G929" s="14"/>
      <c r="H929" s="14"/>
      <c r="I929" s="14"/>
      <c r="J929" s="7"/>
      <c r="K929" s="14"/>
      <c r="L929" s="7"/>
      <c r="M929" s="14"/>
      <c r="N929" s="14"/>
      <c r="O929" s="7"/>
      <c r="P929" s="13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 x14ac:dyDescent="0.25">
      <c r="A930" s="14"/>
      <c r="B930" s="14"/>
      <c r="C930" s="14"/>
      <c r="D930" s="14"/>
      <c r="E930" s="25"/>
      <c r="F930" s="25"/>
      <c r="G930" s="14"/>
      <c r="H930" s="14"/>
      <c r="I930" s="14"/>
      <c r="J930" s="7"/>
      <c r="K930" s="14"/>
      <c r="L930" s="7"/>
      <c r="M930" s="14"/>
      <c r="N930" s="14"/>
      <c r="O930" s="7"/>
      <c r="P930" s="13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 x14ac:dyDescent="0.25">
      <c r="A931" s="14"/>
      <c r="B931" s="14"/>
      <c r="C931" s="14"/>
      <c r="D931" s="14"/>
      <c r="E931" s="25"/>
      <c r="F931" s="25"/>
      <c r="G931" s="14"/>
      <c r="H931" s="14"/>
      <c r="I931" s="14"/>
      <c r="J931" s="7"/>
      <c r="K931" s="14"/>
      <c r="L931" s="7"/>
      <c r="M931" s="14"/>
      <c r="N931" s="14"/>
      <c r="O931" s="7"/>
      <c r="P931" s="13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 x14ac:dyDescent="0.25">
      <c r="A932" s="14"/>
      <c r="B932" s="14"/>
      <c r="C932" s="14"/>
      <c r="D932" s="14"/>
      <c r="E932" s="25"/>
      <c r="F932" s="25"/>
      <c r="G932" s="14"/>
      <c r="H932" s="14"/>
      <c r="I932" s="14"/>
      <c r="J932" s="7"/>
      <c r="K932" s="14"/>
      <c r="L932" s="7"/>
      <c r="M932" s="14"/>
      <c r="N932" s="14"/>
      <c r="O932" s="7"/>
      <c r="P932" s="13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 x14ac:dyDescent="0.25">
      <c r="A933" s="14"/>
      <c r="B933" s="14"/>
      <c r="C933" s="14"/>
      <c r="D933" s="14"/>
      <c r="E933" s="25"/>
      <c r="F933" s="25"/>
      <c r="G933" s="14"/>
      <c r="H933" s="14"/>
      <c r="I933" s="14"/>
      <c r="J933" s="7"/>
      <c r="K933" s="14"/>
      <c r="L933" s="7"/>
      <c r="M933" s="14"/>
      <c r="N933" s="14"/>
      <c r="O933" s="7"/>
      <c r="P933" s="13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 x14ac:dyDescent="0.25">
      <c r="A934" s="14"/>
      <c r="B934" s="14"/>
      <c r="C934" s="14"/>
      <c r="D934" s="14"/>
      <c r="E934" s="25"/>
      <c r="F934" s="25"/>
      <c r="G934" s="14"/>
      <c r="H934" s="14"/>
      <c r="I934" s="14"/>
      <c r="J934" s="7"/>
      <c r="K934" s="14"/>
      <c r="L934" s="7"/>
      <c r="M934" s="14"/>
      <c r="N934" s="14"/>
      <c r="O934" s="7"/>
      <c r="P934" s="13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 x14ac:dyDescent="0.25">
      <c r="A935" s="14"/>
      <c r="B935" s="14"/>
      <c r="C935" s="14"/>
      <c r="D935" s="14"/>
      <c r="E935" s="25"/>
      <c r="F935" s="25"/>
      <c r="G935" s="14"/>
      <c r="H935" s="14"/>
      <c r="I935" s="14"/>
      <c r="J935" s="7"/>
      <c r="K935" s="14"/>
      <c r="L935" s="7"/>
      <c r="M935" s="14"/>
      <c r="N935" s="14"/>
      <c r="O935" s="7"/>
      <c r="P935" s="13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 x14ac:dyDescent="0.25">
      <c r="A936" s="14"/>
      <c r="B936" s="14"/>
      <c r="C936" s="14"/>
      <c r="D936" s="14"/>
      <c r="E936" s="25"/>
      <c r="F936" s="25"/>
      <c r="G936" s="14"/>
      <c r="H936" s="14"/>
      <c r="I936" s="14"/>
      <c r="J936" s="7"/>
      <c r="K936" s="14"/>
      <c r="L936" s="7"/>
      <c r="M936" s="14"/>
      <c r="N936" s="14"/>
      <c r="O936" s="7"/>
      <c r="P936" s="13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 x14ac:dyDescent="0.25">
      <c r="A937" s="14"/>
      <c r="B937" s="14"/>
      <c r="C937" s="14"/>
      <c r="D937" s="14"/>
      <c r="E937" s="25"/>
      <c r="F937" s="25"/>
      <c r="G937" s="14"/>
      <c r="H937" s="14"/>
      <c r="I937" s="14"/>
      <c r="J937" s="7"/>
      <c r="K937" s="14"/>
      <c r="L937" s="7"/>
      <c r="M937" s="14"/>
      <c r="N937" s="14"/>
      <c r="O937" s="7"/>
      <c r="P937" s="13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 x14ac:dyDescent="0.25">
      <c r="A938" s="14"/>
      <c r="B938" s="14"/>
      <c r="C938" s="14"/>
      <c r="D938" s="14"/>
      <c r="E938" s="25"/>
      <c r="F938" s="25"/>
      <c r="G938" s="14"/>
      <c r="H938" s="14"/>
      <c r="I938" s="14"/>
      <c r="J938" s="7"/>
      <c r="K938" s="14"/>
      <c r="L938" s="7"/>
      <c r="M938" s="14"/>
      <c r="N938" s="14"/>
      <c r="O938" s="7"/>
      <c r="P938" s="13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 x14ac:dyDescent="0.25">
      <c r="A939" s="14"/>
      <c r="B939" s="14"/>
      <c r="C939" s="14"/>
      <c r="D939" s="14"/>
      <c r="E939" s="25"/>
      <c r="F939" s="25"/>
      <c r="G939" s="14"/>
      <c r="H939" s="14"/>
      <c r="I939" s="14"/>
      <c r="J939" s="7"/>
      <c r="K939" s="14"/>
      <c r="L939" s="7"/>
      <c r="M939" s="14"/>
      <c r="N939" s="14"/>
      <c r="O939" s="7"/>
      <c r="P939" s="13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 x14ac:dyDescent="0.25">
      <c r="A940" s="14"/>
      <c r="B940" s="14"/>
      <c r="C940" s="14"/>
      <c r="D940" s="14"/>
      <c r="E940" s="25"/>
      <c r="F940" s="25"/>
      <c r="G940" s="14"/>
      <c r="H940" s="14"/>
      <c r="I940" s="14"/>
      <c r="J940" s="7"/>
      <c r="K940" s="14"/>
      <c r="L940" s="7"/>
      <c r="M940" s="14"/>
      <c r="N940" s="14"/>
      <c r="O940" s="7"/>
      <c r="P940" s="13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 x14ac:dyDescent="0.25">
      <c r="A941" s="14"/>
      <c r="B941" s="14"/>
      <c r="C941" s="14"/>
      <c r="D941" s="14"/>
      <c r="E941" s="25"/>
      <c r="F941" s="25"/>
      <c r="G941" s="14"/>
      <c r="H941" s="14"/>
      <c r="I941" s="14"/>
      <c r="J941" s="7"/>
      <c r="K941" s="14"/>
      <c r="L941" s="7"/>
      <c r="M941" s="14"/>
      <c r="N941" s="14"/>
      <c r="O941" s="7"/>
      <c r="P941" s="13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 x14ac:dyDescent="0.25">
      <c r="A942" s="14"/>
      <c r="B942" s="14"/>
      <c r="C942" s="14"/>
      <c r="D942" s="14"/>
      <c r="E942" s="25"/>
      <c r="F942" s="25"/>
      <c r="G942" s="14"/>
      <c r="H942" s="14"/>
      <c r="I942" s="14"/>
      <c r="J942" s="7"/>
      <c r="K942" s="14"/>
      <c r="L942" s="7"/>
      <c r="M942" s="14"/>
      <c r="N942" s="14"/>
      <c r="O942" s="7"/>
      <c r="P942" s="13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 x14ac:dyDescent="0.25">
      <c r="A943" s="14"/>
      <c r="B943" s="14"/>
      <c r="C943" s="14"/>
      <c r="D943" s="14"/>
      <c r="E943" s="25"/>
      <c r="F943" s="25"/>
      <c r="G943" s="14"/>
      <c r="H943" s="14"/>
      <c r="I943" s="14"/>
      <c r="J943" s="7"/>
      <c r="K943" s="14"/>
      <c r="L943" s="7"/>
      <c r="M943" s="14"/>
      <c r="N943" s="14"/>
      <c r="O943" s="7"/>
      <c r="P943" s="13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 x14ac:dyDescent="0.25">
      <c r="A944" s="14"/>
      <c r="B944" s="14"/>
      <c r="C944" s="14"/>
      <c r="D944" s="14"/>
      <c r="E944" s="25"/>
      <c r="F944" s="25"/>
      <c r="G944" s="14"/>
      <c r="H944" s="14"/>
      <c r="I944" s="14"/>
      <c r="J944" s="7"/>
      <c r="K944" s="14"/>
      <c r="L944" s="7"/>
      <c r="M944" s="14"/>
      <c r="N944" s="14"/>
      <c r="O944" s="7"/>
      <c r="P944" s="13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 x14ac:dyDescent="0.25">
      <c r="A945" s="14"/>
      <c r="B945" s="14"/>
      <c r="C945" s="14"/>
      <c r="D945" s="14"/>
      <c r="E945" s="25"/>
      <c r="F945" s="25"/>
      <c r="G945" s="14"/>
      <c r="H945" s="14"/>
      <c r="I945" s="14"/>
      <c r="J945" s="7"/>
      <c r="K945" s="14"/>
      <c r="L945" s="7"/>
      <c r="M945" s="14"/>
      <c r="N945" s="14"/>
      <c r="O945" s="7"/>
      <c r="P945" s="13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 x14ac:dyDescent="0.25">
      <c r="A946" s="14"/>
      <c r="B946" s="14"/>
      <c r="C946" s="14"/>
      <c r="D946" s="14"/>
      <c r="E946" s="25"/>
      <c r="F946" s="25"/>
      <c r="G946" s="14"/>
      <c r="H946" s="14"/>
      <c r="I946" s="14"/>
      <c r="J946" s="7"/>
      <c r="K946" s="14"/>
      <c r="L946" s="7"/>
      <c r="M946" s="14"/>
      <c r="N946" s="14"/>
      <c r="O946" s="7"/>
      <c r="P946" s="13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 x14ac:dyDescent="0.25">
      <c r="A947" s="14"/>
      <c r="B947" s="14"/>
      <c r="C947" s="14"/>
      <c r="D947" s="14"/>
      <c r="E947" s="25"/>
      <c r="F947" s="25"/>
      <c r="G947" s="14"/>
      <c r="H947" s="14"/>
      <c r="I947" s="14"/>
      <c r="J947" s="7"/>
      <c r="K947" s="14"/>
      <c r="L947" s="7"/>
      <c r="M947" s="14"/>
      <c r="N947" s="14"/>
      <c r="O947" s="7"/>
      <c r="P947" s="13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 x14ac:dyDescent="0.25">
      <c r="A948" s="14"/>
      <c r="B948" s="14"/>
      <c r="C948" s="14"/>
      <c r="D948" s="14"/>
      <c r="E948" s="25"/>
      <c r="F948" s="25"/>
      <c r="G948" s="14"/>
      <c r="H948" s="14"/>
      <c r="I948" s="14"/>
      <c r="J948" s="7"/>
      <c r="K948" s="14"/>
      <c r="L948" s="7"/>
      <c r="M948" s="14"/>
      <c r="N948" s="14"/>
      <c r="O948" s="7"/>
      <c r="P948" s="13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 x14ac:dyDescent="0.25">
      <c r="A949" s="14"/>
      <c r="B949" s="14"/>
      <c r="C949" s="14"/>
      <c r="D949" s="14"/>
      <c r="E949" s="25"/>
      <c r="F949" s="25"/>
      <c r="G949" s="14"/>
      <c r="H949" s="14"/>
      <c r="I949" s="14"/>
      <c r="J949" s="7"/>
      <c r="K949" s="14"/>
      <c r="L949" s="7"/>
      <c r="M949" s="14"/>
      <c r="N949" s="14"/>
      <c r="O949" s="7"/>
      <c r="P949" s="13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 x14ac:dyDescent="0.25">
      <c r="A950" s="14"/>
      <c r="B950" s="14"/>
      <c r="C950" s="14"/>
      <c r="D950" s="14"/>
      <c r="E950" s="25"/>
      <c r="F950" s="25"/>
      <c r="G950" s="14"/>
      <c r="H950" s="14"/>
      <c r="I950" s="14"/>
      <c r="J950" s="7"/>
      <c r="K950" s="14"/>
      <c r="L950" s="7"/>
      <c r="M950" s="14"/>
      <c r="N950" s="14"/>
      <c r="O950" s="7"/>
      <c r="P950" s="13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 x14ac:dyDescent="0.25">
      <c r="A951" s="14"/>
      <c r="B951" s="14"/>
      <c r="C951" s="14"/>
      <c r="D951" s="14"/>
      <c r="E951" s="25"/>
      <c r="F951" s="25"/>
      <c r="G951" s="14"/>
      <c r="H951" s="14"/>
      <c r="I951" s="14"/>
      <c r="J951" s="7"/>
      <c r="K951" s="14"/>
      <c r="L951" s="7"/>
      <c r="M951" s="14"/>
      <c r="N951" s="14"/>
      <c r="O951" s="7"/>
      <c r="P951" s="13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 x14ac:dyDescent="0.25">
      <c r="A952" s="14"/>
      <c r="B952" s="14"/>
      <c r="C952" s="14"/>
      <c r="D952" s="14"/>
      <c r="E952" s="25"/>
      <c r="F952" s="25"/>
      <c r="G952" s="14"/>
      <c r="H952" s="14"/>
      <c r="I952" s="14"/>
      <c r="J952" s="7"/>
      <c r="K952" s="14"/>
      <c r="L952" s="7"/>
      <c r="M952" s="14"/>
      <c r="N952" s="14"/>
      <c r="O952" s="7"/>
      <c r="P952" s="13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25" customHeight="1" x14ac:dyDescent="0.25">
      <c r="A953" s="14"/>
      <c r="B953" s="14"/>
      <c r="C953" s="14"/>
      <c r="D953" s="14"/>
      <c r="E953" s="25"/>
      <c r="F953" s="25"/>
      <c r="G953" s="14"/>
      <c r="H953" s="14"/>
      <c r="I953" s="14"/>
      <c r="J953" s="7"/>
      <c r="K953" s="14"/>
      <c r="L953" s="7"/>
      <c r="M953" s="14"/>
      <c r="N953" s="14"/>
      <c r="O953" s="7"/>
      <c r="P953" s="13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25" customHeight="1" x14ac:dyDescent="0.25">
      <c r="A954" s="14"/>
      <c r="B954" s="14"/>
      <c r="C954" s="14"/>
      <c r="D954" s="14"/>
      <c r="E954" s="25"/>
      <c r="F954" s="25"/>
      <c r="G954" s="14"/>
      <c r="H954" s="14"/>
      <c r="I954" s="14"/>
      <c r="J954" s="7"/>
      <c r="K954" s="14"/>
      <c r="L954" s="7"/>
      <c r="M954" s="14"/>
      <c r="N954" s="14"/>
      <c r="O954" s="7"/>
      <c r="P954" s="13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25" customHeight="1" x14ac:dyDescent="0.25">
      <c r="A955" s="14"/>
      <c r="B955" s="14"/>
      <c r="C955" s="14"/>
      <c r="D955" s="14"/>
      <c r="E955" s="25"/>
      <c r="F955" s="25"/>
      <c r="G955" s="14"/>
      <c r="H955" s="14"/>
      <c r="I955" s="14"/>
      <c r="J955" s="7"/>
      <c r="K955" s="14"/>
      <c r="L955" s="7"/>
      <c r="M955" s="14"/>
      <c r="N955" s="14"/>
      <c r="O955" s="7"/>
      <c r="P955" s="13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25" customHeight="1" x14ac:dyDescent="0.25">
      <c r="A956" s="14"/>
      <c r="B956" s="14"/>
      <c r="C956" s="14"/>
      <c r="D956" s="14"/>
      <c r="E956" s="25"/>
      <c r="F956" s="25"/>
      <c r="G956" s="14"/>
      <c r="H956" s="14"/>
      <c r="I956" s="14"/>
      <c r="J956" s="7"/>
      <c r="K956" s="14"/>
      <c r="L956" s="7"/>
      <c r="M956" s="14"/>
      <c r="N956" s="14"/>
      <c r="O956" s="7"/>
      <c r="P956" s="13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25" customHeight="1" x14ac:dyDescent="0.25">
      <c r="A957" s="14"/>
      <c r="B957" s="14"/>
      <c r="C957" s="14"/>
      <c r="D957" s="14"/>
      <c r="E957" s="25"/>
      <c r="F957" s="25"/>
      <c r="G957" s="14"/>
      <c r="H957" s="14"/>
      <c r="I957" s="14"/>
      <c r="J957" s="7"/>
      <c r="K957" s="14"/>
      <c r="L957" s="7"/>
      <c r="M957" s="14"/>
      <c r="N957" s="14"/>
      <c r="O957" s="7"/>
      <c r="P957" s="13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25" customHeight="1" x14ac:dyDescent="0.25">
      <c r="A958" s="14"/>
      <c r="B958" s="14"/>
      <c r="C958" s="14"/>
      <c r="D958" s="14"/>
      <c r="E958" s="25"/>
      <c r="F958" s="25"/>
      <c r="G958" s="14"/>
      <c r="H958" s="14"/>
      <c r="I958" s="14"/>
      <c r="J958" s="7"/>
      <c r="K958" s="14"/>
      <c r="L958" s="7"/>
      <c r="M958" s="14"/>
      <c r="N958" s="14"/>
      <c r="O958" s="7"/>
      <c r="P958" s="13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25" customHeight="1" x14ac:dyDescent="0.25">
      <c r="A959" s="14"/>
      <c r="B959" s="14"/>
      <c r="C959" s="14"/>
      <c r="D959" s="14"/>
      <c r="E959" s="25"/>
      <c r="F959" s="25"/>
      <c r="G959" s="14"/>
      <c r="H959" s="14"/>
      <c r="I959" s="14"/>
      <c r="J959" s="7"/>
      <c r="K959" s="14"/>
      <c r="L959" s="7"/>
      <c r="M959" s="14"/>
      <c r="N959" s="14"/>
      <c r="O959" s="7"/>
      <c r="P959" s="13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25" customHeight="1" x14ac:dyDescent="0.25">
      <c r="A960" s="14"/>
      <c r="B960" s="14"/>
      <c r="C960" s="14"/>
      <c r="D960" s="14"/>
      <c r="E960" s="25"/>
      <c r="F960" s="25"/>
      <c r="G960" s="14"/>
      <c r="H960" s="14"/>
      <c r="I960" s="14"/>
      <c r="J960" s="7"/>
      <c r="K960" s="14"/>
      <c r="L960" s="7"/>
      <c r="M960" s="14"/>
      <c r="N960" s="14"/>
      <c r="O960" s="7"/>
      <c r="P960" s="13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25" customHeight="1" x14ac:dyDescent="0.25">
      <c r="A961" s="14"/>
      <c r="B961" s="14"/>
      <c r="C961" s="14"/>
      <c r="D961" s="14"/>
      <c r="E961" s="25"/>
      <c r="F961" s="25"/>
      <c r="G961" s="14"/>
      <c r="H961" s="14"/>
      <c r="I961" s="14"/>
      <c r="J961" s="7"/>
      <c r="K961" s="14"/>
      <c r="L961" s="7"/>
      <c r="M961" s="14"/>
      <c r="N961" s="14"/>
      <c r="O961" s="7"/>
      <c r="P961" s="13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25" customHeight="1" x14ac:dyDescent="0.25">
      <c r="A962" s="14"/>
      <c r="B962" s="14"/>
      <c r="C962" s="14"/>
      <c r="D962" s="14"/>
      <c r="E962" s="25"/>
      <c r="F962" s="25"/>
      <c r="G962" s="14"/>
      <c r="H962" s="14"/>
      <c r="I962" s="14"/>
      <c r="J962" s="7"/>
      <c r="K962" s="14"/>
      <c r="L962" s="7"/>
      <c r="M962" s="14"/>
      <c r="N962" s="14"/>
      <c r="O962" s="7"/>
      <c r="P962" s="13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25" customHeight="1" x14ac:dyDescent="0.25">
      <c r="A963" s="14"/>
      <c r="B963" s="14"/>
      <c r="C963" s="14"/>
      <c r="D963" s="14"/>
      <c r="E963" s="25"/>
      <c r="F963" s="25"/>
      <c r="G963" s="14"/>
      <c r="H963" s="14"/>
      <c r="I963" s="14"/>
      <c r="J963" s="7"/>
      <c r="K963" s="14"/>
      <c r="L963" s="7"/>
      <c r="M963" s="14"/>
      <c r="N963" s="14"/>
      <c r="O963" s="7"/>
      <c r="P963" s="13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25" customHeight="1" x14ac:dyDescent="0.25">
      <c r="A964" s="14"/>
      <c r="B964" s="14"/>
      <c r="C964" s="14"/>
      <c r="D964" s="14"/>
      <c r="E964" s="25"/>
      <c r="F964" s="25"/>
      <c r="G964" s="14"/>
      <c r="H964" s="14"/>
      <c r="I964" s="14"/>
      <c r="J964" s="7"/>
      <c r="K964" s="14"/>
      <c r="L964" s="7"/>
      <c r="M964" s="14"/>
      <c r="N964" s="14"/>
      <c r="O964" s="7"/>
      <c r="P964" s="13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25" customHeight="1" x14ac:dyDescent="0.25">
      <c r="A965" s="14"/>
      <c r="B965" s="14"/>
      <c r="C965" s="14"/>
      <c r="D965" s="14"/>
      <c r="E965" s="25"/>
      <c r="F965" s="25"/>
      <c r="G965" s="14"/>
      <c r="H965" s="14"/>
      <c r="I965" s="14"/>
      <c r="J965" s="7"/>
      <c r="K965" s="14"/>
      <c r="L965" s="7"/>
      <c r="M965" s="14"/>
      <c r="N965" s="14"/>
      <c r="O965" s="7"/>
      <c r="P965" s="13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25" customHeight="1" x14ac:dyDescent="0.25">
      <c r="A966" s="14"/>
      <c r="B966" s="14"/>
      <c r="C966" s="14"/>
      <c r="D966" s="14"/>
      <c r="E966" s="25"/>
      <c r="F966" s="25"/>
      <c r="G966" s="14"/>
      <c r="H966" s="14"/>
      <c r="I966" s="14"/>
      <c r="J966" s="7"/>
      <c r="K966" s="14"/>
      <c r="L966" s="7"/>
      <c r="M966" s="14"/>
      <c r="N966" s="14"/>
      <c r="O966" s="7"/>
      <c r="P966" s="13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25" customHeight="1" x14ac:dyDescent="0.25">
      <c r="A967" s="14"/>
      <c r="B967" s="14"/>
      <c r="C967" s="14"/>
      <c r="D967" s="14"/>
      <c r="E967" s="25"/>
      <c r="F967" s="25"/>
      <c r="G967" s="14"/>
      <c r="H967" s="14"/>
      <c r="I967" s="14"/>
      <c r="J967" s="7"/>
      <c r="K967" s="14"/>
      <c r="L967" s="7"/>
      <c r="M967" s="14"/>
      <c r="N967" s="14"/>
      <c r="O967" s="7"/>
      <c r="P967" s="13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25" customHeight="1" x14ac:dyDescent="0.25">
      <c r="A968" s="14"/>
      <c r="B968" s="14"/>
      <c r="C968" s="14"/>
      <c r="D968" s="14"/>
      <c r="E968" s="25"/>
      <c r="F968" s="25"/>
      <c r="G968" s="14"/>
      <c r="H968" s="14"/>
      <c r="I968" s="14"/>
      <c r="J968" s="7"/>
      <c r="K968" s="14"/>
      <c r="L968" s="7"/>
      <c r="M968" s="14"/>
      <c r="N968" s="14"/>
      <c r="O968" s="7"/>
      <c r="P968" s="13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25" customHeight="1" x14ac:dyDescent="0.25">
      <c r="A969" s="14"/>
      <c r="B969" s="14"/>
      <c r="C969" s="14"/>
      <c r="D969" s="14"/>
      <c r="E969" s="25"/>
      <c r="F969" s="25"/>
      <c r="G969" s="14"/>
      <c r="H969" s="14"/>
      <c r="I969" s="14"/>
      <c r="J969" s="7"/>
      <c r="K969" s="14"/>
      <c r="L969" s="7"/>
      <c r="M969" s="14"/>
      <c r="N969" s="14"/>
      <c r="O969" s="7"/>
      <c r="P969" s="13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25" customHeight="1" x14ac:dyDescent="0.25">
      <c r="A970" s="14"/>
      <c r="B970" s="14"/>
      <c r="C970" s="14"/>
      <c r="D970" s="14"/>
      <c r="E970" s="25"/>
      <c r="F970" s="25"/>
      <c r="G970" s="14"/>
      <c r="H970" s="14"/>
      <c r="I970" s="14"/>
      <c r="J970" s="7"/>
      <c r="K970" s="14"/>
      <c r="L970" s="7"/>
      <c r="M970" s="14"/>
      <c r="N970" s="14"/>
      <c r="O970" s="7"/>
      <c r="P970" s="13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25" customHeight="1" x14ac:dyDescent="0.25">
      <c r="A971" s="14"/>
      <c r="B971" s="14"/>
      <c r="C971" s="14"/>
      <c r="D971" s="14"/>
      <c r="E971" s="25"/>
      <c r="F971" s="25"/>
      <c r="G971" s="14"/>
      <c r="H971" s="14"/>
      <c r="I971" s="14"/>
      <c r="J971" s="7"/>
      <c r="K971" s="14"/>
      <c r="L971" s="7"/>
      <c r="M971" s="14"/>
      <c r="N971" s="14"/>
      <c r="O971" s="7"/>
      <c r="P971" s="13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25" customHeight="1" x14ac:dyDescent="0.25">
      <c r="A972" s="14"/>
      <c r="B972" s="14"/>
      <c r="C972" s="14"/>
      <c r="D972" s="14"/>
      <c r="E972" s="25"/>
      <c r="F972" s="25"/>
      <c r="G972" s="14"/>
      <c r="H972" s="14"/>
      <c r="I972" s="14"/>
      <c r="J972" s="7"/>
      <c r="K972" s="14"/>
      <c r="L972" s="7"/>
      <c r="M972" s="14"/>
      <c r="N972" s="14"/>
      <c r="O972" s="7"/>
      <c r="P972" s="13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25" customHeight="1" x14ac:dyDescent="0.25">
      <c r="A973" s="14"/>
      <c r="B973" s="14"/>
      <c r="C973" s="14"/>
      <c r="D973" s="14"/>
      <c r="E973" s="25"/>
      <c r="F973" s="25"/>
      <c r="G973" s="14"/>
      <c r="H973" s="14"/>
      <c r="I973" s="14"/>
      <c r="J973" s="7"/>
      <c r="K973" s="14"/>
      <c r="L973" s="7"/>
      <c r="M973" s="14"/>
      <c r="N973" s="14"/>
      <c r="O973" s="7"/>
      <c r="P973" s="13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25" customHeight="1" x14ac:dyDescent="0.25">
      <c r="A974" s="14"/>
      <c r="B974" s="14"/>
      <c r="C974" s="14"/>
      <c r="D974" s="14"/>
      <c r="E974" s="25"/>
      <c r="F974" s="25"/>
      <c r="G974" s="14"/>
      <c r="H974" s="14"/>
      <c r="I974" s="14"/>
      <c r="J974" s="7"/>
      <c r="K974" s="14"/>
      <c r="L974" s="7"/>
      <c r="M974" s="14"/>
      <c r="N974" s="14"/>
      <c r="O974" s="7"/>
      <c r="P974" s="13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25" customHeight="1" x14ac:dyDescent="0.25">
      <c r="A975" s="14"/>
      <c r="B975" s="14"/>
      <c r="C975" s="14"/>
      <c r="D975" s="14"/>
      <c r="E975" s="25"/>
      <c r="F975" s="25"/>
      <c r="G975" s="14"/>
      <c r="H975" s="14"/>
      <c r="I975" s="14"/>
      <c r="J975" s="7"/>
      <c r="K975" s="14"/>
      <c r="L975" s="7"/>
      <c r="M975" s="14"/>
      <c r="N975" s="14"/>
      <c r="O975" s="7"/>
      <c r="P975" s="13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25" customHeight="1" x14ac:dyDescent="0.25">
      <c r="A976" s="14"/>
      <c r="B976" s="14"/>
      <c r="C976" s="14"/>
      <c r="D976" s="14"/>
      <c r="E976" s="25"/>
      <c r="F976" s="25"/>
      <c r="G976" s="14"/>
      <c r="H976" s="14"/>
      <c r="I976" s="14"/>
      <c r="J976" s="7"/>
      <c r="K976" s="14"/>
      <c r="L976" s="7"/>
      <c r="M976" s="14"/>
      <c r="N976" s="14"/>
      <c r="O976" s="7"/>
      <c r="P976" s="13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25" customHeight="1" x14ac:dyDescent="0.25">
      <c r="A977" s="14"/>
      <c r="B977" s="14"/>
      <c r="C977" s="14"/>
      <c r="D977" s="14"/>
      <c r="E977" s="25"/>
      <c r="F977" s="25"/>
      <c r="G977" s="14"/>
      <c r="H977" s="14"/>
      <c r="I977" s="14"/>
      <c r="J977" s="7"/>
      <c r="K977" s="14"/>
      <c r="L977" s="7"/>
      <c r="M977" s="14"/>
      <c r="N977" s="14"/>
      <c r="O977" s="7"/>
      <c r="P977" s="13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25" customHeight="1" x14ac:dyDescent="0.25">
      <c r="A978" s="14"/>
      <c r="B978" s="14"/>
      <c r="C978" s="14"/>
      <c r="D978" s="14"/>
      <c r="E978" s="25"/>
      <c r="F978" s="25"/>
      <c r="G978" s="14"/>
      <c r="H978" s="14"/>
      <c r="I978" s="14"/>
      <c r="J978" s="7"/>
      <c r="K978" s="14"/>
      <c r="L978" s="7"/>
      <c r="M978" s="14"/>
      <c r="N978" s="14"/>
      <c r="O978" s="7"/>
      <c r="P978" s="13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25" customHeight="1" x14ac:dyDescent="0.25">
      <c r="A979" s="14"/>
      <c r="B979" s="14"/>
      <c r="C979" s="14"/>
      <c r="D979" s="14"/>
      <c r="E979" s="25"/>
      <c r="F979" s="25"/>
      <c r="G979" s="14"/>
      <c r="H979" s="14"/>
      <c r="I979" s="14"/>
      <c r="J979" s="7"/>
      <c r="K979" s="14"/>
      <c r="L979" s="7"/>
      <c r="M979" s="14"/>
      <c r="N979" s="14"/>
      <c r="O979" s="7"/>
      <c r="P979" s="13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25" customHeight="1" x14ac:dyDescent="0.25">
      <c r="A980" s="14"/>
      <c r="B980" s="14"/>
      <c r="C980" s="14"/>
      <c r="D980" s="14"/>
      <c r="E980" s="25"/>
      <c r="F980" s="25"/>
      <c r="G980" s="14"/>
      <c r="H980" s="14"/>
      <c r="I980" s="14"/>
      <c r="J980" s="7"/>
      <c r="K980" s="14"/>
      <c r="L980" s="7"/>
      <c r="M980" s="14"/>
      <c r="N980" s="14"/>
      <c r="O980" s="7"/>
      <c r="P980" s="13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25" customHeight="1" x14ac:dyDescent="0.25">
      <c r="A981" s="14"/>
      <c r="B981" s="14"/>
      <c r="C981" s="14"/>
      <c r="D981" s="14"/>
      <c r="E981" s="25"/>
      <c r="F981" s="25"/>
      <c r="G981" s="14"/>
      <c r="H981" s="14"/>
      <c r="I981" s="14"/>
      <c r="J981" s="7"/>
      <c r="K981" s="14"/>
      <c r="L981" s="7"/>
      <c r="M981" s="14"/>
      <c r="N981" s="14"/>
      <c r="O981" s="7"/>
      <c r="P981" s="13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25" customHeight="1" x14ac:dyDescent="0.25">
      <c r="A982" s="14"/>
      <c r="B982" s="14"/>
      <c r="C982" s="14"/>
      <c r="D982" s="14"/>
      <c r="E982" s="25"/>
      <c r="F982" s="25"/>
      <c r="G982" s="14"/>
      <c r="H982" s="14"/>
      <c r="I982" s="14"/>
      <c r="J982" s="7"/>
      <c r="K982" s="14"/>
      <c r="L982" s="7"/>
      <c r="M982" s="14"/>
      <c r="N982" s="14"/>
      <c r="O982" s="7"/>
      <c r="P982" s="13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25" customHeight="1" x14ac:dyDescent="0.25">
      <c r="A983" s="14"/>
      <c r="B983" s="14"/>
      <c r="C983" s="14"/>
      <c r="D983" s="14"/>
      <c r="E983" s="25"/>
      <c r="F983" s="25"/>
      <c r="G983" s="14"/>
      <c r="H983" s="14"/>
      <c r="I983" s="14"/>
      <c r="J983" s="7"/>
      <c r="K983" s="14"/>
      <c r="L983" s="7"/>
      <c r="M983" s="14"/>
      <c r="N983" s="14"/>
      <c r="O983" s="7"/>
      <c r="P983" s="13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25" customHeight="1" x14ac:dyDescent="0.25">
      <c r="A984" s="14"/>
      <c r="B984" s="14"/>
      <c r="C984" s="14"/>
      <c r="D984" s="14"/>
      <c r="E984" s="25"/>
      <c r="F984" s="25"/>
      <c r="G984" s="14"/>
      <c r="H984" s="14"/>
      <c r="I984" s="14"/>
      <c r="J984" s="7"/>
      <c r="K984" s="14"/>
      <c r="L984" s="7"/>
      <c r="M984" s="14"/>
      <c r="N984" s="14"/>
      <c r="O984" s="7"/>
      <c r="P984" s="13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25" customHeight="1" x14ac:dyDescent="0.25">
      <c r="A985" s="14"/>
      <c r="B985" s="14"/>
      <c r="C985" s="14"/>
      <c r="D985" s="14"/>
      <c r="E985" s="25"/>
      <c r="F985" s="25"/>
      <c r="G985" s="14"/>
      <c r="H985" s="14"/>
      <c r="I985" s="14"/>
      <c r="J985" s="7"/>
      <c r="K985" s="14"/>
      <c r="L985" s="7"/>
      <c r="M985" s="14"/>
      <c r="N985" s="14"/>
      <c r="O985" s="7"/>
      <c r="P985" s="13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x14ac:dyDescent="0.25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spans="1:26" x14ac:dyDescent="0.25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spans="1:26" x14ac:dyDescent="0.25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</sheetData>
  <autoFilter ref="D1:X65" xr:uid="{00000000-0009-0000-0000-000003000000}"/>
  <conditionalFormatting sqref="M2:M985">
    <cfRule type="containsText" dxfId="603" priority="1" operator="containsText" text="AL DIA">
      <formula>NOT(ISERROR(SEARCH(("AL DIA"),(M2))))</formula>
    </cfRule>
  </conditionalFormatting>
  <conditionalFormatting sqref="M2:M985">
    <cfRule type="containsText" dxfId="602" priority="2" operator="containsText" text="PENDIENTE">
      <formula>NOT(ISERROR(SEARCH(("PENDIENTE"),(M2))))</formula>
    </cfRule>
  </conditionalFormatting>
  <conditionalFormatting sqref="R2:R62 R65:R985">
    <cfRule type="containsText" dxfId="601" priority="3" operator="containsText" text="RETIRADO">
      <formula>NOT(ISERROR(SEARCH(("RETIRADO"),(R2))))</formula>
    </cfRule>
  </conditionalFormatting>
  <conditionalFormatting sqref="R2:R62 R65:R985">
    <cfRule type="containsText" dxfId="600" priority="4" operator="containsText" text="ACTIVO">
      <formula>NOT(ISERROR(SEARCH(("ACTIVO"),(R2))))</formula>
    </cfRule>
  </conditionalFormatting>
  <conditionalFormatting sqref="R63:R64">
    <cfRule type="containsText" dxfId="599" priority="5" operator="containsText" text="RETIRADO">
      <formula>NOT(ISERROR(SEARCH(("RETIRADO"),(R63))))</formula>
    </cfRule>
  </conditionalFormatting>
  <conditionalFormatting sqref="R63:R64">
    <cfRule type="containsText" dxfId="598" priority="6" operator="containsText" text="ACTIVO">
      <formula>NOT(ISERROR(SEARCH(("ACTIVO"),(R63))))</formula>
    </cfRule>
  </conditionalFormatting>
  <dataValidations count="4">
    <dataValidation type="list" allowBlank="1" showErrorMessage="1" sqref="M68:M432" xr:uid="{00000000-0002-0000-0300-000001000000}">
      <formula1>$W$1:$W$2</formula1>
    </dataValidation>
    <dataValidation type="list" allowBlank="1" showErrorMessage="1" sqref="R2:R40" xr:uid="{00000000-0002-0000-0300-000002000000}">
      <formula1>$V$1:$V$2</formula1>
    </dataValidation>
    <dataValidation type="list" allowBlank="1" showErrorMessage="1" sqref="R41:R437" xr:uid="{00000000-0002-0000-0300-000003000000}">
      <formula1>$X$1:$X$2</formula1>
    </dataValidation>
    <dataValidation type="list" allowBlank="1" showErrorMessage="1" sqref="M2:M67" xr:uid="{00000000-0002-0000-0300-000000000000}">
      <formula1>$W$2:$W$3</formula1>
    </dataValidation>
  </dataValidations>
  <hyperlinks>
    <hyperlink ref="V2" r:id="rId1" xr:uid="{00000000-0004-0000-0300-000000000000}"/>
    <hyperlink ref="V3" r:id="rId2" xr:uid="{00000000-0004-0000-0300-000001000000}"/>
    <hyperlink ref="V4" r:id="rId3" xr:uid="{00000000-0004-0000-0300-000002000000}"/>
    <hyperlink ref="V5" r:id="rId4" xr:uid="{00000000-0004-0000-0300-000003000000}"/>
    <hyperlink ref="V6" r:id="rId5" xr:uid="{00000000-0004-0000-0300-000004000000}"/>
    <hyperlink ref="V7" r:id="rId6" xr:uid="{00000000-0004-0000-0300-000005000000}"/>
    <hyperlink ref="V9" r:id="rId7" xr:uid="{00000000-0004-0000-0300-000006000000}"/>
    <hyperlink ref="V10" r:id="rId8" xr:uid="{00000000-0004-0000-0300-000007000000}"/>
    <hyperlink ref="V11" r:id="rId9" xr:uid="{00000000-0004-0000-0300-000008000000}"/>
    <hyperlink ref="V12" r:id="rId10" xr:uid="{00000000-0004-0000-0300-000009000000}"/>
    <hyperlink ref="V13" r:id="rId11" xr:uid="{00000000-0004-0000-0300-00000A000000}"/>
    <hyperlink ref="V14" r:id="rId12" xr:uid="{00000000-0004-0000-0300-00000B000000}"/>
    <hyperlink ref="V15" r:id="rId13" xr:uid="{00000000-0004-0000-0300-00000C000000}"/>
    <hyperlink ref="V19" r:id="rId14" xr:uid="{00000000-0004-0000-0300-00000D000000}"/>
    <hyperlink ref="V23" r:id="rId15" xr:uid="{00000000-0004-0000-0300-00000E000000}"/>
    <hyperlink ref="V26" r:id="rId16" xr:uid="{00000000-0004-0000-0300-00000F000000}"/>
    <hyperlink ref="V27" r:id="rId17" xr:uid="{00000000-0004-0000-0300-000010000000}"/>
    <hyperlink ref="V28" r:id="rId18" xr:uid="{00000000-0004-0000-0300-000011000000}"/>
    <hyperlink ref="V29" r:id="rId19" xr:uid="{00000000-0004-0000-0300-000012000000}"/>
    <hyperlink ref="V30" r:id="rId20" xr:uid="{00000000-0004-0000-0300-000013000000}"/>
    <hyperlink ref="V31" r:id="rId21" xr:uid="{00000000-0004-0000-0300-000014000000}"/>
    <hyperlink ref="V32" r:id="rId22" xr:uid="{00000000-0004-0000-0300-000015000000}"/>
    <hyperlink ref="V33" r:id="rId23" xr:uid="{00000000-0004-0000-0300-000016000000}"/>
    <hyperlink ref="V34" r:id="rId24" xr:uid="{00000000-0004-0000-0300-000017000000}"/>
    <hyperlink ref="V35" r:id="rId25" xr:uid="{00000000-0004-0000-0300-000018000000}"/>
    <hyperlink ref="V36" r:id="rId26" xr:uid="{00000000-0004-0000-0300-000019000000}"/>
    <hyperlink ref="V37" r:id="rId27" xr:uid="{00000000-0004-0000-0300-00001A000000}"/>
    <hyperlink ref="V38" r:id="rId28" xr:uid="{00000000-0004-0000-0300-00001B000000}"/>
    <hyperlink ref="V39" r:id="rId29" xr:uid="{00000000-0004-0000-0300-00001C000000}"/>
    <hyperlink ref="V40" r:id="rId30" xr:uid="{00000000-0004-0000-0300-00001D000000}"/>
    <hyperlink ref="V41" r:id="rId31" xr:uid="{00000000-0004-0000-0300-00001E000000}"/>
    <hyperlink ref="V42" r:id="rId32" xr:uid="{00000000-0004-0000-0300-00001F000000}"/>
    <hyperlink ref="V43" r:id="rId33" xr:uid="{00000000-0004-0000-0300-000020000000}"/>
    <hyperlink ref="V45" r:id="rId34" xr:uid="{00000000-0004-0000-0300-000021000000}"/>
    <hyperlink ref="V46" r:id="rId35" xr:uid="{00000000-0004-0000-0300-000022000000}"/>
    <hyperlink ref="V47" r:id="rId36" xr:uid="{00000000-0004-0000-0300-000023000000}"/>
    <hyperlink ref="V48" r:id="rId37" xr:uid="{00000000-0004-0000-0300-000024000000}"/>
    <hyperlink ref="V49" r:id="rId38" xr:uid="{00000000-0004-0000-0300-000025000000}"/>
    <hyperlink ref="V50" r:id="rId39" xr:uid="{00000000-0004-0000-0300-000026000000}"/>
    <hyperlink ref="V51" r:id="rId40" xr:uid="{00000000-0004-0000-0300-000027000000}"/>
    <hyperlink ref="V52" r:id="rId41" xr:uid="{00000000-0004-0000-0300-000028000000}"/>
    <hyperlink ref="V53" r:id="rId42" xr:uid="{00000000-0004-0000-0300-000029000000}"/>
    <hyperlink ref="V59" r:id="rId43" xr:uid="{00000000-0004-0000-0300-00002A000000}"/>
    <hyperlink ref="V60" r:id="rId44" xr:uid="{00000000-0004-0000-0300-00002B000000}"/>
    <hyperlink ref="V61" r:id="rId45" xr:uid="{00000000-0004-0000-0300-00002C000000}"/>
    <hyperlink ref="V64" r:id="rId46" xr:uid="{00000000-0004-0000-0300-000032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986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2" max="2" width="26" customWidth="1"/>
    <col min="3" max="3" width="50" customWidth="1"/>
    <col min="4" max="4" width="11" bestFit="1" customWidth="1"/>
    <col min="5" max="5" width="22.85546875" bestFit="1" customWidth="1"/>
    <col min="6" max="6" width="15.7109375" bestFit="1" customWidth="1"/>
    <col min="7" max="7" width="18.42578125" bestFit="1" customWidth="1"/>
    <col min="8" max="8" width="23.28515625" customWidth="1"/>
    <col min="9" max="9" width="15.85546875" bestFit="1" customWidth="1"/>
    <col min="10" max="10" width="10.140625" bestFit="1" customWidth="1"/>
    <col min="11" max="11" width="18.42578125" customWidth="1"/>
    <col min="12" max="12" width="22.5703125" customWidth="1"/>
    <col min="13" max="13" width="21.42578125" customWidth="1"/>
    <col min="14" max="14" width="21.5703125" customWidth="1"/>
    <col min="15" max="15" width="22.140625" customWidth="1"/>
    <col min="16" max="16" width="26.28515625" customWidth="1"/>
    <col min="17" max="17" width="22.5703125" customWidth="1"/>
    <col min="18" max="18" width="23.7109375" customWidth="1"/>
    <col min="19" max="19" width="59.5703125" customWidth="1"/>
    <col min="20" max="20" width="28" customWidth="1"/>
    <col min="21" max="21" width="46.140625" customWidth="1"/>
    <col min="22" max="22" width="16.42578125" customWidth="1"/>
    <col min="23" max="23" width="12.140625" customWidth="1"/>
    <col min="24" max="25" width="11.42578125" customWidth="1"/>
  </cols>
  <sheetData>
    <row r="1" spans="2:25" ht="14.25" customHeight="1" x14ac:dyDescent="0.25">
      <c r="B1" s="2"/>
      <c r="C1" s="3" t="s">
        <v>0</v>
      </c>
      <c r="D1" s="9" t="s">
        <v>2721</v>
      </c>
      <c r="E1" s="3" t="s">
        <v>2</v>
      </c>
      <c r="F1" s="3" t="s">
        <v>2722</v>
      </c>
      <c r="G1" s="3" t="s">
        <v>5</v>
      </c>
      <c r="H1" s="3" t="s">
        <v>6</v>
      </c>
      <c r="I1" s="6" t="s">
        <v>7</v>
      </c>
      <c r="J1" s="140" t="s">
        <v>2724</v>
      </c>
      <c r="K1" s="6" t="s">
        <v>8</v>
      </c>
      <c r="L1" s="3" t="s">
        <v>9</v>
      </c>
      <c r="M1" s="343" t="s">
        <v>10</v>
      </c>
      <c r="N1" s="6" t="s">
        <v>11</v>
      </c>
      <c r="O1" s="10" t="s">
        <v>12</v>
      </c>
      <c r="P1" s="11" t="s">
        <v>13</v>
      </c>
      <c r="Q1" s="11" t="s">
        <v>14</v>
      </c>
      <c r="R1" s="11" t="s">
        <v>15</v>
      </c>
      <c r="S1" s="11" t="s">
        <v>2726</v>
      </c>
      <c r="T1" s="11" t="s">
        <v>2727</v>
      </c>
      <c r="U1" s="11" t="s">
        <v>18</v>
      </c>
      <c r="V1" s="12" t="s">
        <v>19</v>
      </c>
      <c r="W1" s="1" t="s">
        <v>20</v>
      </c>
      <c r="X1" s="2"/>
      <c r="Y1" s="2"/>
    </row>
    <row r="2" spans="2:25" ht="15.75" customHeight="1" x14ac:dyDescent="0.25">
      <c r="B2" s="15"/>
      <c r="C2" s="36" t="s">
        <v>3647</v>
      </c>
      <c r="D2" s="36">
        <v>801004740</v>
      </c>
      <c r="E2" s="36" t="s">
        <v>567</v>
      </c>
      <c r="F2" s="36" t="s">
        <v>3648</v>
      </c>
      <c r="G2" s="36">
        <v>201</v>
      </c>
      <c r="H2" s="36" t="s">
        <v>3649</v>
      </c>
      <c r="I2" s="61" t="s">
        <v>567</v>
      </c>
      <c r="J2" s="61"/>
      <c r="K2" s="61"/>
      <c r="L2" s="57" t="s">
        <v>234</v>
      </c>
      <c r="M2" s="82"/>
      <c r="N2" s="61"/>
      <c r="O2" s="66"/>
      <c r="P2" s="15" t="s">
        <v>3354</v>
      </c>
      <c r="Q2" s="15" t="s">
        <v>20</v>
      </c>
      <c r="R2" s="15"/>
      <c r="S2" s="36" t="s">
        <v>3650</v>
      </c>
      <c r="T2" s="36"/>
      <c r="U2" s="63" t="s">
        <v>567</v>
      </c>
      <c r="V2" s="103" t="s">
        <v>26</v>
      </c>
      <c r="W2" s="15" t="s">
        <v>2563</v>
      </c>
      <c r="X2" s="15"/>
      <c r="Y2" s="15"/>
    </row>
    <row r="3" spans="2:25" ht="15" customHeight="1" x14ac:dyDescent="0.25">
      <c r="B3" s="15"/>
      <c r="C3" s="36" t="s">
        <v>3651</v>
      </c>
      <c r="D3" s="36">
        <v>94462648</v>
      </c>
      <c r="E3" s="36">
        <v>3136584272</v>
      </c>
      <c r="F3" s="36" t="s">
        <v>3652</v>
      </c>
      <c r="G3" s="36">
        <v>208</v>
      </c>
      <c r="H3" s="36" t="s">
        <v>25</v>
      </c>
      <c r="I3" s="61">
        <v>42000</v>
      </c>
      <c r="J3" s="61"/>
      <c r="K3" s="61">
        <f t="shared" ref="K3:K5" si="0">I3</f>
        <v>42000</v>
      </c>
      <c r="L3" s="57" t="s">
        <v>234</v>
      </c>
      <c r="M3" s="82"/>
      <c r="N3" s="65"/>
      <c r="O3" s="66"/>
      <c r="P3" s="15" t="s">
        <v>3354</v>
      </c>
      <c r="Q3" s="15" t="s">
        <v>20</v>
      </c>
      <c r="R3" s="15"/>
      <c r="S3" s="36"/>
      <c r="T3" s="36" t="s">
        <v>3654</v>
      </c>
      <c r="U3" s="53" t="s">
        <v>3655</v>
      </c>
      <c r="V3" s="15"/>
      <c r="W3" s="15"/>
      <c r="X3" s="15"/>
      <c r="Y3" s="15"/>
    </row>
    <row r="4" spans="2:25" ht="15" customHeight="1" x14ac:dyDescent="0.25">
      <c r="B4" s="15"/>
      <c r="C4" s="36" t="s">
        <v>3659</v>
      </c>
      <c r="D4" s="36">
        <v>25023149</v>
      </c>
      <c r="E4" s="36">
        <v>3145247574</v>
      </c>
      <c r="F4" s="36" t="s">
        <v>3660</v>
      </c>
      <c r="G4" s="36">
        <v>213</v>
      </c>
      <c r="H4" s="64" t="s">
        <v>25</v>
      </c>
      <c r="I4" s="61">
        <v>42000</v>
      </c>
      <c r="J4" s="61"/>
      <c r="K4" s="61">
        <f t="shared" si="0"/>
        <v>42000</v>
      </c>
      <c r="L4" s="57" t="s">
        <v>234</v>
      </c>
      <c r="M4" s="344"/>
      <c r="N4" s="65"/>
      <c r="O4" s="66"/>
      <c r="P4" s="15" t="s">
        <v>3354</v>
      </c>
      <c r="Q4" s="15" t="s">
        <v>20</v>
      </c>
      <c r="R4" s="15"/>
      <c r="S4" s="36"/>
      <c r="T4" s="36" t="s">
        <v>3661</v>
      </c>
      <c r="U4" s="53" t="s">
        <v>3662</v>
      </c>
      <c r="V4" s="15"/>
      <c r="W4" s="15"/>
      <c r="X4" s="15"/>
      <c r="Y4" s="15"/>
    </row>
    <row r="5" spans="2:25" ht="15" customHeight="1" x14ac:dyDescent="0.25">
      <c r="B5" s="15"/>
      <c r="C5" s="36" t="s">
        <v>3663</v>
      </c>
      <c r="D5" s="36">
        <v>7516691</v>
      </c>
      <c r="E5" s="36">
        <v>3137336131</v>
      </c>
      <c r="F5" s="69" t="s">
        <v>3664</v>
      </c>
      <c r="G5" s="36">
        <v>203</v>
      </c>
      <c r="H5" s="36" t="s">
        <v>105</v>
      </c>
      <c r="I5" s="61">
        <v>102000</v>
      </c>
      <c r="J5" s="61"/>
      <c r="K5" s="61">
        <f t="shared" si="0"/>
        <v>102000</v>
      </c>
      <c r="L5" s="57" t="s">
        <v>234</v>
      </c>
      <c r="M5" s="82"/>
      <c r="N5" s="65"/>
      <c r="O5" s="66"/>
      <c r="P5" s="15" t="s">
        <v>3354</v>
      </c>
      <c r="Q5" s="15" t="s">
        <v>20</v>
      </c>
      <c r="R5" s="15"/>
      <c r="S5" s="36" t="s">
        <v>3665</v>
      </c>
      <c r="T5" s="36"/>
      <c r="U5" s="53" t="s">
        <v>3666</v>
      </c>
      <c r="V5" s="15"/>
      <c r="W5" s="15"/>
      <c r="X5" s="15"/>
      <c r="Y5" s="15"/>
    </row>
    <row r="6" spans="2:25" ht="15" customHeight="1" x14ac:dyDescent="0.25">
      <c r="B6" s="15"/>
      <c r="C6" s="36" t="s">
        <v>3667</v>
      </c>
      <c r="D6" s="36">
        <v>1115185240</v>
      </c>
      <c r="E6" s="36" t="s">
        <v>3668</v>
      </c>
      <c r="F6" s="69" t="s">
        <v>3669</v>
      </c>
      <c r="G6" s="36" t="s">
        <v>3670</v>
      </c>
      <c r="H6" s="64" t="s">
        <v>25</v>
      </c>
      <c r="I6" s="61">
        <v>42000</v>
      </c>
      <c r="J6" s="61"/>
      <c r="K6" s="61">
        <v>42000</v>
      </c>
      <c r="L6" s="57" t="s">
        <v>234</v>
      </c>
      <c r="M6" s="345"/>
      <c r="N6" s="65"/>
      <c r="O6" s="66"/>
      <c r="P6" s="15" t="s">
        <v>3354</v>
      </c>
      <c r="Q6" s="15" t="s">
        <v>20</v>
      </c>
      <c r="R6" s="15"/>
      <c r="S6" s="36" t="s">
        <v>3671</v>
      </c>
      <c r="T6" s="36" t="s">
        <v>3672</v>
      </c>
      <c r="U6" s="47" t="s">
        <v>3673</v>
      </c>
      <c r="V6" s="14"/>
      <c r="W6" s="15"/>
      <c r="X6" s="15"/>
      <c r="Y6" s="15"/>
    </row>
    <row r="7" spans="2:25" ht="15" customHeight="1" x14ac:dyDescent="0.25">
      <c r="B7" s="15"/>
      <c r="C7" s="36" t="s">
        <v>3674</v>
      </c>
      <c r="D7" s="36">
        <v>29332078</v>
      </c>
      <c r="E7" s="36">
        <v>3104278755</v>
      </c>
      <c r="F7" s="69" t="s">
        <v>3675</v>
      </c>
      <c r="G7" s="36"/>
      <c r="H7" s="64" t="s">
        <v>25</v>
      </c>
      <c r="I7" s="61">
        <v>42000</v>
      </c>
      <c r="J7" s="61"/>
      <c r="K7" s="61">
        <v>42000</v>
      </c>
      <c r="L7" s="57" t="s">
        <v>234</v>
      </c>
      <c r="M7" s="346"/>
      <c r="N7" s="65"/>
      <c r="O7" s="66"/>
      <c r="P7" s="15" t="s">
        <v>3354</v>
      </c>
      <c r="Q7" s="15" t="s">
        <v>20</v>
      </c>
      <c r="R7" s="15"/>
      <c r="S7" s="36" t="s">
        <v>3676</v>
      </c>
      <c r="T7" s="36" t="s">
        <v>3677</v>
      </c>
      <c r="U7" s="47" t="s">
        <v>3678</v>
      </c>
      <c r="V7" s="14"/>
      <c r="W7" s="15"/>
      <c r="X7" s="15"/>
      <c r="Y7" s="15"/>
    </row>
    <row r="8" spans="2:25" ht="15" customHeight="1" x14ac:dyDescent="0.25">
      <c r="B8" s="15" t="s">
        <v>4150</v>
      </c>
      <c r="C8" s="36" t="s">
        <v>3683</v>
      </c>
      <c r="D8" s="36">
        <v>6209462</v>
      </c>
      <c r="E8" s="36" t="s">
        <v>3684</v>
      </c>
      <c r="F8" s="69" t="s">
        <v>3685</v>
      </c>
      <c r="G8" s="36"/>
      <c r="H8" s="64" t="s">
        <v>25</v>
      </c>
      <c r="I8" s="61">
        <v>42000</v>
      </c>
      <c r="J8" s="61"/>
      <c r="K8" s="61">
        <v>42000</v>
      </c>
      <c r="L8" s="57" t="s">
        <v>26</v>
      </c>
      <c r="M8" s="345" t="s">
        <v>5647</v>
      </c>
      <c r="N8" s="65">
        <v>42000</v>
      </c>
      <c r="O8" s="66"/>
      <c r="P8" s="15" t="s">
        <v>3354</v>
      </c>
      <c r="Q8" s="15" t="s">
        <v>20</v>
      </c>
      <c r="R8" s="15"/>
      <c r="S8" s="36" t="s">
        <v>3686</v>
      </c>
      <c r="T8" s="15"/>
      <c r="U8" s="47" t="s">
        <v>3687</v>
      </c>
      <c r="V8" s="14"/>
      <c r="W8" s="15"/>
      <c r="X8" s="15"/>
      <c r="Y8" s="15"/>
    </row>
    <row r="9" spans="2:25" ht="15" customHeight="1" x14ac:dyDescent="0.25">
      <c r="B9" s="14"/>
      <c r="C9" s="36" t="s">
        <v>3688</v>
      </c>
      <c r="D9" s="36">
        <v>1192815909</v>
      </c>
      <c r="E9" s="36" t="s">
        <v>3689</v>
      </c>
      <c r="F9" s="69" t="s">
        <v>3690</v>
      </c>
      <c r="G9" s="36"/>
      <c r="H9" s="36" t="s">
        <v>25</v>
      </c>
      <c r="I9" s="61">
        <v>102000</v>
      </c>
      <c r="J9" s="61"/>
      <c r="K9" s="61">
        <v>102000</v>
      </c>
      <c r="L9" s="57" t="s">
        <v>234</v>
      </c>
      <c r="M9" s="345"/>
      <c r="N9" s="65"/>
      <c r="O9" s="66"/>
      <c r="P9" s="15" t="s">
        <v>3354</v>
      </c>
      <c r="Q9" s="15" t="s">
        <v>20</v>
      </c>
      <c r="R9" s="15"/>
      <c r="S9" s="36" t="s">
        <v>3691</v>
      </c>
      <c r="T9" s="36" t="s">
        <v>3692</v>
      </c>
      <c r="U9" s="141" t="s">
        <v>3693</v>
      </c>
      <c r="V9" s="14"/>
      <c r="W9" s="14"/>
      <c r="X9" s="15"/>
      <c r="Y9" s="15"/>
    </row>
    <row r="10" spans="2:25" ht="15" customHeight="1" x14ac:dyDescent="0.25">
      <c r="B10" s="15"/>
      <c r="C10" s="36" t="s">
        <v>3694</v>
      </c>
      <c r="D10" s="36">
        <v>29329844</v>
      </c>
      <c r="E10" s="36" t="s">
        <v>3695</v>
      </c>
      <c r="F10" s="36" t="s">
        <v>3696</v>
      </c>
      <c r="G10" s="36"/>
      <c r="H10" s="64" t="s">
        <v>25</v>
      </c>
      <c r="I10" s="61">
        <v>42000</v>
      </c>
      <c r="J10" s="61"/>
      <c r="K10" s="61">
        <f t="shared" ref="K10:K13" si="1">I10+J10</f>
        <v>42000</v>
      </c>
      <c r="L10" s="57" t="s">
        <v>234</v>
      </c>
      <c r="M10" s="82"/>
      <c r="N10" s="65"/>
      <c r="O10" s="66"/>
      <c r="P10" s="15" t="s">
        <v>3354</v>
      </c>
      <c r="Q10" s="15" t="s">
        <v>20</v>
      </c>
      <c r="R10" s="15"/>
      <c r="S10" s="36"/>
      <c r="T10" s="36" t="s">
        <v>3697</v>
      </c>
      <c r="U10" s="53" t="s">
        <v>3698</v>
      </c>
      <c r="V10" s="15"/>
      <c r="W10" s="15"/>
      <c r="X10" s="15"/>
      <c r="Y10" s="15"/>
    </row>
    <row r="11" spans="2:25" ht="15" customHeight="1" x14ac:dyDescent="0.25">
      <c r="B11" s="15"/>
      <c r="C11" s="36" t="s">
        <v>3699</v>
      </c>
      <c r="D11" s="36">
        <v>1115189185</v>
      </c>
      <c r="E11" s="36">
        <v>3505235441</v>
      </c>
      <c r="F11" s="36" t="s">
        <v>3700</v>
      </c>
      <c r="G11" s="36"/>
      <c r="H11" s="64" t="s">
        <v>25</v>
      </c>
      <c r="I11" s="61">
        <v>42000</v>
      </c>
      <c r="J11" s="61"/>
      <c r="K11" s="61">
        <f t="shared" si="1"/>
        <v>42000</v>
      </c>
      <c r="L11" s="57" t="s">
        <v>234</v>
      </c>
      <c r="M11" s="82"/>
      <c r="N11" s="65"/>
      <c r="O11" s="66"/>
      <c r="P11" s="15" t="s">
        <v>3354</v>
      </c>
      <c r="Q11" s="15" t="s">
        <v>20</v>
      </c>
      <c r="R11" s="15"/>
      <c r="S11" s="36"/>
      <c r="T11" s="36" t="s">
        <v>3701</v>
      </c>
      <c r="U11" s="53" t="s">
        <v>3702</v>
      </c>
      <c r="V11" s="15"/>
      <c r="W11" s="15"/>
      <c r="X11" s="15"/>
      <c r="Y11" s="15"/>
    </row>
    <row r="12" spans="2:25" ht="15" customHeight="1" x14ac:dyDescent="0.25">
      <c r="B12" s="15"/>
      <c r="C12" s="36" t="s">
        <v>3703</v>
      </c>
      <c r="D12" s="36">
        <v>1006372785</v>
      </c>
      <c r="E12" s="36">
        <v>3127246335</v>
      </c>
      <c r="F12" s="69" t="s">
        <v>3704</v>
      </c>
      <c r="G12" s="36" t="s">
        <v>3705</v>
      </c>
      <c r="H12" s="64" t="s">
        <v>25</v>
      </c>
      <c r="I12" s="61">
        <v>42000</v>
      </c>
      <c r="J12" s="61"/>
      <c r="K12" s="61">
        <f t="shared" si="1"/>
        <v>42000</v>
      </c>
      <c r="L12" s="57" t="s">
        <v>234</v>
      </c>
      <c r="M12" s="82"/>
      <c r="N12" s="65"/>
      <c r="O12" s="66"/>
      <c r="P12" s="15" t="s">
        <v>3354</v>
      </c>
      <c r="Q12" s="15" t="s">
        <v>20</v>
      </c>
      <c r="R12" s="15"/>
      <c r="S12" s="36"/>
      <c r="T12" s="36" t="s">
        <v>3706</v>
      </c>
      <c r="U12" s="63"/>
      <c r="V12" s="14"/>
      <c r="W12" s="15"/>
      <c r="X12" s="15"/>
      <c r="Y12" s="15"/>
    </row>
    <row r="13" spans="2:25" ht="15" customHeight="1" x14ac:dyDescent="0.25">
      <c r="B13" s="15"/>
      <c r="C13" s="36" t="s">
        <v>3707</v>
      </c>
      <c r="D13" s="36">
        <v>75145955</v>
      </c>
      <c r="E13" s="36">
        <v>3016604955</v>
      </c>
      <c r="F13" s="36" t="s">
        <v>3708</v>
      </c>
      <c r="G13" s="36"/>
      <c r="H13" s="64" t="s">
        <v>188</v>
      </c>
      <c r="I13" s="61">
        <v>57000</v>
      </c>
      <c r="J13" s="61"/>
      <c r="K13" s="61">
        <f t="shared" si="1"/>
        <v>57000</v>
      </c>
      <c r="L13" s="57" t="s">
        <v>234</v>
      </c>
      <c r="M13" s="82"/>
      <c r="N13" s="65"/>
      <c r="O13" s="66"/>
      <c r="P13" s="15" t="s">
        <v>3354</v>
      </c>
      <c r="Q13" s="15" t="s">
        <v>20</v>
      </c>
      <c r="R13" s="15"/>
      <c r="S13" s="36"/>
      <c r="T13" s="36" t="s">
        <v>3709</v>
      </c>
      <c r="U13" s="53" t="s">
        <v>3710</v>
      </c>
      <c r="V13" s="15"/>
      <c r="W13" s="15"/>
      <c r="X13" s="15"/>
      <c r="Y13" s="15"/>
    </row>
    <row r="14" spans="2:25" ht="15" customHeight="1" x14ac:dyDescent="0.25">
      <c r="B14" s="15"/>
      <c r="C14" s="36" t="s">
        <v>3714</v>
      </c>
      <c r="D14" s="36">
        <v>93369124</v>
      </c>
      <c r="E14" s="36" t="s">
        <v>3715</v>
      </c>
      <c r="F14" s="36" t="s">
        <v>3716</v>
      </c>
      <c r="G14" s="36"/>
      <c r="H14" s="36" t="s">
        <v>5480</v>
      </c>
      <c r="I14" s="61">
        <v>82000</v>
      </c>
      <c r="J14" s="61">
        <v>15580</v>
      </c>
      <c r="K14" s="61">
        <f t="shared" ref="K14:K20" si="2">I14+J14</f>
        <v>97580</v>
      </c>
      <c r="L14" s="57" t="s">
        <v>234</v>
      </c>
      <c r="M14" s="82"/>
      <c r="N14" s="65"/>
      <c r="O14" s="66"/>
      <c r="P14" s="15" t="s">
        <v>3354</v>
      </c>
      <c r="Q14" s="15" t="s">
        <v>20</v>
      </c>
      <c r="R14" s="15"/>
      <c r="S14" s="36" t="s">
        <v>3718</v>
      </c>
      <c r="T14" s="36"/>
      <c r="U14" s="63"/>
      <c r="V14" s="15"/>
      <c r="W14" s="15"/>
      <c r="X14" s="15"/>
      <c r="Y14" s="15"/>
    </row>
    <row r="15" spans="2:25" ht="15" customHeight="1" x14ac:dyDescent="0.25">
      <c r="B15" s="15"/>
      <c r="C15" s="36" t="s">
        <v>3723</v>
      </c>
      <c r="D15" s="36">
        <v>29332925</v>
      </c>
      <c r="E15" s="36">
        <v>3218814531</v>
      </c>
      <c r="F15" s="69" t="s">
        <v>3724</v>
      </c>
      <c r="G15" s="36" t="s">
        <v>3725</v>
      </c>
      <c r="H15" s="64" t="s">
        <v>25</v>
      </c>
      <c r="I15" s="61">
        <v>42000</v>
      </c>
      <c r="J15" s="61"/>
      <c r="K15" s="61">
        <f t="shared" si="2"/>
        <v>42000</v>
      </c>
      <c r="L15" s="57" t="s">
        <v>234</v>
      </c>
      <c r="M15" s="82"/>
      <c r="N15" s="65"/>
      <c r="O15" s="66"/>
      <c r="P15" s="15" t="s">
        <v>3354</v>
      </c>
      <c r="Q15" s="15" t="s">
        <v>20</v>
      </c>
      <c r="R15" s="15"/>
      <c r="S15" s="36"/>
      <c r="T15" s="36" t="s">
        <v>3726</v>
      </c>
      <c r="U15" s="53" t="s">
        <v>3727</v>
      </c>
      <c r="V15" s="15"/>
      <c r="W15" s="15"/>
      <c r="X15" s="15"/>
      <c r="Y15" s="15"/>
    </row>
    <row r="16" spans="2:25" ht="15" customHeight="1" x14ac:dyDescent="0.25">
      <c r="B16" s="15"/>
      <c r="C16" s="36" t="s">
        <v>3728</v>
      </c>
      <c r="D16" s="36">
        <v>14990534</v>
      </c>
      <c r="E16" s="36" t="s">
        <v>3729</v>
      </c>
      <c r="F16" s="36" t="s">
        <v>3730</v>
      </c>
      <c r="G16" s="36" t="s">
        <v>3731</v>
      </c>
      <c r="H16" s="36" t="s">
        <v>105</v>
      </c>
      <c r="I16" s="61">
        <v>102000</v>
      </c>
      <c r="J16" s="61"/>
      <c r="K16" s="61">
        <f t="shared" si="2"/>
        <v>102000</v>
      </c>
      <c r="L16" s="57" t="s">
        <v>234</v>
      </c>
      <c r="M16" s="82"/>
      <c r="N16" s="65"/>
      <c r="O16" s="66"/>
      <c r="P16" s="15" t="s">
        <v>3354</v>
      </c>
      <c r="Q16" s="15" t="s">
        <v>20</v>
      </c>
      <c r="R16" s="15"/>
      <c r="S16" s="36" t="s">
        <v>3732</v>
      </c>
      <c r="T16" s="36"/>
      <c r="U16" s="53" t="s">
        <v>3733</v>
      </c>
      <c r="V16" s="15"/>
      <c r="W16" s="15"/>
      <c r="X16" s="15"/>
      <c r="Y16" s="15"/>
    </row>
    <row r="17" spans="2:25" ht="15" customHeight="1" x14ac:dyDescent="0.25">
      <c r="B17" s="15"/>
      <c r="C17" s="36" t="s">
        <v>3734</v>
      </c>
      <c r="D17" s="36">
        <v>19279483</v>
      </c>
      <c r="E17" s="36">
        <v>3053335835</v>
      </c>
      <c r="F17" s="36" t="s">
        <v>3735</v>
      </c>
      <c r="G17" s="36" t="s">
        <v>3736</v>
      </c>
      <c r="H17" s="64" t="s">
        <v>25</v>
      </c>
      <c r="I17" s="61">
        <v>42000</v>
      </c>
      <c r="J17" s="61"/>
      <c r="K17" s="61">
        <f t="shared" si="2"/>
        <v>42000</v>
      </c>
      <c r="L17" s="57" t="s">
        <v>234</v>
      </c>
      <c r="M17" s="82"/>
      <c r="N17" s="65"/>
      <c r="O17" s="66"/>
      <c r="P17" s="15" t="s">
        <v>3354</v>
      </c>
      <c r="Q17" s="15" t="s">
        <v>20</v>
      </c>
      <c r="R17" s="15"/>
      <c r="S17" s="36" t="s">
        <v>3737</v>
      </c>
      <c r="T17" s="36"/>
      <c r="U17" s="53" t="s">
        <v>3738</v>
      </c>
      <c r="V17" s="15"/>
      <c r="W17" s="15"/>
      <c r="X17" s="15"/>
      <c r="Y17" s="15"/>
    </row>
    <row r="18" spans="2:25" ht="15" customHeight="1" x14ac:dyDescent="0.25">
      <c r="B18" s="15"/>
      <c r="C18" s="36" t="s">
        <v>3739</v>
      </c>
      <c r="D18" s="36">
        <v>9776243</v>
      </c>
      <c r="E18" s="36">
        <v>3166917913</v>
      </c>
      <c r="F18" s="36" t="s">
        <v>3740</v>
      </c>
      <c r="G18" s="36" t="s">
        <v>3741</v>
      </c>
      <c r="H18" s="64" t="s">
        <v>188</v>
      </c>
      <c r="I18" s="61">
        <v>57000</v>
      </c>
      <c r="J18" s="61">
        <v>10830</v>
      </c>
      <c r="K18" s="61">
        <f t="shared" si="2"/>
        <v>67830</v>
      </c>
      <c r="L18" s="57" t="s">
        <v>234</v>
      </c>
      <c r="M18" s="82"/>
      <c r="N18" s="65"/>
      <c r="O18" s="66"/>
      <c r="P18" s="15" t="s">
        <v>3354</v>
      </c>
      <c r="Q18" s="15" t="s">
        <v>20</v>
      </c>
      <c r="R18" s="15"/>
      <c r="S18" s="36" t="s">
        <v>3742</v>
      </c>
      <c r="T18" s="36"/>
      <c r="U18" s="53" t="s">
        <v>3743</v>
      </c>
      <c r="V18" s="15"/>
      <c r="W18" s="15"/>
      <c r="X18" s="15"/>
      <c r="Y18" s="15"/>
    </row>
    <row r="19" spans="2:25" ht="15" customHeight="1" x14ac:dyDescent="0.25">
      <c r="B19" s="15"/>
      <c r="C19" s="36" t="s">
        <v>3744</v>
      </c>
      <c r="D19" s="36">
        <v>19397926</v>
      </c>
      <c r="E19" s="36" t="s">
        <v>3745</v>
      </c>
      <c r="F19" s="69" t="s">
        <v>3746</v>
      </c>
      <c r="G19" s="36"/>
      <c r="H19" s="64" t="s">
        <v>25</v>
      </c>
      <c r="I19" s="61">
        <v>42000</v>
      </c>
      <c r="J19" s="61">
        <v>7980</v>
      </c>
      <c r="K19" s="61">
        <f t="shared" si="2"/>
        <v>49980</v>
      </c>
      <c r="L19" s="57" t="s">
        <v>234</v>
      </c>
      <c r="M19" s="82"/>
      <c r="N19" s="65"/>
      <c r="O19" s="66"/>
      <c r="P19" s="15" t="s">
        <v>3354</v>
      </c>
      <c r="Q19" s="15" t="s">
        <v>20</v>
      </c>
      <c r="R19" s="15"/>
      <c r="S19" s="36" t="s">
        <v>3747</v>
      </c>
      <c r="T19" s="36"/>
      <c r="U19" s="53" t="s">
        <v>3748</v>
      </c>
      <c r="V19" s="15"/>
      <c r="W19" s="15"/>
      <c r="X19" s="15"/>
      <c r="Y19" s="15"/>
    </row>
    <row r="20" spans="2:25" ht="15" customHeight="1" x14ac:dyDescent="0.25">
      <c r="B20" s="15"/>
      <c r="C20" s="36" t="s">
        <v>3749</v>
      </c>
      <c r="D20" s="36">
        <v>24473045</v>
      </c>
      <c r="E20" s="36">
        <v>3006529721</v>
      </c>
      <c r="F20" s="36" t="s">
        <v>3750</v>
      </c>
      <c r="G20" s="36" t="s">
        <v>3751</v>
      </c>
      <c r="H20" s="64" t="s">
        <v>5480</v>
      </c>
      <c r="I20" s="61">
        <v>92000</v>
      </c>
      <c r="J20" s="61">
        <v>17480</v>
      </c>
      <c r="K20" s="61">
        <f t="shared" si="2"/>
        <v>109480</v>
      </c>
      <c r="L20" s="57" t="s">
        <v>234</v>
      </c>
      <c r="M20" s="82"/>
      <c r="N20" s="65"/>
      <c r="O20" s="66"/>
      <c r="P20" s="15" t="s">
        <v>3354</v>
      </c>
      <c r="Q20" s="15" t="s">
        <v>20</v>
      </c>
      <c r="R20" s="15"/>
      <c r="S20" s="36" t="s">
        <v>3752</v>
      </c>
      <c r="T20" s="36"/>
      <c r="U20" s="53" t="s">
        <v>3753</v>
      </c>
      <c r="V20" s="15"/>
      <c r="W20" s="15"/>
      <c r="X20" s="15"/>
      <c r="Y20" s="15"/>
    </row>
    <row r="21" spans="2:25" ht="15" customHeight="1" x14ac:dyDescent="0.25">
      <c r="B21" s="15"/>
      <c r="C21" s="36" t="s">
        <v>3754</v>
      </c>
      <c r="D21" s="36">
        <v>1115190768</v>
      </c>
      <c r="E21" s="36">
        <v>3126616317</v>
      </c>
      <c r="F21" s="69" t="s">
        <v>3755</v>
      </c>
      <c r="G21" s="36" t="s">
        <v>3756</v>
      </c>
      <c r="H21" s="64" t="s">
        <v>25</v>
      </c>
      <c r="I21" s="61">
        <v>42000</v>
      </c>
      <c r="J21" s="61"/>
      <c r="K21" s="61">
        <v>42000</v>
      </c>
      <c r="L21" s="57" t="s">
        <v>234</v>
      </c>
      <c r="M21" s="346"/>
      <c r="N21" s="65"/>
      <c r="O21" s="66"/>
      <c r="P21" s="15" t="s">
        <v>3354</v>
      </c>
      <c r="Q21" s="15" t="s">
        <v>20</v>
      </c>
      <c r="R21" s="15"/>
      <c r="S21" s="36" t="s">
        <v>3757</v>
      </c>
      <c r="T21" s="36" t="s">
        <v>683</v>
      </c>
      <c r="U21" s="47" t="s">
        <v>3758</v>
      </c>
      <c r="V21" s="14"/>
      <c r="W21" s="15"/>
      <c r="X21" s="15"/>
      <c r="Y21" s="15"/>
    </row>
    <row r="22" spans="2:25" ht="15" customHeight="1" x14ac:dyDescent="0.25">
      <c r="B22" s="15"/>
      <c r="C22" s="36" t="s">
        <v>3759</v>
      </c>
      <c r="D22" s="36" t="s">
        <v>567</v>
      </c>
      <c r="E22" s="36" t="s">
        <v>567</v>
      </c>
      <c r="F22" s="36" t="s">
        <v>3760</v>
      </c>
      <c r="G22" s="36"/>
      <c r="H22" s="36" t="s">
        <v>567</v>
      </c>
      <c r="I22" s="61" t="s">
        <v>567</v>
      </c>
      <c r="J22" s="61"/>
      <c r="K22" s="61" t="s">
        <v>567</v>
      </c>
      <c r="L22" s="57" t="s">
        <v>234</v>
      </c>
      <c r="M22" s="82"/>
      <c r="N22" s="61"/>
      <c r="O22" s="66"/>
      <c r="P22" s="15" t="s">
        <v>3354</v>
      </c>
      <c r="Q22" s="15" t="s">
        <v>20</v>
      </c>
      <c r="R22" s="15"/>
      <c r="S22" s="36" t="s">
        <v>3761</v>
      </c>
      <c r="T22" s="36"/>
      <c r="U22" s="63"/>
      <c r="V22" s="15"/>
      <c r="W22" s="15"/>
      <c r="X22" s="15"/>
      <c r="Y22" s="15"/>
    </row>
    <row r="23" spans="2:25" ht="15" customHeight="1" x14ac:dyDescent="0.25">
      <c r="B23" s="14"/>
      <c r="C23" s="36" t="s">
        <v>3762</v>
      </c>
      <c r="D23" s="36">
        <v>1115186690</v>
      </c>
      <c r="E23" s="36">
        <v>3217548264</v>
      </c>
      <c r="F23" s="69" t="s">
        <v>3763</v>
      </c>
      <c r="G23" s="36"/>
      <c r="H23" s="64" t="s">
        <v>25</v>
      </c>
      <c r="I23" s="61">
        <v>42000</v>
      </c>
      <c r="J23" s="61"/>
      <c r="K23" s="61">
        <v>42000</v>
      </c>
      <c r="L23" s="57" t="s">
        <v>234</v>
      </c>
      <c r="M23" s="345"/>
      <c r="N23" s="65"/>
      <c r="O23" s="66"/>
      <c r="P23" s="15" t="s">
        <v>3354</v>
      </c>
      <c r="Q23" s="15" t="s">
        <v>20</v>
      </c>
      <c r="R23" s="15"/>
      <c r="S23" s="36"/>
      <c r="T23" s="36"/>
      <c r="U23" s="63"/>
      <c r="V23" s="14"/>
      <c r="W23" s="14"/>
      <c r="X23" s="15"/>
      <c r="Y23" s="15"/>
    </row>
    <row r="24" spans="2:25" ht="15" customHeight="1" x14ac:dyDescent="0.25">
      <c r="B24" s="15"/>
      <c r="C24" s="36" t="s">
        <v>3766</v>
      </c>
      <c r="D24" s="36">
        <v>6459016</v>
      </c>
      <c r="E24" s="36" t="s">
        <v>3767</v>
      </c>
      <c r="F24" s="36" t="s">
        <v>3768</v>
      </c>
      <c r="G24" s="36"/>
      <c r="H24" s="36" t="s">
        <v>54</v>
      </c>
      <c r="I24" s="61">
        <v>67000</v>
      </c>
      <c r="J24" s="61">
        <v>12730</v>
      </c>
      <c r="K24" s="61">
        <f t="shared" ref="K24:K25" si="3">I24+J24</f>
        <v>79730</v>
      </c>
      <c r="L24" s="57" t="s">
        <v>234</v>
      </c>
      <c r="M24" s="82"/>
      <c r="N24" s="65"/>
      <c r="O24" s="66"/>
      <c r="P24" s="15" t="s">
        <v>3354</v>
      </c>
      <c r="Q24" s="15" t="s">
        <v>20</v>
      </c>
      <c r="R24" s="15"/>
      <c r="S24" s="36" t="s">
        <v>3769</v>
      </c>
      <c r="T24" s="36"/>
      <c r="U24" s="53" t="s">
        <v>3770</v>
      </c>
      <c r="V24" s="15"/>
      <c r="W24" s="15"/>
      <c r="X24" s="15"/>
      <c r="Y24" s="15"/>
    </row>
    <row r="25" spans="2:25" ht="15" customHeight="1" x14ac:dyDescent="0.25">
      <c r="B25" s="15"/>
      <c r="C25" s="36" t="s">
        <v>3771</v>
      </c>
      <c r="D25" s="36">
        <v>41959202</v>
      </c>
      <c r="E25" s="36" t="s">
        <v>3772</v>
      </c>
      <c r="F25" s="69" t="s">
        <v>3773</v>
      </c>
      <c r="G25" s="36"/>
      <c r="H25" s="64" t="s">
        <v>25</v>
      </c>
      <c r="I25" s="61">
        <v>42000</v>
      </c>
      <c r="J25" s="61"/>
      <c r="K25" s="61">
        <f t="shared" si="3"/>
        <v>42000</v>
      </c>
      <c r="L25" s="57" t="s">
        <v>234</v>
      </c>
      <c r="M25" s="82"/>
      <c r="N25" s="65"/>
      <c r="O25" s="66"/>
      <c r="P25" s="15" t="s">
        <v>3354</v>
      </c>
      <c r="Q25" s="15" t="s">
        <v>20</v>
      </c>
      <c r="R25" s="15"/>
      <c r="S25" s="36" t="s">
        <v>3774</v>
      </c>
      <c r="T25" s="36"/>
      <c r="U25" s="53" t="s">
        <v>3775</v>
      </c>
      <c r="V25" s="15"/>
      <c r="W25" s="15"/>
      <c r="X25" s="15"/>
      <c r="Y25" s="15"/>
    </row>
    <row r="26" spans="2:25" ht="15" customHeight="1" x14ac:dyDescent="0.25">
      <c r="B26" s="15"/>
      <c r="C26" s="36" t="s">
        <v>3776</v>
      </c>
      <c r="D26" s="36">
        <v>10631425</v>
      </c>
      <c r="E26" s="36">
        <v>3147671360</v>
      </c>
      <c r="F26" s="69" t="s">
        <v>3777</v>
      </c>
      <c r="G26" s="36"/>
      <c r="H26" s="64" t="s">
        <v>5480</v>
      </c>
      <c r="I26" s="61">
        <v>82000</v>
      </c>
      <c r="J26" s="61"/>
      <c r="K26" s="61">
        <v>82000</v>
      </c>
      <c r="L26" s="57" t="s">
        <v>234</v>
      </c>
      <c r="M26" s="346"/>
      <c r="N26" s="65"/>
      <c r="O26" s="66"/>
      <c r="P26" s="15" t="s">
        <v>3354</v>
      </c>
      <c r="Q26" s="15" t="s">
        <v>20</v>
      </c>
      <c r="R26" s="15"/>
      <c r="S26" s="36" t="s">
        <v>3778</v>
      </c>
      <c r="T26" s="36" t="s">
        <v>3779</v>
      </c>
      <c r="U26" s="47" t="s">
        <v>3780</v>
      </c>
      <c r="V26" s="14"/>
      <c r="W26" s="15"/>
      <c r="X26" s="15"/>
      <c r="Y26" s="15"/>
    </row>
    <row r="27" spans="2:25" ht="14.25" customHeight="1" x14ac:dyDescent="0.25">
      <c r="B27" s="15"/>
      <c r="C27" s="36" t="s">
        <v>3781</v>
      </c>
      <c r="D27" s="36">
        <v>1006373839</v>
      </c>
      <c r="E27" s="36">
        <v>3163360180</v>
      </c>
      <c r="F27" s="69" t="s">
        <v>3782</v>
      </c>
      <c r="G27" s="36"/>
      <c r="H27" s="64" t="s">
        <v>25</v>
      </c>
      <c r="I27" s="61">
        <v>42000</v>
      </c>
      <c r="J27" s="61"/>
      <c r="K27" s="61">
        <f t="shared" ref="K27:K35" si="4">I27+J27</f>
        <v>42000</v>
      </c>
      <c r="L27" s="57" t="s">
        <v>234</v>
      </c>
      <c r="M27" s="82"/>
      <c r="N27" s="65"/>
      <c r="O27" s="66"/>
      <c r="P27" s="15" t="s">
        <v>3354</v>
      </c>
      <c r="Q27" s="15" t="s">
        <v>20</v>
      </c>
      <c r="R27" s="15"/>
      <c r="S27" s="36"/>
      <c r="T27" s="36" t="s">
        <v>3783</v>
      </c>
      <c r="U27" s="53" t="s">
        <v>3784</v>
      </c>
      <c r="V27" s="15"/>
      <c r="W27" s="15"/>
      <c r="X27" s="15"/>
      <c r="Y27" s="15"/>
    </row>
    <row r="28" spans="2:25" ht="15" customHeight="1" x14ac:dyDescent="0.25">
      <c r="B28" s="15" t="s">
        <v>2390</v>
      </c>
      <c r="C28" s="36" t="s">
        <v>3785</v>
      </c>
      <c r="D28" s="36">
        <v>1094938459</v>
      </c>
      <c r="E28" s="36" t="s">
        <v>3786</v>
      </c>
      <c r="F28" s="69" t="s">
        <v>3787</v>
      </c>
      <c r="G28" s="36"/>
      <c r="H28" s="36" t="s">
        <v>54</v>
      </c>
      <c r="I28" s="61">
        <v>67000</v>
      </c>
      <c r="J28" s="61">
        <v>12730</v>
      </c>
      <c r="K28" s="61">
        <f t="shared" si="4"/>
        <v>79730</v>
      </c>
      <c r="L28" s="57" t="s">
        <v>234</v>
      </c>
      <c r="M28" s="82"/>
      <c r="N28" s="65"/>
      <c r="O28" s="66"/>
      <c r="P28" s="15" t="s">
        <v>3354</v>
      </c>
      <c r="Q28" s="15" t="s">
        <v>20</v>
      </c>
      <c r="R28" s="15"/>
      <c r="S28" s="36" t="s">
        <v>3788</v>
      </c>
      <c r="T28" s="36"/>
      <c r="U28" s="63"/>
      <c r="V28" s="15"/>
      <c r="W28" s="15"/>
      <c r="X28" s="15"/>
      <c r="Y28" s="15"/>
    </row>
    <row r="29" spans="2:25" ht="15" customHeight="1" x14ac:dyDescent="0.25">
      <c r="B29" s="15"/>
      <c r="C29" s="36" t="s">
        <v>3789</v>
      </c>
      <c r="D29" s="36">
        <v>7514997</v>
      </c>
      <c r="E29" s="36" t="s">
        <v>3790</v>
      </c>
      <c r="F29" s="36" t="s">
        <v>3791</v>
      </c>
      <c r="G29" s="36" t="s">
        <v>3792</v>
      </c>
      <c r="H29" s="64" t="s">
        <v>25</v>
      </c>
      <c r="I29" s="61">
        <v>42000</v>
      </c>
      <c r="J29" s="61">
        <v>7980</v>
      </c>
      <c r="K29" s="61">
        <f t="shared" si="4"/>
        <v>49980</v>
      </c>
      <c r="L29" s="57" t="s">
        <v>234</v>
      </c>
      <c r="M29" s="82"/>
      <c r="N29" s="65"/>
      <c r="O29" s="66"/>
      <c r="P29" s="15" t="s">
        <v>3354</v>
      </c>
      <c r="Q29" s="15" t="s">
        <v>20</v>
      </c>
      <c r="R29" s="15"/>
      <c r="S29" s="36" t="s">
        <v>3793</v>
      </c>
      <c r="T29" s="36"/>
      <c r="U29" s="53" t="s">
        <v>3794</v>
      </c>
      <c r="V29" s="15"/>
      <c r="W29" s="15"/>
      <c r="X29" s="15"/>
      <c r="Y29" s="15"/>
    </row>
    <row r="30" spans="2:25" ht="15" customHeight="1" x14ac:dyDescent="0.25">
      <c r="B30" s="15"/>
      <c r="C30" s="36" t="s">
        <v>3795</v>
      </c>
      <c r="D30" s="36">
        <v>24330319</v>
      </c>
      <c r="E30" s="36">
        <v>3108911766</v>
      </c>
      <c r="F30" s="36" t="s">
        <v>3796</v>
      </c>
      <c r="G30" s="36" t="s">
        <v>3797</v>
      </c>
      <c r="H30" s="64" t="s">
        <v>25</v>
      </c>
      <c r="I30" s="61">
        <v>42000</v>
      </c>
      <c r="J30" s="61">
        <v>7980</v>
      </c>
      <c r="K30" s="61">
        <f t="shared" si="4"/>
        <v>49980</v>
      </c>
      <c r="L30" s="57" t="s">
        <v>234</v>
      </c>
      <c r="M30" s="82"/>
      <c r="N30" s="65"/>
      <c r="O30" s="66"/>
      <c r="P30" s="15" t="s">
        <v>3354</v>
      </c>
      <c r="Q30" s="15" t="s">
        <v>20</v>
      </c>
      <c r="R30" s="15"/>
      <c r="S30" s="36" t="s">
        <v>3798</v>
      </c>
      <c r="T30" s="36"/>
      <c r="U30" s="47" t="s">
        <v>3799</v>
      </c>
      <c r="V30" s="15"/>
      <c r="W30" s="15"/>
      <c r="X30" s="15"/>
      <c r="Y30" s="15"/>
    </row>
    <row r="31" spans="2:25" ht="15" customHeight="1" x14ac:dyDescent="0.25">
      <c r="B31" s="15"/>
      <c r="C31" s="36" t="s">
        <v>3800</v>
      </c>
      <c r="D31" s="36">
        <v>19387487</v>
      </c>
      <c r="E31" s="36" t="s">
        <v>3801</v>
      </c>
      <c r="F31" s="36" t="s">
        <v>3802</v>
      </c>
      <c r="G31" s="36" t="s">
        <v>3803</v>
      </c>
      <c r="H31" s="64" t="s">
        <v>25</v>
      </c>
      <c r="I31" s="61">
        <v>42000</v>
      </c>
      <c r="J31" s="61">
        <v>7980</v>
      </c>
      <c r="K31" s="61">
        <f t="shared" si="4"/>
        <v>49980</v>
      </c>
      <c r="L31" s="57" t="s">
        <v>234</v>
      </c>
      <c r="M31" s="82"/>
      <c r="N31" s="61"/>
      <c r="O31" s="66"/>
      <c r="P31" s="15" t="s">
        <v>3354</v>
      </c>
      <c r="Q31" s="15" t="s">
        <v>20</v>
      </c>
      <c r="R31" s="15"/>
      <c r="S31" s="36" t="s">
        <v>3804</v>
      </c>
      <c r="T31" s="36"/>
      <c r="U31" s="53" t="s">
        <v>3805</v>
      </c>
      <c r="V31" s="15"/>
      <c r="W31" s="15"/>
      <c r="X31" s="15"/>
      <c r="Y31" s="15"/>
    </row>
    <row r="32" spans="2:25" ht="15" customHeight="1" x14ac:dyDescent="0.25">
      <c r="B32" s="15"/>
      <c r="C32" s="36" t="s">
        <v>3806</v>
      </c>
      <c r="D32" s="36">
        <v>7516051</v>
      </c>
      <c r="E32" s="36">
        <v>3136854445</v>
      </c>
      <c r="F32" s="69" t="s">
        <v>3807</v>
      </c>
      <c r="G32" s="36"/>
      <c r="H32" s="64" t="s">
        <v>25</v>
      </c>
      <c r="I32" s="61">
        <v>42000</v>
      </c>
      <c r="J32" s="61"/>
      <c r="K32" s="61">
        <f t="shared" si="4"/>
        <v>42000</v>
      </c>
      <c r="L32" s="57" t="s">
        <v>234</v>
      </c>
      <c r="M32" s="82"/>
      <c r="N32" s="65"/>
      <c r="O32" s="66"/>
      <c r="P32" s="15" t="s">
        <v>3354</v>
      </c>
      <c r="Q32" s="15" t="s">
        <v>20</v>
      </c>
      <c r="R32" s="15"/>
      <c r="S32" s="36"/>
      <c r="T32" s="36" t="s">
        <v>3808</v>
      </c>
      <c r="U32" s="53" t="s">
        <v>3809</v>
      </c>
      <c r="V32" s="15"/>
      <c r="W32" s="15"/>
      <c r="X32" s="15"/>
      <c r="Y32" s="15"/>
    </row>
    <row r="33" spans="2:25" ht="15" customHeight="1" x14ac:dyDescent="0.25">
      <c r="B33" s="15"/>
      <c r="C33" s="36" t="s">
        <v>3810</v>
      </c>
      <c r="D33" s="36">
        <v>1004915898</v>
      </c>
      <c r="E33" s="36" t="s">
        <v>3811</v>
      </c>
      <c r="F33" s="69" t="s">
        <v>3812</v>
      </c>
      <c r="G33" s="36" t="s">
        <v>3813</v>
      </c>
      <c r="H33" s="64" t="s">
        <v>25</v>
      </c>
      <c r="I33" s="61">
        <v>42000</v>
      </c>
      <c r="J33" s="61"/>
      <c r="K33" s="61">
        <f t="shared" si="4"/>
        <v>42000</v>
      </c>
      <c r="L33" s="57" t="s">
        <v>234</v>
      </c>
      <c r="M33" s="82"/>
      <c r="N33" s="65"/>
      <c r="O33" s="66"/>
      <c r="P33" s="15" t="s">
        <v>3354</v>
      </c>
      <c r="Q33" s="15" t="s">
        <v>20</v>
      </c>
      <c r="R33" s="15"/>
      <c r="S33" s="36"/>
      <c r="T33" s="36" t="s">
        <v>3814</v>
      </c>
      <c r="U33" s="53" t="s">
        <v>3815</v>
      </c>
      <c r="V33" s="15"/>
      <c r="W33" s="15"/>
      <c r="X33" s="15"/>
      <c r="Y33" s="15"/>
    </row>
    <row r="34" spans="2:25" ht="15" customHeight="1" x14ac:dyDescent="0.25">
      <c r="B34" s="15"/>
      <c r="C34" s="36" t="s">
        <v>3816</v>
      </c>
      <c r="D34" s="36">
        <v>11276724</v>
      </c>
      <c r="E34" s="36">
        <v>3012658432</v>
      </c>
      <c r="F34" s="69" t="s">
        <v>3817</v>
      </c>
      <c r="G34" s="36" t="s">
        <v>3736</v>
      </c>
      <c r="H34" s="64" t="s">
        <v>25</v>
      </c>
      <c r="I34" s="61">
        <v>42000</v>
      </c>
      <c r="J34" s="61">
        <v>7900</v>
      </c>
      <c r="K34" s="61">
        <f t="shared" si="4"/>
        <v>49900</v>
      </c>
      <c r="L34" s="57" t="s">
        <v>234</v>
      </c>
      <c r="M34" s="346"/>
      <c r="N34" s="65"/>
      <c r="O34" s="66"/>
      <c r="P34" s="15" t="s">
        <v>3354</v>
      </c>
      <c r="Q34" s="15" t="s">
        <v>20</v>
      </c>
      <c r="R34" s="15"/>
      <c r="S34" s="36" t="s">
        <v>3818</v>
      </c>
      <c r="T34" s="36"/>
      <c r="U34" s="63"/>
      <c r="V34" s="15"/>
      <c r="W34" s="15"/>
      <c r="X34" s="15"/>
      <c r="Y34" s="15"/>
    </row>
    <row r="35" spans="2:25" ht="15" customHeight="1" x14ac:dyDescent="0.25">
      <c r="B35" s="15"/>
      <c r="C35" s="36" t="s">
        <v>3819</v>
      </c>
      <c r="D35" s="36">
        <v>900026727</v>
      </c>
      <c r="E35" s="36">
        <v>3146229159</v>
      </c>
      <c r="F35" s="142" t="s">
        <v>3820</v>
      </c>
      <c r="G35" s="36" t="s">
        <v>3821</v>
      </c>
      <c r="H35" s="36" t="s">
        <v>2944</v>
      </c>
      <c r="I35" s="61">
        <v>202000</v>
      </c>
      <c r="J35" s="61">
        <v>38380</v>
      </c>
      <c r="K35" s="61">
        <f t="shared" si="4"/>
        <v>240380</v>
      </c>
      <c r="L35" s="57" t="s">
        <v>234</v>
      </c>
      <c r="M35" s="82"/>
      <c r="N35" s="65"/>
      <c r="O35" s="66"/>
      <c r="P35" s="15" t="s">
        <v>3354</v>
      </c>
      <c r="Q35" s="15" t="s">
        <v>20</v>
      </c>
      <c r="R35" s="15"/>
      <c r="S35" s="36" t="s">
        <v>3822</v>
      </c>
      <c r="T35" s="36"/>
      <c r="U35" s="53" t="s">
        <v>3823</v>
      </c>
      <c r="V35" s="15"/>
      <c r="W35" s="15"/>
      <c r="X35" s="15"/>
      <c r="Y35" s="15"/>
    </row>
    <row r="36" spans="2:25" ht="14.25" customHeight="1" x14ac:dyDescent="0.25">
      <c r="B36" s="15"/>
      <c r="C36" s="36" t="s">
        <v>3824</v>
      </c>
      <c r="D36" s="36">
        <v>29331547</v>
      </c>
      <c r="E36" s="36">
        <v>3104011497</v>
      </c>
      <c r="F36" s="69" t="s">
        <v>3825</v>
      </c>
      <c r="G36" s="36" t="s">
        <v>3826</v>
      </c>
      <c r="H36" s="64" t="s">
        <v>25</v>
      </c>
      <c r="I36" s="61">
        <v>42000</v>
      </c>
      <c r="J36" s="61"/>
      <c r="K36" s="61">
        <v>42000</v>
      </c>
      <c r="L36" s="57" t="s">
        <v>234</v>
      </c>
      <c r="M36" s="346"/>
      <c r="N36" s="65"/>
      <c r="O36" s="66"/>
      <c r="P36" s="15" t="s">
        <v>3354</v>
      </c>
      <c r="Q36" s="15" t="s">
        <v>20</v>
      </c>
      <c r="R36" s="15"/>
      <c r="S36" s="36" t="s">
        <v>3827</v>
      </c>
      <c r="T36" s="15"/>
      <c r="U36" s="47" t="s">
        <v>3828</v>
      </c>
      <c r="V36" s="14"/>
      <c r="W36" s="15"/>
      <c r="X36" s="15"/>
      <c r="Y36" s="15"/>
    </row>
    <row r="37" spans="2:25" ht="15" customHeight="1" x14ac:dyDescent="0.25">
      <c r="B37" s="15"/>
      <c r="C37" s="36" t="s">
        <v>3674</v>
      </c>
      <c r="D37" s="36">
        <v>29332078</v>
      </c>
      <c r="E37" s="36">
        <v>3104278755</v>
      </c>
      <c r="F37" s="69" t="s">
        <v>3760</v>
      </c>
      <c r="G37" s="36" t="s">
        <v>3829</v>
      </c>
      <c r="H37" s="64" t="s">
        <v>188</v>
      </c>
      <c r="I37" s="61">
        <v>57000</v>
      </c>
      <c r="J37" s="61"/>
      <c r="K37" s="61">
        <v>57000</v>
      </c>
      <c r="L37" s="57" t="s">
        <v>234</v>
      </c>
      <c r="M37" s="346"/>
      <c r="N37" s="65"/>
      <c r="O37" s="66"/>
      <c r="P37" s="15" t="s">
        <v>3354</v>
      </c>
      <c r="Q37" s="15" t="s">
        <v>20</v>
      </c>
      <c r="R37" s="15"/>
      <c r="S37" s="15" t="s">
        <v>3830</v>
      </c>
      <c r="T37" s="36"/>
      <c r="U37" s="47" t="s">
        <v>3831</v>
      </c>
      <c r="V37" s="14"/>
      <c r="W37" s="15"/>
      <c r="X37" s="15"/>
      <c r="Y37" s="15"/>
    </row>
    <row r="38" spans="2:25" ht="15" customHeight="1" x14ac:dyDescent="0.25">
      <c r="B38" s="15"/>
      <c r="C38" s="36" t="s">
        <v>3832</v>
      </c>
      <c r="D38" s="36">
        <v>41889975</v>
      </c>
      <c r="E38" s="36">
        <v>3216473024</v>
      </c>
      <c r="F38" s="36" t="s">
        <v>3833</v>
      </c>
      <c r="G38" s="36" t="s">
        <v>3834</v>
      </c>
      <c r="H38" s="64" t="s">
        <v>25</v>
      </c>
      <c r="I38" s="61">
        <v>42000</v>
      </c>
      <c r="J38" s="61">
        <v>7980</v>
      </c>
      <c r="K38" s="61">
        <f t="shared" ref="K38:K46" si="5">I38+J38</f>
        <v>49980</v>
      </c>
      <c r="L38" s="57" t="s">
        <v>234</v>
      </c>
      <c r="M38" s="82"/>
      <c r="N38" s="65"/>
      <c r="O38" s="66"/>
      <c r="P38" s="15" t="s">
        <v>3354</v>
      </c>
      <c r="Q38" s="15" t="s">
        <v>20</v>
      </c>
      <c r="R38" s="15"/>
      <c r="S38" s="36" t="s">
        <v>3835</v>
      </c>
      <c r="T38" s="36"/>
      <c r="U38" s="53" t="s">
        <v>3836</v>
      </c>
      <c r="V38" s="15"/>
      <c r="W38" s="15"/>
      <c r="X38" s="15"/>
      <c r="Y38" s="15"/>
    </row>
    <row r="39" spans="2:25" ht="15" customHeight="1" x14ac:dyDescent="0.25">
      <c r="B39" s="15"/>
      <c r="C39" s="36" t="s">
        <v>3837</v>
      </c>
      <c r="D39" s="36">
        <v>66963159</v>
      </c>
      <c r="E39" s="36">
        <v>3226485590</v>
      </c>
      <c r="F39" s="69" t="s">
        <v>3838</v>
      </c>
      <c r="G39" s="36"/>
      <c r="H39" s="64" t="s">
        <v>25</v>
      </c>
      <c r="I39" s="61">
        <v>42000</v>
      </c>
      <c r="J39" s="61"/>
      <c r="K39" s="61">
        <f t="shared" si="5"/>
        <v>42000</v>
      </c>
      <c r="L39" s="57" t="s">
        <v>234</v>
      </c>
      <c r="M39" s="82"/>
      <c r="N39" s="65"/>
      <c r="O39" s="66"/>
      <c r="P39" s="15" t="s">
        <v>3354</v>
      </c>
      <c r="Q39" s="15" t="s">
        <v>20</v>
      </c>
      <c r="R39" s="15"/>
      <c r="S39" s="36" t="s">
        <v>3839</v>
      </c>
      <c r="T39" s="36"/>
      <c r="U39" s="53" t="s">
        <v>3840</v>
      </c>
      <c r="V39" s="15"/>
      <c r="W39" s="15"/>
      <c r="X39" s="15"/>
      <c r="Y39" s="15"/>
    </row>
    <row r="40" spans="2:25" ht="15" customHeight="1" x14ac:dyDescent="0.25">
      <c r="B40" s="15" t="s">
        <v>3841</v>
      </c>
      <c r="C40" s="36" t="s">
        <v>3842</v>
      </c>
      <c r="D40" s="36">
        <v>94501022</v>
      </c>
      <c r="E40" s="36">
        <v>3117093203</v>
      </c>
      <c r="F40" s="69" t="s">
        <v>3843</v>
      </c>
      <c r="G40" s="36" t="s">
        <v>3844</v>
      </c>
      <c r="H40" s="36" t="s">
        <v>54</v>
      </c>
      <c r="I40" s="61">
        <v>67000</v>
      </c>
      <c r="J40" s="61"/>
      <c r="K40" s="61">
        <f t="shared" si="5"/>
        <v>67000</v>
      </c>
      <c r="L40" s="57" t="s">
        <v>234</v>
      </c>
      <c r="M40" s="82"/>
      <c r="N40" s="65"/>
      <c r="O40" s="66"/>
      <c r="P40" s="15" t="s">
        <v>3354</v>
      </c>
      <c r="Q40" s="15" t="s">
        <v>20</v>
      </c>
      <c r="R40" s="15"/>
      <c r="S40" s="36" t="s">
        <v>3845</v>
      </c>
      <c r="T40" s="36"/>
      <c r="U40" s="53" t="s">
        <v>3846</v>
      </c>
      <c r="V40" s="15"/>
      <c r="W40" s="15"/>
      <c r="X40" s="15"/>
      <c r="Y40" s="15"/>
    </row>
    <row r="41" spans="2:25" ht="15" customHeight="1" x14ac:dyDescent="0.25">
      <c r="B41" s="15"/>
      <c r="C41" s="36" t="s">
        <v>3847</v>
      </c>
      <c r="D41" s="36">
        <v>7516909</v>
      </c>
      <c r="E41" s="36">
        <v>3127498986</v>
      </c>
      <c r="F41" s="69" t="s">
        <v>3848</v>
      </c>
      <c r="G41" s="36" t="s">
        <v>3849</v>
      </c>
      <c r="H41" s="64" t="s">
        <v>25</v>
      </c>
      <c r="I41" s="61">
        <v>42000</v>
      </c>
      <c r="J41" s="61">
        <v>7980</v>
      </c>
      <c r="K41" s="61">
        <f t="shared" si="5"/>
        <v>49980</v>
      </c>
      <c r="L41" s="57" t="s">
        <v>234</v>
      </c>
      <c r="M41" s="82"/>
      <c r="N41" s="61"/>
      <c r="O41" s="66"/>
      <c r="P41" s="15" t="s">
        <v>3354</v>
      </c>
      <c r="Q41" s="15" t="s">
        <v>20</v>
      </c>
      <c r="R41" s="15"/>
      <c r="S41" s="36" t="s">
        <v>3850</v>
      </c>
      <c r="T41" s="36"/>
      <c r="U41" s="53" t="s">
        <v>3851</v>
      </c>
      <c r="V41" s="15"/>
      <c r="W41" s="15"/>
      <c r="X41" s="15"/>
      <c r="Y41" s="15"/>
    </row>
    <row r="42" spans="2:25" ht="15" customHeight="1" x14ac:dyDescent="0.25">
      <c r="B42" s="15"/>
      <c r="C42" s="36" t="s">
        <v>3852</v>
      </c>
      <c r="D42" s="36">
        <v>34549840</v>
      </c>
      <c r="E42" s="36">
        <v>3202543807</v>
      </c>
      <c r="F42" s="69" t="s">
        <v>3853</v>
      </c>
      <c r="G42" s="36" t="s">
        <v>3854</v>
      </c>
      <c r="H42" s="64" t="s">
        <v>25</v>
      </c>
      <c r="I42" s="61">
        <v>42000</v>
      </c>
      <c r="J42" s="61"/>
      <c r="K42" s="61">
        <f t="shared" si="5"/>
        <v>42000</v>
      </c>
      <c r="L42" s="57" t="s">
        <v>234</v>
      </c>
      <c r="M42" s="82"/>
      <c r="N42" s="65"/>
      <c r="O42" s="66"/>
      <c r="P42" s="15" t="s">
        <v>3354</v>
      </c>
      <c r="Q42" s="15" t="s">
        <v>20</v>
      </c>
      <c r="R42" s="15"/>
      <c r="S42" s="36" t="s">
        <v>3855</v>
      </c>
      <c r="T42" s="36"/>
      <c r="U42" s="53" t="s">
        <v>3856</v>
      </c>
      <c r="V42" s="15"/>
      <c r="W42" s="15"/>
      <c r="X42" s="15"/>
      <c r="Y42" s="15"/>
    </row>
    <row r="43" spans="2:25" ht="15" customHeight="1" x14ac:dyDescent="0.25">
      <c r="B43" s="15"/>
      <c r="C43" s="36" t="s">
        <v>3857</v>
      </c>
      <c r="D43" s="36">
        <v>41887870</v>
      </c>
      <c r="E43" s="36">
        <v>3155586403</v>
      </c>
      <c r="F43" s="36" t="s">
        <v>3858</v>
      </c>
      <c r="G43" s="36" t="s">
        <v>5</v>
      </c>
      <c r="H43" s="64" t="s">
        <v>25</v>
      </c>
      <c r="I43" s="61">
        <v>42000</v>
      </c>
      <c r="J43" s="61">
        <v>7980</v>
      </c>
      <c r="K43" s="61">
        <f t="shared" si="5"/>
        <v>49980</v>
      </c>
      <c r="L43" s="57" t="s">
        <v>234</v>
      </c>
      <c r="M43" s="82"/>
      <c r="N43" s="65"/>
      <c r="O43" s="66"/>
      <c r="P43" s="15" t="s">
        <v>3354</v>
      </c>
      <c r="Q43" s="15" t="s">
        <v>20</v>
      </c>
      <c r="R43" s="15"/>
      <c r="S43" s="36" t="s">
        <v>3859</v>
      </c>
      <c r="T43" s="36"/>
      <c r="U43" s="63" t="s">
        <v>3860</v>
      </c>
      <c r="V43" s="15"/>
      <c r="W43" s="15"/>
      <c r="X43" s="15"/>
      <c r="Y43" s="15"/>
    </row>
    <row r="44" spans="2:25" ht="15" customHeight="1" x14ac:dyDescent="0.25">
      <c r="B44" s="15"/>
      <c r="C44" s="36" t="s">
        <v>3861</v>
      </c>
      <c r="D44" s="36">
        <v>24567681</v>
      </c>
      <c r="E44" s="36">
        <v>3152720828</v>
      </c>
      <c r="F44" s="36" t="s">
        <v>3862</v>
      </c>
      <c r="G44" s="36" t="s">
        <v>5</v>
      </c>
      <c r="H44" s="64" t="s">
        <v>25</v>
      </c>
      <c r="I44" s="61">
        <v>42000</v>
      </c>
      <c r="J44" s="61">
        <v>7980</v>
      </c>
      <c r="K44" s="61">
        <f t="shared" si="5"/>
        <v>49980</v>
      </c>
      <c r="L44" s="57" t="s">
        <v>234</v>
      </c>
      <c r="M44" s="82"/>
      <c r="N44" s="65"/>
      <c r="O44" s="66"/>
      <c r="P44" s="15" t="s">
        <v>3354</v>
      </c>
      <c r="Q44" s="15" t="s">
        <v>20</v>
      </c>
      <c r="R44" s="15"/>
      <c r="S44" s="36" t="s">
        <v>3863</v>
      </c>
      <c r="T44" s="36"/>
      <c r="U44" s="53" t="s">
        <v>3864</v>
      </c>
      <c r="V44" s="15"/>
      <c r="W44" s="15"/>
      <c r="X44" s="15"/>
      <c r="Y44" s="15"/>
    </row>
    <row r="45" spans="2:25" ht="15" customHeight="1" x14ac:dyDescent="0.25">
      <c r="B45" s="15"/>
      <c r="C45" s="36" t="s">
        <v>3865</v>
      </c>
      <c r="D45" s="36">
        <v>24473099</v>
      </c>
      <c r="E45" s="36">
        <v>3105446213</v>
      </c>
      <c r="F45" s="36" t="s">
        <v>3866</v>
      </c>
      <c r="G45" s="36" t="s">
        <v>3867</v>
      </c>
      <c r="H45" s="64" t="s">
        <v>25</v>
      </c>
      <c r="I45" s="61">
        <v>42000</v>
      </c>
      <c r="J45" s="61">
        <v>7980</v>
      </c>
      <c r="K45" s="61">
        <f t="shared" si="5"/>
        <v>49980</v>
      </c>
      <c r="L45" s="57" t="s">
        <v>234</v>
      </c>
      <c r="M45" s="82"/>
      <c r="N45" s="65"/>
      <c r="O45" s="66"/>
      <c r="P45" s="15" t="s">
        <v>3354</v>
      </c>
      <c r="Q45" s="15" t="s">
        <v>20</v>
      </c>
      <c r="R45" s="15"/>
      <c r="S45" s="36" t="s">
        <v>3868</v>
      </c>
      <c r="T45" s="36"/>
      <c r="U45" s="53" t="s">
        <v>3869</v>
      </c>
      <c r="V45" s="15"/>
      <c r="W45" s="15"/>
      <c r="X45" s="15"/>
      <c r="Y45" s="15"/>
    </row>
    <row r="46" spans="2:25" ht="15" customHeight="1" x14ac:dyDescent="0.25">
      <c r="B46" s="15" t="s">
        <v>5490</v>
      </c>
      <c r="C46" s="36" t="s">
        <v>3870</v>
      </c>
      <c r="D46" s="36">
        <v>29330802</v>
      </c>
      <c r="E46" s="36" t="s">
        <v>3871</v>
      </c>
      <c r="F46" s="69" t="s">
        <v>3872</v>
      </c>
      <c r="G46" s="36" t="s">
        <v>3873</v>
      </c>
      <c r="H46" s="64" t="s">
        <v>25</v>
      </c>
      <c r="I46" s="61">
        <v>42000</v>
      </c>
      <c r="J46" s="61"/>
      <c r="K46" s="61">
        <f t="shared" si="5"/>
        <v>42000</v>
      </c>
      <c r="L46" s="57" t="s">
        <v>234</v>
      </c>
      <c r="M46" s="82"/>
      <c r="N46" s="65"/>
      <c r="O46" s="66"/>
      <c r="P46" s="15" t="s">
        <v>3354</v>
      </c>
      <c r="Q46" s="15" t="s">
        <v>20</v>
      </c>
      <c r="R46" s="15"/>
      <c r="S46" s="36" t="s">
        <v>3874</v>
      </c>
      <c r="T46" s="36"/>
      <c r="U46" s="53" t="s">
        <v>3875</v>
      </c>
      <c r="V46" s="15"/>
      <c r="W46" s="15"/>
      <c r="X46" s="15"/>
      <c r="Y46" s="15"/>
    </row>
    <row r="47" spans="2:25" ht="15" customHeight="1" x14ac:dyDescent="0.25">
      <c r="B47" s="15"/>
      <c r="C47" s="36" t="s">
        <v>3876</v>
      </c>
      <c r="D47" s="36">
        <v>41913010</v>
      </c>
      <c r="E47" s="36">
        <v>3007760636</v>
      </c>
      <c r="F47" s="69" t="s">
        <v>3877</v>
      </c>
      <c r="G47" s="36" t="s">
        <v>3878</v>
      </c>
      <c r="H47" s="64" t="s">
        <v>5480</v>
      </c>
      <c r="I47" s="61">
        <v>82000</v>
      </c>
      <c r="J47" s="61"/>
      <c r="K47" s="61">
        <v>82000</v>
      </c>
      <c r="L47" s="57" t="s">
        <v>234</v>
      </c>
      <c r="M47" s="346"/>
      <c r="N47" s="65"/>
      <c r="O47" s="66"/>
      <c r="P47" s="15" t="s">
        <v>3354</v>
      </c>
      <c r="Q47" s="15" t="s">
        <v>20</v>
      </c>
      <c r="R47" s="15"/>
      <c r="S47" s="36" t="s">
        <v>3879</v>
      </c>
      <c r="T47" s="36" t="s">
        <v>3880</v>
      </c>
      <c r="U47" s="47" t="s">
        <v>3881</v>
      </c>
      <c r="V47" s="14"/>
      <c r="W47" s="15"/>
      <c r="X47" s="15"/>
      <c r="Y47" s="15"/>
    </row>
    <row r="48" spans="2:25" ht="15" customHeight="1" x14ac:dyDescent="0.25">
      <c r="B48" s="15"/>
      <c r="C48" s="36" t="s">
        <v>3882</v>
      </c>
      <c r="D48" s="36">
        <v>14440200</v>
      </c>
      <c r="E48" s="36">
        <v>3156905336</v>
      </c>
      <c r="F48" s="36" t="s">
        <v>3883</v>
      </c>
      <c r="G48" s="36" t="s">
        <v>3884</v>
      </c>
      <c r="H48" s="64" t="s">
        <v>25</v>
      </c>
      <c r="I48" s="61">
        <v>42000</v>
      </c>
      <c r="J48" s="61">
        <v>7980</v>
      </c>
      <c r="K48" s="61">
        <f t="shared" ref="K48:K56" si="6">I48+J48</f>
        <v>49980</v>
      </c>
      <c r="L48" s="57" t="s">
        <v>234</v>
      </c>
      <c r="M48" s="82"/>
      <c r="N48" s="65"/>
      <c r="O48" s="66"/>
      <c r="P48" s="15" t="s">
        <v>3354</v>
      </c>
      <c r="Q48" s="15" t="s">
        <v>20</v>
      </c>
      <c r="R48" s="15"/>
      <c r="S48" s="36" t="s">
        <v>3885</v>
      </c>
      <c r="T48" s="36"/>
      <c r="U48" s="53" t="s">
        <v>3886</v>
      </c>
      <c r="V48" s="14"/>
      <c r="W48" s="15"/>
      <c r="X48" s="15"/>
      <c r="Y48" s="15"/>
    </row>
    <row r="49" spans="2:25" ht="15" customHeight="1" x14ac:dyDescent="0.25">
      <c r="B49" s="15"/>
      <c r="C49" s="36" t="s">
        <v>3887</v>
      </c>
      <c r="D49" s="36">
        <v>41963998</v>
      </c>
      <c r="E49" s="36" t="s">
        <v>3888</v>
      </c>
      <c r="F49" s="36" t="s">
        <v>3889</v>
      </c>
      <c r="G49" s="36" t="s">
        <v>3890</v>
      </c>
      <c r="H49" s="64" t="s">
        <v>25</v>
      </c>
      <c r="I49" s="61">
        <v>42000</v>
      </c>
      <c r="J49" s="61">
        <v>7980</v>
      </c>
      <c r="K49" s="61">
        <f t="shared" si="6"/>
        <v>49980</v>
      </c>
      <c r="L49" s="57" t="s">
        <v>234</v>
      </c>
      <c r="M49" s="82"/>
      <c r="N49" s="65"/>
      <c r="O49" s="66"/>
      <c r="P49" s="15" t="s">
        <v>3354</v>
      </c>
      <c r="Q49" s="15" t="s">
        <v>20</v>
      </c>
      <c r="R49" s="15"/>
      <c r="S49" s="36" t="s">
        <v>3891</v>
      </c>
      <c r="T49" s="36"/>
      <c r="U49" s="53" t="s">
        <v>3892</v>
      </c>
      <c r="V49" s="14"/>
      <c r="W49" s="15"/>
      <c r="X49" s="15"/>
      <c r="Y49" s="15"/>
    </row>
    <row r="50" spans="2:25" ht="15" customHeight="1" x14ac:dyDescent="0.25">
      <c r="B50" s="15"/>
      <c r="C50" s="36" t="s">
        <v>3893</v>
      </c>
      <c r="D50" s="36">
        <v>16776958</v>
      </c>
      <c r="E50" s="36">
        <v>3017947852</v>
      </c>
      <c r="F50" s="36" t="s">
        <v>3894</v>
      </c>
      <c r="G50" s="36" t="s">
        <v>3895</v>
      </c>
      <c r="H50" s="64" t="s">
        <v>25</v>
      </c>
      <c r="I50" s="61">
        <v>42000</v>
      </c>
      <c r="J50" s="61">
        <v>7980</v>
      </c>
      <c r="K50" s="61">
        <f t="shared" si="6"/>
        <v>49980</v>
      </c>
      <c r="L50" s="57" t="s">
        <v>234</v>
      </c>
      <c r="M50" s="82"/>
      <c r="N50" s="65"/>
      <c r="O50" s="66"/>
      <c r="P50" s="15" t="s">
        <v>3354</v>
      </c>
      <c r="Q50" s="15" t="s">
        <v>20</v>
      </c>
      <c r="R50" s="15"/>
      <c r="S50" s="36" t="s">
        <v>3896</v>
      </c>
      <c r="T50" s="36"/>
      <c r="U50" s="53" t="s">
        <v>3897</v>
      </c>
      <c r="V50" s="14"/>
      <c r="W50" s="15"/>
      <c r="X50" s="15"/>
      <c r="Y50" s="15"/>
    </row>
    <row r="51" spans="2:25" ht="17.25" customHeight="1" x14ac:dyDescent="0.25">
      <c r="B51" s="15"/>
      <c r="C51" s="36" t="s">
        <v>3898</v>
      </c>
      <c r="D51" s="36">
        <v>94254859</v>
      </c>
      <c r="E51" s="36">
        <v>3122117896</v>
      </c>
      <c r="F51" s="36" t="s">
        <v>3899</v>
      </c>
      <c r="G51" s="36"/>
      <c r="H51" s="64" t="s">
        <v>5480</v>
      </c>
      <c r="I51" s="61">
        <v>82000</v>
      </c>
      <c r="J51" s="61"/>
      <c r="K51" s="61">
        <f t="shared" si="6"/>
        <v>82000</v>
      </c>
      <c r="L51" s="57" t="s">
        <v>234</v>
      </c>
      <c r="M51" s="82"/>
      <c r="N51" s="65"/>
      <c r="O51" s="66"/>
      <c r="P51" s="15" t="s">
        <v>3354</v>
      </c>
      <c r="Q51" s="15" t="s">
        <v>20</v>
      </c>
      <c r="R51" s="15"/>
      <c r="S51" s="36"/>
      <c r="T51" s="36" t="s">
        <v>3900</v>
      </c>
      <c r="U51" s="53" t="s">
        <v>3901</v>
      </c>
      <c r="V51" s="14"/>
      <c r="W51" s="15"/>
      <c r="X51" s="15"/>
      <c r="Y51" s="15"/>
    </row>
    <row r="52" spans="2:25" ht="15" customHeight="1" x14ac:dyDescent="0.25">
      <c r="B52" s="15"/>
      <c r="C52" s="36" t="s">
        <v>3902</v>
      </c>
      <c r="D52" s="36">
        <v>6461612</v>
      </c>
      <c r="E52" s="36">
        <v>3105978741</v>
      </c>
      <c r="F52" s="69" t="s">
        <v>3903</v>
      </c>
      <c r="G52" s="36" t="s">
        <v>3904</v>
      </c>
      <c r="H52" s="64" t="s">
        <v>25</v>
      </c>
      <c r="I52" s="61">
        <v>42000</v>
      </c>
      <c r="J52" s="61">
        <v>7980</v>
      </c>
      <c r="K52" s="61">
        <f t="shared" si="6"/>
        <v>49980</v>
      </c>
      <c r="L52" s="57" t="s">
        <v>234</v>
      </c>
      <c r="M52" s="82"/>
      <c r="N52" s="65"/>
      <c r="O52" s="66"/>
      <c r="P52" s="15" t="s">
        <v>3354</v>
      </c>
      <c r="Q52" s="15" t="s">
        <v>20</v>
      </c>
      <c r="R52" s="15"/>
      <c r="S52" s="36" t="s">
        <v>3905</v>
      </c>
      <c r="T52" s="36"/>
      <c r="U52" s="53" t="s">
        <v>3906</v>
      </c>
      <c r="V52" s="15"/>
      <c r="W52" s="15"/>
      <c r="X52" s="15"/>
      <c r="Y52" s="15"/>
    </row>
    <row r="53" spans="2:25" ht="15" customHeight="1" x14ac:dyDescent="0.25">
      <c r="B53" s="15"/>
      <c r="C53" s="36" t="s">
        <v>3907</v>
      </c>
      <c r="D53" s="36">
        <v>41890069</v>
      </c>
      <c r="E53" s="36">
        <v>3108208446</v>
      </c>
      <c r="F53" s="69" t="s">
        <v>3908</v>
      </c>
      <c r="G53" s="36" t="s">
        <v>3909</v>
      </c>
      <c r="H53" s="64" t="s">
        <v>25</v>
      </c>
      <c r="I53" s="61">
        <v>42000</v>
      </c>
      <c r="J53" s="61">
        <v>7980</v>
      </c>
      <c r="K53" s="61">
        <f t="shared" si="6"/>
        <v>49980</v>
      </c>
      <c r="L53" s="57" t="s">
        <v>234</v>
      </c>
      <c r="M53" s="82"/>
      <c r="N53" s="65"/>
      <c r="O53" s="66"/>
      <c r="P53" s="15" t="s">
        <v>3354</v>
      </c>
      <c r="Q53" s="15" t="s">
        <v>20</v>
      </c>
      <c r="R53" s="15"/>
      <c r="S53" s="36" t="s">
        <v>3910</v>
      </c>
      <c r="T53" s="36"/>
      <c r="U53" s="47" t="s">
        <v>3911</v>
      </c>
      <c r="V53" s="15"/>
      <c r="W53" s="15"/>
      <c r="X53" s="15"/>
      <c r="Y53" s="15"/>
    </row>
    <row r="54" spans="2:25" ht="15" customHeight="1" x14ac:dyDescent="0.25">
      <c r="B54" s="15"/>
      <c r="C54" s="36" t="s">
        <v>3912</v>
      </c>
      <c r="D54" s="36">
        <v>4206666</v>
      </c>
      <c r="E54" s="36">
        <v>3223841432</v>
      </c>
      <c r="F54" s="69" t="s">
        <v>3913</v>
      </c>
      <c r="G54" s="36" t="s">
        <v>3914</v>
      </c>
      <c r="H54" s="64" t="s">
        <v>5480</v>
      </c>
      <c r="I54" s="61">
        <v>82000</v>
      </c>
      <c r="J54" s="61">
        <v>15580</v>
      </c>
      <c r="K54" s="61">
        <f t="shared" si="6"/>
        <v>97580</v>
      </c>
      <c r="L54" s="57" t="s">
        <v>234</v>
      </c>
      <c r="M54" s="82"/>
      <c r="N54" s="65"/>
      <c r="O54" s="66"/>
      <c r="P54" s="15" t="s">
        <v>3354</v>
      </c>
      <c r="Q54" s="15" t="s">
        <v>20</v>
      </c>
      <c r="R54" s="15"/>
      <c r="S54" s="36" t="s">
        <v>3915</v>
      </c>
      <c r="T54" s="36"/>
      <c r="U54" s="53" t="s">
        <v>3916</v>
      </c>
      <c r="V54" s="15"/>
      <c r="W54" s="15"/>
      <c r="X54" s="15"/>
      <c r="Y54" s="15"/>
    </row>
    <row r="55" spans="2:25" ht="15" customHeight="1" x14ac:dyDescent="0.25">
      <c r="B55" s="15"/>
      <c r="C55" s="36" t="s">
        <v>3917</v>
      </c>
      <c r="D55" s="36">
        <v>18386492</v>
      </c>
      <c r="E55" s="36">
        <v>3153539345</v>
      </c>
      <c r="F55" s="36" t="s">
        <v>3918</v>
      </c>
      <c r="G55" s="36" t="s">
        <v>3919</v>
      </c>
      <c r="H55" s="64" t="s">
        <v>25</v>
      </c>
      <c r="I55" s="61">
        <v>42000</v>
      </c>
      <c r="J55" s="61">
        <v>7980</v>
      </c>
      <c r="K55" s="61">
        <f t="shared" si="6"/>
        <v>49980</v>
      </c>
      <c r="L55" s="57" t="s">
        <v>234</v>
      </c>
      <c r="M55" s="346"/>
      <c r="N55" s="65"/>
      <c r="O55" s="66"/>
      <c r="P55" s="15" t="s">
        <v>3354</v>
      </c>
      <c r="Q55" s="15" t="s">
        <v>20</v>
      </c>
      <c r="R55" s="15"/>
      <c r="S55" s="36" t="s">
        <v>3920</v>
      </c>
      <c r="T55" s="36"/>
      <c r="U55" s="53" t="s">
        <v>3921</v>
      </c>
      <c r="V55" s="14"/>
      <c r="W55" s="15"/>
      <c r="X55" s="15"/>
      <c r="Y55" s="15"/>
    </row>
    <row r="56" spans="2:25" ht="14.25" customHeight="1" x14ac:dyDescent="0.25">
      <c r="B56" s="15"/>
      <c r="C56" s="36" t="s">
        <v>3922</v>
      </c>
      <c r="D56" s="36">
        <v>24570894</v>
      </c>
      <c r="E56" s="36">
        <v>3104556970</v>
      </c>
      <c r="F56" s="69" t="s">
        <v>3923</v>
      </c>
      <c r="G56" s="36" t="s">
        <v>3924</v>
      </c>
      <c r="H56" s="64" t="s">
        <v>25</v>
      </c>
      <c r="I56" s="61">
        <v>42000</v>
      </c>
      <c r="J56" s="61">
        <v>7980</v>
      </c>
      <c r="K56" s="61">
        <f t="shared" si="6"/>
        <v>49980</v>
      </c>
      <c r="L56" s="57" t="s">
        <v>234</v>
      </c>
      <c r="M56" s="82"/>
      <c r="N56" s="65"/>
      <c r="O56" s="66"/>
      <c r="P56" s="15" t="s">
        <v>3354</v>
      </c>
      <c r="Q56" s="15" t="s">
        <v>20</v>
      </c>
      <c r="R56" s="15"/>
      <c r="S56" s="36" t="s">
        <v>3925</v>
      </c>
      <c r="T56" s="36"/>
      <c r="U56" s="53" t="s">
        <v>3926</v>
      </c>
      <c r="V56" s="15"/>
      <c r="W56" s="15"/>
      <c r="X56" s="15"/>
      <c r="Y56" s="15"/>
    </row>
    <row r="57" spans="2:25" ht="14.25" customHeight="1" x14ac:dyDescent="0.25">
      <c r="B57" s="15"/>
      <c r="C57" s="36" t="s">
        <v>3927</v>
      </c>
      <c r="D57" s="36">
        <v>1094946361</v>
      </c>
      <c r="E57" s="36">
        <v>3041290878</v>
      </c>
      <c r="F57" s="36" t="s">
        <v>3928</v>
      </c>
      <c r="G57" s="36"/>
      <c r="H57" s="36" t="s">
        <v>105</v>
      </c>
      <c r="I57" s="61">
        <v>122000</v>
      </c>
      <c r="J57" s="61"/>
      <c r="K57" s="61">
        <v>122000</v>
      </c>
      <c r="L57" s="57" t="s">
        <v>234</v>
      </c>
      <c r="M57" s="346"/>
      <c r="N57" s="65"/>
      <c r="O57" s="66"/>
      <c r="P57" s="15" t="s">
        <v>3354</v>
      </c>
      <c r="Q57" s="15" t="s">
        <v>20</v>
      </c>
      <c r="R57" s="15"/>
      <c r="S57" s="36" t="s">
        <v>3377</v>
      </c>
      <c r="T57" s="36" t="s">
        <v>3929</v>
      </c>
      <c r="U57" s="53" t="s">
        <v>3930</v>
      </c>
      <c r="V57" s="14"/>
      <c r="W57" s="15"/>
      <c r="X57" s="15"/>
      <c r="Y57" s="15"/>
    </row>
    <row r="58" spans="2:25" ht="14.25" customHeight="1" x14ac:dyDescent="0.25">
      <c r="B58" s="15"/>
      <c r="C58" s="36" t="s">
        <v>3931</v>
      </c>
      <c r="D58" s="36">
        <v>66888962</v>
      </c>
      <c r="E58" s="36">
        <v>3117950904</v>
      </c>
      <c r="F58" s="36" t="s">
        <v>3932</v>
      </c>
      <c r="G58" s="36"/>
      <c r="H58" s="64" t="s">
        <v>5480</v>
      </c>
      <c r="I58" s="61">
        <v>82000</v>
      </c>
      <c r="J58" s="61"/>
      <c r="K58" s="61">
        <v>82000</v>
      </c>
      <c r="L58" s="57" t="s">
        <v>234</v>
      </c>
      <c r="M58" s="346"/>
      <c r="N58" s="65"/>
      <c r="O58" s="30"/>
      <c r="P58" s="15" t="s">
        <v>3354</v>
      </c>
      <c r="Q58" s="15" t="s">
        <v>20</v>
      </c>
      <c r="R58" s="15"/>
      <c r="S58" s="36" t="s">
        <v>2751</v>
      </c>
      <c r="T58" s="36" t="s">
        <v>3933</v>
      </c>
      <c r="U58" s="53" t="s">
        <v>3934</v>
      </c>
      <c r="V58" s="14"/>
      <c r="W58" s="15"/>
      <c r="X58" s="15"/>
      <c r="Y58" s="15"/>
    </row>
    <row r="59" spans="2:25" ht="14.25" customHeight="1" x14ac:dyDescent="0.25">
      <c r="B59" s="15"/>
      <c r="C59" s="36" t="s">
        <v>3935</v>
      </c>
      <c r="D59" s="36">
        <v>4378337</v>
      </c>
      <c r="E59" s="36">
        <v>3204597356</v>
      </c>
      <c r="F59" s="69" t="s">
        <v>3936</v>
      </c>
      <c r="G59" s="36" t="s">
        <v>3937</v>
      </c>
      <c r="H59" s="64" t="s">
        <v>25</v>
      </c>
      <c r="I59" s="61">
        <v>42000</v>
      </c>
      <c r="J59" s="61">
        <v>7980</v>
      </c>
      <c r="K59" s="61">
        <f t="shared" ref="K59:K61" si="7">I59+J59</f>
        <v>49980</v>
      </c>
      <c r="L59" s="57" t="s">
        <v>234</v>
      </c>
      <c r="M59" s="82"/>
      <c r="N59" s="65"/>
      <c r="O59" s="66"/>
      <c r="P59" s="15" t="s">
        <v>3354</v>
      </c>
      <c r="Q59" s="15" t="s">
        <v>20</v>
      </c>
      <c r="R59" s="15"/>
      <c r="S59" s="36" t="s">
        <v>3938</v>
      </c>
      <c r="T59" s="36"/>
      <c r="U59" s="53" t="s">
        <v>3939</v>
      </c>
      <c r="V59" s="15"/>
      <c r="W59" s="15"/>
      <c r="X59" s="15"/>
      <c r="Y59" s="15"/>
    </row>
    <row r="60" spans="2:25" ht="15" customHeight="1" x14ac:dyDescent="0.25">
      <c r="B60" s="15"/>
      <c r="C60" s="36" t="s">
        <v>3940</v>
      </c>
      <c r="D60" s="36">
        <v>1094916290</v>
      </c>
      <c r="E60" s="36">
        <v>3168826782</v>
      </c>
      <c r="F60" s="69" t="s">
        <v>3941</v>
      </c>
      <c r="G60" s="36" t="s">
        <v>3942</v>
      </c>
      <c r="H60" s="64" t="s">
        <v>25</v>
      </c>
      <c r="I60" s="61">
        <v>42000</v>
      </c>
      <c r="J60" s="61">
        <v>7980</v>
      </c>
      <c r="K60" s="61">
        <f t="shared" si="7"/>
        <v>49980</v>
      </c>
      <c r="L60" s="57" t="s">
        <v>234</v>
      </c>
      <c r="M60" s="82"/>
      <c r="N60" s="65"/>
      <c r="O60" s="66"/>
      <c r="P60" s="15" t="s">
        <v>3354</v>
      </c>
      <c r="Q60" s="15" t="s">
        <v>20</v>
      </c>
      <c r="R60" s="15"/>
      <c r="S60" s="36" t="s">
        <v>3943</v>
      </c>
      <c r="T60" s="36"/>
      <c r="U60" s="53" t="s">
        <v>3944</v>
      </c>
      <c r="V60" s="15"/>
      <c r="W60" s="15"/>
      <c r="X60" s="15"/>
      <c r="Y60" s="15"/>
    </row>
    <row r="61" spans="2:25" ht="14.25" customHeight="1" x14ac:dyDescent="0.25">
      <c r="B61" s="15"/>
      <c r="C61" s="36" t="s">
        <v>3945</v>
      </c>
      <c r="D61" s="36">
        <v>1094945286</v>
      </c>
      <c r="E61" s="36">
        <v>3217579086</v>
      </c>
      <c r="F61" s="69" t="s">
        <v>3946</v>
      </c>
      <c r="G61" s="36" t="s">
        <v>3947</v>
      </c>
      <c r="H61" s="64" t="s">
        <v>25</v>
      </c>
      <c r="I61" s="61">
        <v>42000</v>
      </c>
      <c r="J61" s="61">
        <v>7980</v>
      </c>
      <c r="K61" s="61">
        <f t="shared" si="7"/>
        <v>49980</v>
      </c>
      <c r="L61" s="57" t="s">
        <v>234</v>
      </c>
      <c r="M61" s="82"/>
      <c r="N61" s="65"/>
      <c r="O61" s="66"/>
      <c r="P61" s="15" t="s">
        <v>3354</v>
      </c>
      <c r="Q61" s="15" t="s">
        <v>20</v>
      </c>
      <c r="R61" s="15"/>
      <c r="S61" s="36" t="s">
        <v>3948</v>
      </c>
      <c r="T61" s="36"/>
      <c r="U61" s="53" t="s">
        <v>3949</v>
      </c>
      <c r="V61" s="15"/>
      <c r="W61" s="15"/>
      <c r="X61" s="15"/>
      <c r="Y61" s="15"/>
    </row>
    <row r="62" spans="2:25" ht="14.25" customHeight="1" x14ac:dyDescent="0.25">
      <c r="B62" s="15"/>
      <c r="C62" s="36" t="s">
        <v>3950</v>
      </c>
      <c r="D62" s="36">
        <v>29325992</v>
      </c>
      <c r="E62" s="36">
        <v>3206713607</v>
      </c>
      <c r="F62" s="36" t="s">
        <v>3951</v>
      </c>
      <c r="G62" s="36"/>
      <c r="H62" s="64" t="s">
        <v>25</v>
      </c>
      <c r="I62" s="61">
        <v>42000</v>
      </c>
      <c r="J62" s="61"/>
      <c r="K62" s="61">
        <v>42000</v>
      </c>
      <c r="L62" s="57" t="s">
        <v>234</v>
      </c>
      <c r="M62" s="346"/>
      <c r="N62" s="65"/>
      <c r="O62" s="66"/>
      <c r="P62" s="15" t="s">
        <v>3354</v>
      </c>
      <c r="Q62" s="15" t="s">
        <v>20</v>
      </c>
      <c r="R62" s="15"/>
      <c r="S62" s="36" t="s">
        <v>3676</v>
      </c>
      <c r="T62" s="36" t="s">
        <v>3677</v>
      </c>
      <c r="U62" s="47" t="s">
        <v>3952</v>
      </c>
      <c r="V62" s="14"/>
      <c r="W62" s="15"/>
      <c r="X62" s="15"/>
      <c r="Y62" s="15"/>
    </row>
    <row r="63" spans="2:25" ht="14.25" customHeight="1" x14ac:dyDescent="0.25">
      <c r="B63" s="339" t="s">
        <v>5635</v>
      </c>
      <c r="C63" s="64" t="s">
        <v>3679</v>
      </c>
      <c r="D63" s="64">
        <v>66961617</v>
      </c>
      <c r="E63" s="64">
        <v>3170900542</v>
      </c>
      <c r="F63" s="69" t="s">
        <v>3680</v>
      </c>
      <c r="G63" s="64" t="s">
        <v>3681</v>
      </c>
      <c r="H63" s="64" t="s">
        <v>188</v>
      </c>
      <c r="I63" s="65">
        <v>57000</v>
      </c>
      <c r="J63" s="65">
        <v>10830</v>
      </c>
      <c r="K63" s="65">
        <f>I63+J63</f>
        <v>67830</v>
      </c>
      <c r="L63" s="57" t="s">
        <v>234</v>
      </c>
      <c r="M63" s="82"/>
      <c r="N63" s="65"/>
      <c r="O63" s="66"/>
      <c r="P63" s="15" t="s">
        <v>3354</v>
      </c>
      <c r="Q63" s="15" t="s">
        <v>20</v>
      </c>
      <c r="R63" s="15"/>
      <c r="S63" s="64" t="s">
        <v>3682</v>
      </c>
      <c r="T63" s="64"/>
      <c r="U63" s="53" t="s">
        <v>3955</v>
      </c>
      <c r="V63" s="15"/>
      <c r="W63" s="15"/>
      <c r="X63" s="15"/>
      <c r="Y63" s="15"/>
    </row>
    <row r="64" spans="2:25" ht="14.25" customHeight="1" x14ac:dyDescent="0.25">
      <c r="B64" s="15"/>
      <c r="C64" s="36" t="s">
        <v>3956</v>
      </c>
      <c r="D64" s="36">
        <v>7520586</v>
      </c>
      <c r="E64" s="36">
        <v>3152233919</v>
      </c>
      <c r="F64" s="69" t="s">
        <v>3957</v>
      </c>
      <c r="G64" s="36" t="s">
        <v>303</v>
      </c>
      <c r="H64" s="64" t="s">
        <v>25</v>
      </c>
      <c r="I64" s="61">
        <v>42000</v>
      </c>
      <c r="J64" s="61">
        <v>7980</v>
      </c>
      <c r="K64" s="61">
        <f t="shared" ref="K64" si="8">I64+J64</f>
        <v>49980</v>
      </c>
      <c r="L64" s="57" t="s">
        <v>234</v>
      </c>
      <c r="M64" s="82"/>
      <c r="N64" s="65"/>
      <c r="O64" s="66"/>
      <c r="P64" s="15" t="s">
        <v>3354</v>
      </c>
      <c r="Q64" s="15" t="s">
        <v>20</v>
      </c>
      <c r="R64" s="15"/>
      <c r="S64" s="36" t="s">
        <v>3958</v>
      </c>
      <c r="T64" s="36"/>
      <c r="U64" s="63" t="s">
        <v>3959</v>
      </c>
      <c r="V64" s="15"/>
      <c r="W64" s="15"/>
      <c r="X64" s="15"/>
      <c r="Y64" s="15"/>
    </row>
    <row r="65" spans="2:25" ht="14.25" customHeight="1" x14ac:dyDescent="0.25">
      <c r="B65" s="15"/>
      <c r="C65" s="36" t="s">
        <v>3960</v>
      </c>
      <c r="D65" s="36">
        <v>41892153</v>
      </c>
      <c r="E65" s="36">
        <v>3147101148</v>
      </c>
      <c r="F65" s="36" t="s">
        <v>3961</v>
      </c>
      <c r="G65" s="36"/>
      <c r="H65" s="64" t="s">
        <v>25</v>
      </c>
      <c r="I65" s="61">
        <v>42000</v>
      </c>
      <c r="J65" s="61">
        <v>7980</v>
      </c>
      <c r="K65" s="61">
        <v>49980</v>
      </c>
      <c r="L65" s="57" t="s">
        <v>234</v>
      </c>
      <c r="M65" s="346"/>
      <c r="N65" s="65"/>
      <c r="O65" s="66"/>
      <c r="P65" s="15" t="s">
        <v>3354</v>
      </c>
      <c r="Q65" s="15" t="s">
        <v>20</v>
      </c>
      <c r="R65" s="15"/>
      <c r="S65" s="36" t="s">
        <v>3962</v>
      </c>
      <c r="T65" s="36"/>
      <c r="U65" s="47" t="s">
        <v>3963</v>
      </c>
      <c r="V65" s="14"/>
      <c r="W65" s="15"/>
      <c r="X65" s="15"/>
      <c r="Y65" s="15"/>
    </row>
    <row r="66" spans="2:25" ht="14.25" customHeight="1" x14ac:dyDescent="0.25">
      <c r="B66" s="15"/>
      <c r="C66" s="36" t="s">
        <v>3964</v>
      </c>
      <c r="D66" s="36">
        <v>41627942</v>
      </c>
      <c r="E66" s="36">
        <v>3215068214</v>
      </c>
      <c r="F66" s="69" t="s">
        <v>3965</v>
      </c>
      <c r="G66" s="36" t="s">
        <v>3966</v>
      </c>
      <c r="H66" s="64" t="s">
        <v>25</v>
      </c>
      <c r="I66" s="61">
        <v>42000</v>
      </c>
      <c r="J66" s="61">
        <v>7980</v>
      </c>
      <c r="K66" s="61">
        <f>I66+J66</f>
        <v>49980</v>
      </c>
      <c r="L66" s="57" t="s">
        <v>234</v>
      </c>
      <c r="M66" s="82"/>
      <c r="N66" s="65"/>
      <c r="O66" s="66"/>
      <c r="P66" s="15" t="s">
        <v>3354</v>
      </c>
      <c r="Q66" s="15" t="s">
        <v>20</v>
      </c>
      <c r="R66" s="15"/>
      <c r="S66" s="36" t="s">
        <v>3967</v>
      </c>
      <c r="T66" s="36"/>
      <c r="U66" s="53" t="s">
        <v>3968</v>
      </c>
      <c r="V66" s="14"/>
      <c r="W66" s="15"/>
      <c r="X66" s="15"/>
      <c r="Y66" s="15"/>
    </row>
    <row r="67" spans="2:25" ht="14.25" customHeight="1" x14ac:dyDescent="0.25">
      <c r="B67" s="15"/>
      <c r="C67" s="15" t="s">
        <v>3969</v>
      </c>
      <c r="D67" s="17">
        <v>25014794</v>
      </c>
      <c r="E67" s="17">
        <v>3007830565</v>
      </c>
      <c r="F67" s="17" t="s">
        <v>3970</v>
      </c>
      <c r="G67" s="17"/>
      <c r="H67" s="64" t="s">
        <v>25</v>
      </c>
      <c r="I67" s="61">
        <v>42000</v>
      </c>
      <c r="J67" s="61">
        <v>7980</v>
      </c>
      <c r="K67" s="61">
        <v>49980</v>
      </c>
      <c r="L67" s="57" t="s">
        <v>234</v>
      </c>
      <c r="M67" s="346"/>
      <c r="N67" s="65"/>
      <c r="O67" s="66"/>
      <c r="P67" s="15" t="s">
        <v>3354</v>
      </c>
      <c r="Q67" s="15" t="s">
        <v>20</v>
      </c>
      <c r="R67" s="15"/>
      <c r="S67" s="15" t="s">
        <v>3971</v>
      </c>
      <c r="T67" s="36"/>
      <c r="U67" s="31" t="s">
        <v>3972</v>
      </c>
      <c r="V67" s="14"/>
      <c r="W67" s="15"/>
      <c r="X67" s="15"/>
      <c r="Y67" s="15"/>
    </row>
    <row r="68" spans="2:25" ht="14.25" customHeight="1" x14ac:dyDescent="0.25">
      <c r="B68" s="15"/>
      <c r="C68" s="36" t="s">
        <v>3973</v>
      </c>
      <c r="D68" s="36">
        <v>34043527</v>
      </c>
      <c r="E68" s="36">
        <v>3113344372</v>
      </c>
      <c r="F68" s="36" t="s">
        <v>3974</v>
      </c>
      <c r="G68" s="36"/>
      <c r="H68" s="64" t="s">
        <v>25</v>
      </c>
      <c r="I68" s="61">
        <v>42000</v>
      </c>
      <c r="J68" s="61">
        <v>7980</v>
      </c>
      <c r="K68" s="61">
        <v>49980</v>
      </c>
      <c r="L68" s="57" t="s">
        <v>234</v>
      </c>
      <c r="M68" s="346"/>
      <c r="N68" s="65"/>
      <c r="O68" s="66"/>
      <c r="P68" s="15" t="s">
        <v>3354</v>
      </c>
      <c r="Q68" s="15" t="s">
        <v>20</v>
      </c>
      <c r="R68" s="15"/>
      <c r="S68" s="15" t="s">
        <v>3975</v>
      </c>
      <c r="T68" s="36"/>
      <c r="U68" s="47" t="s">
        <v>3976</v>
      </c>
      <c r="V68" s="14"/>
      <c r="W68" s="15"/>
      <c r="X68" s="15"/>
      <c r="Y68" s="15"/>
    </row>
    <row r="69" spans="2:25" ht="14.25" customHeight="1" x14ac:dyDescent="0.25">
      <c r="B69" s="15"/>
      <c r="C69" s="36" t="s">
        <v>3977</v>
      </c>
      <c r="D69" s="36">
        <v>6209873</v>
      </c>
      <c r="E69" s="36">
        <v>3127770415</v>
      </c>
      <c r="F69" s="36" t="s">
        <v>3978</v>
      </c>
      <c r="G69" s="36" t="s">
        <v>3979</v>
      </c>
      <c r="H69" s="64" t="s">
        <v>25</v>
      </c>
      <c r="I69" s="61">
        <v>42000</v>
      </c>
      <c r="J69" s="61"/>
      <c r="K69" s="61">
        <v>42000</v>
      </c>
      <c r="L69" s="57" t="s">
        <v>234</v>
      </c>
      <c r="M69" s="346"/>
      <c r="N69" s="65"/>
      <c r="O69" s="66"/>
      <c r="P69" s="15" t="s">
        <v>3354</v>
      </c>
      <c r="Q69" s="15" t="s">
        <v>20</v>
      </c>
      <c r="R69" s="15"/>
      <c r="S69" s="15" t="s">
        <v>3980</v>
      </c>
      <c r="T69" s="36"/>
      <c r="U69" s="47" t="s">
        <v>3981</v>
      </c>
      <c r="V69" s="14"/>
      <c r="W69" s="15"/>
      <c r="X69" s="15"/>
      <c r="Y69" s="15"/>
    </row>
    <row r="70" spans="2:25" ht="14.25" customHeight="1" x14ac:dyDescent="0.25">
      <c r="B70" s="15"/>
      <c r="C70" s="36" t="s">
        <v>3982</v>
      </c>
      <c r="D70" s="36">
        <v>16583504</v>
      </c>
      <c r="E70" s="36">
        <v>3106783868</v>
      </c>
      <c r="F70" s="69" t="s">
        <v>3983</v>
      </c>
      <c r="G70" s="36" t="s">
        <v>3984</v>
      </c>
      <c r="H70" s="36" t="s">
        <v>105</v>
      </c>
      <c r="I70" s="61">
        <v>102000</v>
      </c>
      <c r="J70" s="61">
        <v>19380</v>
      </c>
      <c r="K70" s="61">
        <f>I70+J70</f>
        <v>121380</v>
      </c>
      <c r="L70" s="57" t="s">
        <v>234</v>
      </c>
      <c r="M70" s="82"/>
      <c r="N70" s="65"/>
      <c r="O70" s="66"/>
      <c r="P70" s="15" t="s">
        <v>3354</v>
      </c>
      <c r="Q70" s="15" t="s">
        <v>20</v>
      </c>
      <c r="R70" s="15"/>
      <c r="S70" s="36" t="s">
        <v>3985</v>
      </c>
      <c r="T70" s="36"/>
      <c r="U70" s="53" t="s">
        <v>3986</v>
      </c>
      <c r="V70" s="14"/>
      <c r="W70" s="15"/>
      <c r="X70" s="15"/>
      <c r="Y70" s="15"/>
    </row>
    <row r="71" spans="2:25" ht="14.25" customHeight="1" x14ac:dyDescent="0.25">
      <c r="B71" s="15"/>
      <c r="C71" s="36" t="s">
        <v>3987</v>
      </c>
      <c r="D71" s="36">
        <v>16832614</v>
      </c>
      <c r="E71" s="36">
        <v>3207258927</v>
      </c>
      <c r="F71" s="69" t="s">
        <v>3988</v>
      </c>
      <c r="G71" s="36"/>
      <c r="H71" s="64" t="s">
        <v>5480</v>
      </c>
      <c r="I71" s="61">
        <v>82000</v>
      </c>
      <c r="J71" s="61"/>
      <c r="K71" s="61">
        <v>82000</v>
      </c>
      <c r="L71" s="57" t="s">
        <v>234</v>
      </c>
      <c r="M71" s="346"/>
      <c r="N71" s="65"/>
      <c r="O71" s="66"/>
      <c r="P71" s="15" t="s">
        <v>3354</v>
      </c>
      <c r="Q71" s="15" t="s">
        <v>20</v>
      </c>
      <c r="R71" s="15"/>
      <c r="S71" s="36" t="s">
        <v>3989</v>
      </c>
      <c r="T71" s="36" t="s">
        <v>3990</v>
      </c>
      <c r="U71" s="47" t="s">
        <v>3991</v>
      </c>
      <c r="V71" s="14"/>
      <c r="W71" s="15"/>
      <c r="X71" s="15"/>
      <c r="Y71" s="15"/>
    </row>
    <row r="72" spans="2:25" ht="14.25" customHeight="1" x14ac:dyDescent="0.25">
      <c r="B72" s="15"/>
      <c r="C72" s="36" t="s">
        <v>3992</v>
      </c>
      <c r="D72" s="36">
        <v>94251603</v>
      </c>
      <c r="E72" s="36">
        <v>3104930127</v>
      </c>
      <c r="F72" s="69" t="s">
        <v>3993</v>
      </c>
      <c r="G72" s="36" t="s">
        <v>3994</v>
      </c>
      <c r="H72" s="64" t="s">
        <v>25</v>
      </c>
      <c r="I72" s="61">
        <v>42000</v>
      </c>
      <c r="J72" s="61"/>
      <c r="K72" s="61">
        <f>I72+J72</f>
        <v>42000</v>
      </c>
      <c r="L72" s="57" t="s">
        <v>234</v>
      </c>
      <c r="M72" s="82"/>
      <c r="N72" s="65"/>
      <c r="O72" s="66"/>
      <c r="P72" s="15" t="s">
        <v>3354</v>
      </c>
      <c r="Q72" s="15" t="s">
        <v>20</v>
      </c>
      <c r="R72" s="15"/>
      <c r="S72" s="36"/>
      <c r="T72" s="36" t="s">
        <v>3995</v>
      </c>
      <c r="U72" s="53" t="s">
        <v>3996</v>
      </c>
      <c r="V72" s="14"/>
      <c r="W72" s="15"/>
      <c r="X72" s="15"/>
      <c r="Y72" s="15"/>
    </row>
    <row r="73" spans="2:25" ht="14.25" customHeight="1" x14ac:dyDescent="0.25">
      <c r="B73" s="15"/>
      <c r="C73" s="36" t="s">
        <v>3997</v>
      </c>
      <c r="D73" s="36">
        <v>7502480</v>
      </c>
      <c r="E73" s="36">
        <v>3176462889</v>
      </c>
      <c r="F73" s="36" t="s">
        <v>3998</v>
      </c>
      <c r="G73" s="36"/>
      <c r="H73" s="36" t="s">
        <v>54</v>
      </c>
      <c r="I73" s="61">
        <v>67000</v>
      </c>
      <c r="J73" s="61">
        <v>12730</v>
      </c>
      <c r="K73" s="61">
        <v>79730</v>
      </c>
      <c r="L73" s="57" t="s">
        <v>234</v>
      </c>
      <c r="M73" s="346"/>
      <c r="N73" s="65"/>
      <c r="O73" s="66"/>
      <c r="P73" s="15" t="s">
        <v>3354</v>
      </c>
      <c r="Q73" s="15" t="s">
        <v>20</v>
      </c>
      <c r="R73" s="15"/>
      <c r="S73" s="36" t="s">
        <v>3999</v>
      </c>
      <c r="T73" s="36"/>
      <c r="U73" s="47" t="s">
        <v>4000</v>
      </c>
      <c r="V73" s="14"/>
      <c r="W73" s="15"/>
      <c r="X73" s="15"/>
      <c r="Y73" s="15"/>
    </row>
    <row r="74" spans="2:25" ht="14.25" customHeight="1" x14ac:dyDescent="0.25">
      <c r="B74" s="15"/>
      <c r="C74" s="36" t="s">
        <v>4001</v>
      </c>
      <c r="D74" s="36">
        <v>43024297</v>
      </c>
      <c r="E74" s="36">
        <v>3105451153</v>
      </c>
      <c r="F74" s="69" t="s">
        <v>4002</v>
      </c>
      <c r="G74" s="36"/>
      <c r="H74" s="64" t="s">
        <v>5480</v>
      </c>
      <c r="I74" s="61">
        <v>82000</v>
      </c>
      <c r="J74" s="61"/>
      <c r="K74" s="61">
        <v>82000</v>
      </c>
      <c r="L74" s="57" t="s">
        <v>234</v>
      </c>
      <c r="M74" s="346"/>
      <c r="N74" s="61"/>
      <c r="O74" s="66"/>
      <c r="P74" s="15" t="s">
        <v>3354</v>
      </c>
      <c r="Q74" s="15" t="s">
        <v>20</v>
      </c>
      <c r="R74" s="15"/>
      <c r="S74" s="36" t="s">
        <v>4003</v>
      </c>
      <c r="T74" s="36" t="s">
        <v>4004</v>
      </c>
      <c r="U74" s="53" t="s">
        <v>4005</v>
      </c>
      <c r="V74" s="14"/>
      <c r="W74" s="15"/>
      <c r="X74" s="15"/>
      <c r="Y74" s="15"/>
    </row>
    <row r="75" spans="2:25" ht="14.25" customHeight="1" x14ac:dyDescent="0.25">
      <c r="B75" s="15"/>
      <c r="C75" s="36" t="s">
        <v>4006</v>
      </c>
      <c r="D75" s="36">
        <v>1094915514</v>
      </c>
      <c r="E75" s="36">
        <v>3145664511</v>
      </c>
      <c r="F75" s="69" t="s">
        <v>4007</v>
      </c>
      <c r="G75" s="36"/>
      <c r="H75" s="64" t="s">
        <v>188</v>
      </c>
      <c r="I75" s="61">
        <v>57000</v>
      </c>
      <c r="J75" s="61"/>
      <c r="K75" s="61">
        <f>I75+J75</f>
        <v>57000</v>
      </c>
      <c r="L75" s="57" t="s">
        <v>234</v>
      </c>
      <c r="M75" s="82"/>
      <c r="N75" s="65"/>
      <c r="O75" s="66"/>
      <c r="P75" s="15" t="s">
        <v>3354</v>
      </c>
      <c r="Q75" s="15" t="s">
        <v>20</v>
      </c>
      <c r="R75" s="15"/>
      <c r="S75" s="36" t="s">
        <v>4008</v>
      </c>
      <c r="T75" s="36" t="s">
        <v>4008</v>
      </c>
      <c r="U75" s="53" t="s">
        <v>4009</v>
      </c>
      <c r="V75" s="15"/>
      <c r="W75" s="15"/>
      <c r="X75" s="15"/>
      <c r="Y75" s="15"/>
    </row>
    <row r="76" spans="2:25" ht="14.25" customHeight="1" x14ac:dyDescent="0.25">
      <c r="B76" s="15"/>
      <c r="C76" s="36" t="s">
        <v>4010</v>
      </c>
      <c r="D76" s="36">
        <v>1114091544</v>
      </c>
      <c r="E76" s="36" t="s">
        <v>4011</v>
      </c>
      <c r="F76" s="69" t="s">
        <v>4012</v>
      </c>
      <c r="G76" s="36" t="s">
        <v>4013</v>
      </c>
      <c r="H76" s="64" t="s">
        <v>25</v>
      </c>
      <c r="I76" s="61">
        <v>42000</v>
      </c>
      <c r="J76" s="61"/>
      <c r="K76" s="61">
        <v>42000</v>
      </c>
      <c r="L76" s="57" t="s">
        <v>234</v>
      </c>
      <c r="M76" s="346"/>
      <c r="N76" s="65"/>
      <c r="O76" s="66"/>
      <c r="P76" s="15" t="s">
        <v>3354</v>
      </c>
      <c r="Q76" s="15" t="s">
        <v>20</v>
      </c>
      <c r="R76" s="15"/>
      <c r="S76" s="36" t="s">
        <v>4014</v>
      </c>
      <c r="T76" s="36"/>
      <c r="U76" s="47" t="s">
        <v>4015</v>
      </c>
      <c r="V76" s="14"/>
      <c r="W76" s="15"/>
      <c r="X76" s="15"/>
      <c r="Y76" s="15"/>
    </row>
    <row r="77" spans="2:25" ht="14.25" customHeight="1" x14ac:dyDescent="0.25">
      <c r="B77" s="15"/>
      <c r="C77" s="36" t="s">
        <v>4016</v>
      </c>
      <c r="D77" s="36">
        <v>94251920</v>
      </c>
      <c r="E77" s="36">
        <v>3113007724</v>
      </c>
      <c r="F77" s="69" t="s">
        <v>4017</v>
      </c>
      <c r="G77" s="36"/>
      <c r="H77" s="64" t="s">
        <v>5480</v>
      </c>
      <c r="I77" s="61">
        <v>82000</v>
      </c>
      <c r="J77" s="61"/>
      <c r="K77" s="61">
        <v>82000</v>
      </c>
      <c r="L77" s="57" t="s">
        <v>234</v>
      </c>
      <c r="M77" s="346"/>
      <c r="N77" s="65"/>
      <c r="O77" s="66"/>
      <c r="P77" s="15" t="s">
        <v>3354</v>
      </c>
      <c r="Q77" s="15" t="s">
        <v>20</v>
      </c>
      <c r="R77" s="15"/>
      <c r="S77" s="36" t="s">
        <v>4018</v>
      </c>
      <c r="T77" s="36" t="s">
        <v>4019</v>
      </c>
      <c r="U77" s="86" t="s">
        <v>4020</v>
      </c>
      <c r="V77" s="14"/>
      <c r="W77" s="15"/>
      <c r="X77" s="15"/>
      <c r="Y77" s="15"/>
    </row>
    <row r="78" spans="2:25" ht="14.25" customHeight="1" x14ac:dyDescent="0.25">
      <c r="B78" s="15"/>
      <c r="C78" s="36" t="s">
        <v>4021</v>
      </c>
      <c r="D78" s="36">
        <v>1125780489</v>
      </c>
      <c r="E78" s="36">
        <v>3106704149</v>
      </c>
      <c r="F78" s="36" t="s">
        <v>4022</v>
      </c>
      <c r="G78" s="36" t="s">
        <v>4023</v>
      </c>
      <c r="H78" s="64" t="s">
        <v>5480</v>
      </c>
      <c r="I78" s="61">
        <v>82000</v>
      </c>
      <c r="J78" s="61"/>
      <c r="K78" s="61">
        <v>82000</v>
      </c>
      <c r="L78" s="57" t="s">
        <v>234</v>
      </c>
      <c r="M78" s="346"/>
      <c r="N78" s="65"/>
      <c r="O78" s="66"/>
      <c r="P78" s="15" t="s">
        <v>3354</v>
      </c>
      <c r="Q78" s="15" t="s">
        <v>20</v>
      </c>
      <c r="R78" s="15"/>
      <c r="S78" s="36" t="s">
        <v>3999</v>
      </c>
      <c r="T78" s="36" t="s">
        <v>4024</v>
      </c>
      <c r="U78" s="63"/>
      <c r="V78" s="14"/>
      <c r="W78" s="15"/>
      <c r="X78" s="15"/>
      <c r="Y78" s="15"/>
    </row>
    <row r="79" spans="2:25" ht="14.25" customHeight="1" x14ac:dyDescent="0.25">
      <c r="B79" s="15"/>
      <c r="C79" s="71" t="s">
        <v>4025</v>
      </c>
      <c r="D79" s="71">
        <v>1115187941</v>
      </c>
      <c r="E79" s="71" t="s">
        <v>4026</v>
      </c>
      <c r="F79" s="36" t="s">
        <v>4027</v>
      </c>
      <c r="G79" s="36"/>
      <c r="H79" s="36" t="s">
        <v>3717</v>
      </c>
      <c r="I79" s="61">
        <v>122000</v>
      </c>
      <c r="J79" s="61"/>
      <c r="K79" s="61">
        <v>122000</v>
      </c>
      <c r="L79" s="57" t="s">
        <v>234</v>
      </c>
      <c r="M79" s="346"/>
      <c r="N79" s="65"/>
      <c r="O79" s="66"/>
      <c r="P79" s="15" t="s">
        <v>3354</v>
      </c>
      <c r="Q79" s="15" t="s">
        <v>20</v>
      </c>
      <c r="R79" s="15"/>
      <c r="S79" s="36" t="s">
        <v>4028</v>
      </c>
      <c r="T79" s="36" t="s">
        <v>4029</v>
      </c>
      <c r="U79" s="47" t="s">
        <v>4030</v>
      </c>
      <c r="V79" s="14"/>
      <c r="W79" s="15"/>
      <c r="X79" s="15"/>
      <c r="Y79" s="15"/>
    </row>
    <row r="80" spans="2:25" ht="14.25" customHeight="1" x14ac:dyDescent="0.25">
      <c r="B80" s="15"/>
      <c r="C80" s="36" t="s">
        <v>4031</v>
      </c>
      <c r="D80" s="36">
        <v>29329458</v>
      </c>
      <c r="E80" s="36">
        <v>3113035094</v>
      </c>
      <c r="F80" s="69" t="s">
        <v>4032</v>
      </c>
      <c r="G80" s="36"/>
      <c r="H80" s="64" t="s">
        <v>25</v>
      </c>
      <c r="I80" s="61">
        <v>42000</v>
      </c>
      <c r="J80" s="61"/>
      <c r="K80" s="61">
        <v>42000</v>
      </c>
      <c r="L80" s="57" t="s">
        <v>234</v>
      </c>
      <c r="M80" s="346"/>
      <c r="N80" s="65"/>
      <c r="O80" s="66"/>
      <c r="P80" s="15" t="s">
        <v>3354</v>
      </c>
      <c r="Q80" s="15" t="s">
        <v>20</v>
      </c>
      <c r="R80" s="15"/>
      <c r="S80" s="36" t="s">
        <v>3676</v>
      </c>
      <c r="T80" s="36" t="s">
        <v>3677</v>
      </c>
      <c r="U80" s="47" t="s">
        <v>4033</v>
      </c>
      <c r="V80" s="14"/>
      <c r="W80" s="15"/>
      <c r="X80" s="15"/>
      <c r="Y80" s="15"/>
    </row>
    <row r="81" spans="2:25" ht="14.25" customHeight="1" x14ac:dyDescent="0.25">
      <c r="B81" s="15"/>
      <c r="C81" s="36" t="s">
        <v>4034</v>
      </c>
      <c r="D81" s="36">
        <v>112753618</v>
      </c>
      <c r="E81" s="36">
        <v>3122508645</v>
      </c>
      <c r="F81" s="69" t="s">
        <v>4035</v>
      </c>
      <c r="G81" s="36"/>
      <c r="H81" s="36" t="s">
        <v>4036</v>
      </c>
      <c r="I81" s="61">
        <v>142000</v>
      </c>
      <c r="J81" s="61">
        <v>26980</v>
      </c>
      <c r="K81" s="61">
        <v>168980</v>
      </c>
      <c r="L81" s="57" t="s">
        <v>234</v>
      </c>
      <c r="M81" s="346"/>
      <c r="N81" s="65"/>
      <c r="O81" s="66"/>
      <c r="P81" s="15" t="s">
        <v>3354</v>
      </c>
      <c r="Q81" s="15" t="s">
        <v>20</v>
      </c>
      <c r="R81" s="15"/>
      <c r="S81" s="36" t="s">
        <v>4037</v>
      </c>
      <c r="T81" s="36"/>
      <c r="U81" s="86" t="s">
        <v>4038</v>
      </c>
      <c r="V81" s="14"/>
      <c r="W81" s="15"/>
      <c r="X81" s="15"/>
      <c r="Y81" s="15"/>
    </row>
    <row r="82" spans="2:25" ht="14.25" customHeight="1" x14ac:dyDescent="0.25">
      <c r="B82" s="15"/>
      <c r="C82" s="36" t="s">
        <v>3647</v>
      </c>
      <c r="D82" s="36">
        <v>801004740</v>
      </c>
      <c r="E82" s="36">
        <v>3108926324</v>
      </c>
      <c r="F82" s="69" t="s">
        <v>4039</v>
      </c>
      <c r="G82" s="36"/>
      <c r="H82" s="36"/>
      <c r="I82" s="61">
        <v>100000</v>
      </c>
      <c r="J82" s="61">
        <v>19000</v>
      </c>
      <c r="K82" s="61">
        <v>119000</v>
      </c>
      <c r="L82" s="57" t="s">
        <v>234</v>
      </c>
      <c r="M82" s="346"/>
      <c r="N82" s="61"/>
      <c r="O82" s="66"/>
      <c r="P82" s="15" t="s">
        <v>3354</v>
      </c>
      <c r="Q82" s="15" t="s">
        <v>20</v>
      </c>
      <c r="R82" s="15"/>
      <c r="S82" s="36" t="s">
        <v>4040</v>
      </c>
      <c r="T82" s="36" t="s">
        <v>4041</v>
      </c>
      <c r="U82" s="47" t="s">
        <v>4042</v>
      </c>
      <c r="V82" s="14"/>
      <c r="W82" s="15"/>
      <c r="X82" s="15"/>
      <c r="Y82" s="15"/>
    </row>
    <row r="83" spans="2:25" ht="14.25" customHeight="1" x14ac:dyDescent="0.25">
      <c r="B83" s="15"/>
      <c r="C83" s="36" t="s">
        <v>4043</v>
      </c>
      <c r="D83" s="36">
        <v>7537103</v>
      </c>
      <c r="E83" s="36">
        <v>3104154372</v>
      </c>
      <c r="F83" s="36" t="s">
        <v>4044</v>
      </c>
      <c r="G83" s="36"/>
      <c r="H83" s="64" t="s">
        <v>25</v>
      </c>
      <c r="I83" s="61">
        <v>42000</v>
      </c>
      <c r="J83" s="61">
        <v>7980</v>
      </c>
      <c r="K83" s="61">
        <v>49980</v>
      </c>
      <c r="L83" s="57" t="s">
        <v>234</v>
      </c>
      <c r="M83" s="346"/>
      <c r="N83" s="65"/>
      <c r="O83" s="66"/>
      <c r="P83" s="15" t="s">
        <v>3354</v>
      </c>
      <c r="Q83" s="15" t="s">
        <v>20</v>
      </c>
      <c r="R83" s="15"/>
      <c r="S83" s="36" t="s">
        <v>4045</v>
      </c>
      <c r="T83" s="36" t="s">
        <v>4046</v>
      </c>
      <c r="U83" s="47" t="s">
        <v>4047</v>
      </c>
      <c r="V83" s="14"/>
      <c r="W83" s="15"/>
      <c r="X83" s="15"/>
      <c r="Y83" s="15"/>
    </row>
    <row r="84" spans="2:25" ht="14.25" customHeight="1" x14ac:dyDescent="0.25">
      <c r="B84" s="15"/>
      <c r="C84" s="36" t="s">
        <v>4048</v>
      </c>
      <c r="D84" s="36">
        <v>94253980</v>
      </c>
      <c r="E84" s="36">
        <v>3117598233</v>
      </c>
      <c r="F84" s="36" t="s">
        <v>4049</v>
      </c>
      <c r="G84" s="36"/>
      <c r="H84" s="36" t="s">
        <v>421</v>
      </c>
      <c r="I84" s="61">
        <v>82000</v>
      </c>
      <c r="J84" s="61"/>
      <c r="K84" s="61">
        <v>82000</v>
      </c>
      <c r="L84" s="57" t="s">
        <v>234</v>
      </c>
      <c r="M84" s="346"/>
      <c r="N84" s="65"/>
      <c r="O84" s="66"/>
      <c r="P84" s="15" t="s">
        <v>3354</v>
      </c>
      <c r="Q84" s="15" t="s">
        <v>20</v>
      </c>
      <c r="R84" s="15"/>
      <c r="S84" s="36" t="s">
        <v>4050</v>
      </c>
      <c r="T84" s="36" t="s">
        <v>4051</v>
      </c>
      <c r="U84" s="63"/>
      <c r="V84" s="14"/>
      <c r="W84" s="15"/>
      <c r="X84" s="15"/>
      <c r="Y84" s="15"/>
    </row>
    <row r="85" spans="2:25" ht="14.25" customHeight="1" x14ac:dyDescent="0.25">
      <c r="B85" s="15"/>
      <c r="C85" s="36" t="s">
        <v>4052</v>
      </c>
      <c r="D85" s="36">
        <v>94250498</v>
      </c>
      <c r="E85" s="36" t="s">
        <v>4053</v>
      </c>
      <c r="F85" s="36" t="s">
        <v>4054</v>
      </c>
      <c r="G85" s="36" t="s">
        <v>4055</v>
      </c>
      <c r="H85" s="36" t="s">
        <v>105</v>
      </c>
      <c r="I85" s="61">
        <v>102000</v>
      </c>
      <c r="J85" s="61"/>
      <c r="K85" s="61">
        <v>102000</v>
      </c>
      <c r="L85" s="57" t="s">
        <v>234</v>
      </c>
      <c r="M85" s="346"/>
      <c r="N85" s="65"/>
      <c r="O85" s="66"/>
      <c r="P85" s="15" t="s">
        <v>3354</v>
      </c>
      <c r="Q85" s="15" t="s">
        <v>20</v>
      </c>
      <c r="R85" s="15"/>
      <c r="S85" s="36" t="s">
        <v>3999</v>
      </c>
      <c r="T85" s="36" t="s">
        <v>4056</v>
      </c>
      <c r="U85" s="63"/>
      <c r="V85" s="14"/>
      <c r="W85" s="15"/>
      <c r="X85" s="15"/>
      <c r="Y85" s="15"/>
    </row>
    <row r="86" spans="2:25" ht="14.25" customHeight="1" x14ac:dyDescent="0.25">
      <c r="B86" s="15"/>
      <c r="C86" s="36" t="s">
        <v>3647</v>
      </c>
      <c r="D86" s="36">
        <v>801004740</v>
      </c>
      <c r="E86" s="36">
        <v>3108926324</v>
      </c>
      <c r="F86" s="69" t="s">
        <v>4057</v>
      </c>
      <c r="G86" s="36"/>
      <c r="H86" s="36"/>
      <c r="I86" s="61">
        <v>100000</v>
      </c>
      <c r="J86" s="61">
        <v>19000</v>
      </c>
      <c r="K86" s="61">
        <v>119000</v>
      </c>
      <c r="L86" s="57" t="s">
        <v>234</v>
      </c>
      <c r="M86" s="346"/>
      <c r="N86" s="61"/>
      <c r="O86" s="66"/>
      <c r="P86" s="15" t="s">
        <v>3354</v>
      </c>
      <c r="Q86" s="15" t="s">
        <v>20</v>
      </c>
      <c r="R86" s="15"/>
      <c r="S86" s="36" t="s">
        <v>4040</v>
      </c>
      <c r="T86" s="36" t="s">
        <v>4041</v>
      </c>
      <c r="U86" s="47" t="s">
        <v>4042</v>
      </c>
      <c r="V86" s="14"/>
      <c r="W86" s="15"/>
      <c r="X86" s="15"/>
      <c r="Y86" s="15"/>
    </row>
    <row r="87" spans="2:25" ht="14.25" customHeight="1" x14ac:dyDescent="0.25">
      <c r="B87" s="15"/>
      <c r="C87" s="36" t="s">
        <v>4058</v>
      </c>
      <c r="D87" s="36">
        <v>1115189493</v>
      </c>
      <c r="E87" s="36" t="s">
        <v>4059</v>
      </c>
      <c r="F87" s="69" t="s">
        <v>4060</v>
      </c>
      <c r="G87" s="36"/>
      <c r="H87" s="64" t="s">
        <v>5480</v>
      </c>
      <c r="I87" s="61">
        <v>82000</v>
      </c>
      <c r="J87" s="61"/>
      <c r="K87" s="61">
        <v>82000</v>
      </c>
      <c r="L87" s="57" t="s">
        <v>234</v>
      </c>
      <c r="M87" s="346"/>
      <c r="N87" s="65"/>
      <c r="O87" s="66"/>
      <c r="P87" s="15" t="s">
        <v>3354</v>
      </c>
      <c r="Q87" s="15" t="s">
        <v>20</v>
      </c>
      <c r="R87" s="15"/>
      <c r="S87" s="36" t="s">
        <v>4061</v>
      </c>
      <c r="T87" s="36" t="s">
        <v>916</v>
      </c>
      <c r="U87" s="47" t="s">
        <v>4062</v>
      </c>
      <c r="V87" s="14"/>
      <c r="W87" s="15"/>
      <c r="X87" s="15"/>
      <c r="Y87" s="15"/>
    </row>
    <row r="88" spans="2:25" ht="14.25" customHeight="1" x14ac:dyDescent="0.25">
      <c r="B88" s="355" t="s">
        <v>5488</v>
      </c>
      <c r="C88" s="356" t="s">
        <v>4063</v>
      </c>
      <c r="D88" s="143">
        <v>66962765</v>
      </c>
      <c r="E88" s="143" t="s">
        <v>4064</v>
      </c>
      <c r="F88" s="143" t="s">
        <v>4065</v>
      </c>
      <c r="G88" s="36" t="s">
        <v>4066</v>
      </c>
      <c r="H88" s="64" t="s">
        <v>25</v>
      </c>
      <c r="I88" s="61">
        <v>42000</v>
      </c>
      <c r="J88" s="61"/>
      <c r="K88" s="144">
        <v>42000</v>
      </c>
      <c r="L88" s="57" t="s">
        <v>234</v>
      </c>
      <c r="M88" s="347"/>
      <c r="N88" s="144"/>
      <c r="O88" s="145"/>
      <c r="P88" s="14" t="s">
        <v>3354</v>
      </c>
      <c r="Q88" s="14" t="s">
        <v>20</v>
      </c>
      <c r="R88" s="14"/>
      <c r="S88" s="143" t="s">
        <v>4067</v>
      </c>
      <c r="T88" s="143" t="s">
        <v>4068</v>
      </c>
      <c r="U88" s="146" t="s">
        <v>4069</v>
      </c>
      <c r="V88" s="14"/>
      <c r="W88" s="14"/>
      <c r="X88" s="14"/>
      <c r="Y88" s="14"/>
    </row>
    <row r="89" spans="2:25" ht="14.25" customHeight="1" x14ac:dyDescent="0.25">
      <c r="B89" s="15" t="s">
        <v>5493</v>
      </c>
      <c r="C89" s="36" t="s">
        <v>4070</v>
      </c>
      <c r="D89" s="36">
        <v>1094905139</v>
      </c>
      <c r="E89" s="36">
        <v>3225936981</v>
      </c>
      <c r="F89" s="69" t="s">
        <v>4071</v>
      </c>
      <c r="G89" s="36" t="s">
        <v>4072</v>
      </c>
      <c r="H89" s="64" t="s">
        <v>25</v>
      </c>
      <c r="I89" s="61">
        <v>42000</v>
      </c>
      <c r="J89" s="61"/>
      <c r="K89" s="61">
        <v>42000</v>
      </c>
      <c r="L89" s="57" t="s">
        <v>234</v>
      </c>
      <c r="M89" s="346"/>
      <c r="N89" s="65"/>
      <c r="O89" s="66"/>
      <c r="P89" s="15" t="s">
        <v>3354</v>
      </c>
      <c r="Q89" s="15" t="s">
        <v>20</v>
      </c>
      <c r="R89" s="15"/>
      <c r="S89" s="36" t="s">
        <v>4073</v>
      </c>
      <c r="T89" s="36" t="s">
        <v>4074</v>
      </c>
      <c r="U89" s="47" t="s">
        <v>4075</v>
      </c>
      <c r="V89" s="14"/>
      <c r="W89" s="15"/>
      <c r="X89" s="15"/>
      <c r="Y89" s="15"/>
    </row>
    <row r="90" spans="2:25" ht="14.25" customHeight="1" x14ac:dyDescent="0.25">
      <c r="B90" s="15"/>
      <c r="C90" s="36" t="s">
        <v>4076</v>
      </c>
      <c r="D90" s="36">
        <v>10078606</v>
      </c>
      <c r="E90" s="36">
        <v>3106042141</v>
      </c>
      <c r="F90" s="69" t="s">
        <v>4077</v>
      </c>
      <c r="G90" s="36" t="s">
        <v>4078</v>
      </c>
      <c r="H90" s="64" t="s">
        <v>25</v>
      </c>
      <c r="I90" s="61">
        <v>42000</v>
      </c>
      <c r="J90" s="61">
        <v>7980</v>
      </c>
      <c r="K90" s="61">
        <v>49980</v>
      </c>
      <c r="L90" s="57" t="s">
        <v>234</v>
      </c>
      <c r="M90" s="28"/>
      <c r="N90" s="29"/>
      <c r="O90" s="26"/>
      <c r="P90" s="15" t="s">
        <v>3354</v>
      </c>
      <c r="Q90" s="15" t="s">
        <v>20</v>
      </c>
      <c r="R90" s="15"/>
      <c r="S90" s="36" t="s">
        <v>3999</v>
      </c>
      <c r="T90" s="36" t="s">
        <v>4079</v>
      </c>
      <c r="U90" s="47" t="s">
        <v>4080</v>
      </c>
      <c r="V90" s="14"/>
      <c r="W90" s="15"/>
      <c r="X90" s="15"/>
      <c r="Y90" s="15"/>
    </row>
    <row r="91" spans="2:25" ht="14.25" customHeight="1" x14ac:dyDescent="0.25">
      <c r="B91" s="15"/>
      <c r="C91" s="36" t="s">
        <v>4081</v>
      </c>
      <c r="D91" s="36">
        <v>41913692</v>
      </c>
      <c r="E91" s="36">
        <v>3122972607</v>
      </c>
      <c r="F91" s="36"/>
      <c r="G91" s="36" t="s">
        <v>4082</v>
      </c>
      <c r="H91" s="64" t="s">
        <v>25</v>
      </c>
      <c r="I91" s="61">
        <v>42000</v>
      </c>
      <c r="J91" s="61">
        <v>7980</v>
      </c>
      <c r="K91" s="61">
        <v>49980</v>
      </c>
      <c r="L91" s="57" t="s">
        <v>234</v>
      </c>
      <c r="M91" s="346"/>
      <c r="N91" s="65"/>
      <c r="O91" s="66"/>
      <c r="P91" s="15" t="s">
        <v>3354</v>
      </c>
      <c r="Q91" s="15" t="s">
        <v>20</v>
      </c>
      <c r="R91" s="15"/>
      <c r="S91" s="36" t="s">
        <v>4083</v>
      </c>
      <c r="T91" s="36" t="s">
        <v>4084</v>
      </c>
      <c r="U91" s="47" t="s">
        <v>4085</v>
      </c>
      <c r="V91" s="14"/>
      <c r="W91" s="15"/>
      <c r="X91" s="15"/>
      <c r="Y91" s="15"/>
    </row>
    <row r="92" spans="2:25" ht="14.25" customHeight="1" x14ac:dyDescent="0.25">
      <c r="B92" s="15"/>
      <c r="C92" s="36" t="s">
        <v>4086</v>
      </c>
      <c r="D92" s="36">
        <v>94461368</v>
      </c>
      <c r="E92" s="36">
        <v>3234876653</v>
      </c>
      <c r="F92" s="69" t="s">
        <v>4087</v>
      </c>
      <c r="G92" s="36" t="s">
        <v>4088</v>
      </c>
      <c r="H92" s="64" t="s">
        <v>25</v>
      </c>
      <c r="I92" s="61">
        <v>42000</v>
      </c>
      <c r="J92" s="61"/>
      <c r="K92" s="61">
        <v>42000</v>
      </c>
      <c r="L92" s="57" t="s">
        <v>234</v>
      </c>
      <c r="M92" s="346"/>
      <c r="N92" s="65"/>
      <c r="O92" s="66"/>
      <c r="P92" s="15" t="s">
        <v>3354</v>
      </c>
      <c r="Q92" s="15" t="s">
        <v>20</v>
      </c>
      <c r="R92" s="15"/>
      <c r="S92" s="36" t="s">
        <v>4089</v>
      </c>
      <c r="T92" s="36"/>
      <c r="U92" s="47" t="s">
        <v>4090</v>
      </c>
      <c r="V92" s="14"/>
      <c r="W92" s="15"/>
      <c r="X92" s="38"/>
      <c r="Y92" s="38"/>
    </row>
    <row r="93" spans="2:25" ht="14.25" customHeight="1" x14ac:dyDescent="0.25">
      <c r="B93" s="15"/>
      <c r="C93" s="36" t="s">
        <v>4091</v>
      </c>
      <c r="D93" s="36">
        <v>1111664839</v>
      </c>
      <c r="E93" s="36" t="s">
        <v>4092</v>
      </c>
      <c r="F93" s="36" t="s">
        <v>4093</v>
      </c>
      <c r="G93" s="36" t="s">
        <v>3354</v>
      </c>
      <c r="H93" s="36" t="s">
        <v>35</v>
      </c>
      <c r="I93" s="61">
        <v>122000</v>
      </c>
      <c r="J93" s="61"/>
      <c r="K93" s="61">
        <v>122000</v>
      </c>
      <c r="L93" s="57" t="s">
        <v>234</v>
      </c>
      <c r="M93" s="346"/>
      <c r="N93" s="65"/>
      <c r="O93" s="66"/>
      <c r="P93" s="15" t="s">
        <v>3353</v>
      </c>
      <c r="Q93" s="15" t="s">
        <v>20</v>
      </c>
      <c r="R93" s="15"/>
      <c r="S93" s="36" t="s">
        <v>4094</v>
      </c>
      <c r="T93" s="36" t="s">
        <v>4095</v>
      </c>
      <c r="U93" s="47" t="s">
        <v>4096</v>
      </c>
      <c r="V93" s="14"/>
      <c r="W93" s="15"/>
      <c r="X93" s="15"/>
      <c r="Y93" s="15"/>
    </row>
    <row r="94" spans="2:25" ht="14.25" customHeight="1" x14ac:dyDescent="0.25">
      <c r="B94" s="15"/>
      <c r="C94" s="36" t="s">
        <v>4097</v>
      </c>
      <c r="D94" s="36">
        <v>24569836</v>
      </c>
      <c r="E94" s="36" t="s">
        <v>4098</v>
      </c>
      <c r="F94" s="36" t="s">
        <v>4099</v>
      </c>
      <c r="G94" s="36" t="s">
        <v>4100</v>
      </c>
      <c r="H94" s="64" t="s">
        <v>25</v>
      </c>
      <c r="I94" s="61">
        <v>42000</v>
      </c>
      <c r="J94" s="115">
        <v>7980</v>
      </c>
      <c r="K94" s="61">
        <v>49980</v>
      </c>
      <c r="L94" s="57" t="s">
        <v>234</v>
      </c>
      <c r="M94" s="346"/>
      <c r="N94" s="65"/>
      <c r="O94" s="66"/>
      <c r="P94" s="15" t="s">
        <v>3354</v>
      </c>
      <c r="Q94" s="15" t="s">
        <v>20</v>
      </c>
      <c r="R94" s="15"/>
      <c r="S94" s="36" t="s">
        <v>3999</v>
      </c>
      <c r="T94" s="36" t="s">
        <v>4101</v>
      </c>
      <c r="U94" s="47" t="s">
        <v>4102</v>
      </c>
      <c r="V94" s="14"/>
      <c r="W94" s="15"/>
      <c r="X94" s="15"/>
      <c r="Y94" s="15"/>
    </row>
    <row r="95" spans="2:25" ht="14.25" customHeight="1" x14ac:dyDescent="0.25">
      <c r="B95" s="14"/>
      <c r="C95" s="36" t="s">
        <v>4103</v>
      </c>
      <c r="D95" s="36">
        <v>15533458</v>
      </c>
      <c r="E95" s="36" t="s">
        <v>4104</v>
      </c>
      <c r="F95" s="69" t="s">
        <v>4105</v>
      </c>
      <c r="G95" s="36"/>
      <c r="H95" s="64" t="s">
        <v>25</v>
      </c>
      <c r="I95" s="61">
        <v>42000</v>
      </c>
      <c r="J95" s="61"/>
      <c r="K95" s="61">
        <v>42000</v>
      </c>
      <c r="L95" s="57" t="s">
        <v>234</v>
      </c>
      <c r="M95" s="345"/>
      <c r="N95" s="65"/>
      <c r="O95" s="66"/>
      <c r="P95" s="15" t="s">
        <v>3354</v>
      </c>
      <c r="Q95" s="15" t="s">
        <v>20</v>
      </c>
      <c r="R95" s="15"/>
      <c r="S95" s="36" t="s">
        <v>4106</v>
      </c>
      <c r="T95" s="36" t="s">
        <v>4003</v>
      </c>
      <c r="U95" s="47" t="s">
        <v>4107</v>
      </c>
      <c r="V95" s="14"/>
      <c r="W95" s="14"/>
      <c r="X95" s="15"/>
      <c r="Y95" s="15"/>
    </row>
    <row r="96" spans="2:25" ht="14.25" customHeight="1" x14ac:dyDescent="0.25">
      <c r="B96" s="15"/>
      <c r="C96" s="36" t="s">
        <v>4108</v>
      </c>
      <c r="D96" s="36">
        <v>1115191624</v>
      </c>
      <c r="E96" s="36" t="s">
        <v>4109</v>
      </c>
      <c r="F96" s="36" t="s">
        <v>4110</v>
      </c>
      <c r="G96" s="36" t="s">
        <v>1782</v>
      </c>
      <c r="H96" s="36" t="s">
        <v>421</v>
      </c>
      <c r="I96" s="61">
        <v>82000</v>
      </c>
      <c r="J96" s="61"/>
      <c r="K96" s="61">
        <v>82000</v>
      </c>
      <c r="L96" s="57" t="s">
        <v>234</v>
      </c>
      <c r="M96" s="346"/>
      <c r="N96" s="65"/>
      <c r="O96" s="66"/>
      <c r="P96" s="15" t="s">
        <v>3354</v>
      </c>
      <c r="Q96" s="15" t="s">
        <v>20</v>
      </c>
      <c r="R96" s="15"/>
      <c r="S96" s="36" t="s">
        <v>4111</v>
      </c>
      <c r="T96" s="36"/>
      <c r="U96" s="47" t="s">
        <v>4112</v>
      </c>
      <c r="V96" s="14"/>
      <c r="W96" s="15"/>
      <c r="X96" s="15"/>
      <c r="Y96" s="15"/>
    </row>
    <row r="97" spans="2:25" ht="14.25" customHeight="1" x14ac:dyDescent="0.25">
      <c r="B97" s="15"/>
      <c r="C97" s="36" t="s">
        <v>4113</v>
      </c>
      <c r="D97" s="36">
        <v>29326699</v>
      </c>
      <c r="E97" s="36" t="s">
        <v>4114</v>
      </c>
      <c r="F97" s="69" t="s">
        <v>4115</v>
      </c>
      <c r="G97" s="36"/>
      <c r="H97" s="64" t="s">
        <v>5480</v>
      </c>
      <c r="I97" s="61">
        <v>82000</v>
      </c>
      <c r="J97" s="61"/>
      <c r="K97" s="61">
        <v>82000</v>
      </c>
      <c r="L97" s="57" t="s">
        <v>234</v>
      </c>
      <c r="M97" s="346"/>
      <c r="N97" s="65"/>
      <c r="O97" s="66"/>
      <c r="P97" s="15" t="s">
        <v>3354</v>
      </c>
      <c r="Q97" s="15" t="s">
        <v>20</v>
      </c>
      <c r="R97" s="15"/>
      <c r="S97" s="36" t="s">
        <v>4116</v>
      </c>
      <c r="T97" s="36" t="s">
        <v>4117</v>
      </c>
      <c r="U97" s="47" t="s">
        <v>4118</v>
      </c>
      <c r="V97" s="14"/>
      <c r="W97" s="15"/>
      <c r="X97" s="15"/>
      <c r="Y97" s="15"/>
    </row>
    <row r="98" spans="2:25" ht="14.25" customHeight="1" x14ac:dyDescent="0.25">
      <c r="B98" s="15" t="s">
        <v>4150</v>
      </c>
      <c r="C98" s="36" t="s">
        <v>4119</v>
      </c>
      <c r="D98" s="36">
        <v>19696082</v>
      </c>
      <c r="E98" s="36" t="s">
        <v>4120</v>
      </c>
      <c r="F98" s="36" t="s">
        <v>4121</v>
      </c>
      <c r="G98" s="36" t="s">
        <v>4122</v>
      </c>
      <c r="H98" s="64" t="s">
        <v>25</v>
      </c>
      <c r="I98" s="61">
        <v>42000</v>
      </c>
      <c r="J98" s="61"/>
      <c r="K98" s="61">
        <v>42000</v>
      </c>
      <c r="L98" s="57" t="s">
        <v>234</v>
      </c>
      <c r="M98" s="346"/>
      <c r="N98" s="65"/>
      <c r="O98" s="66"/>
      <c r="P98" s="15" t="s">
        <v>3354</v>
      </c>
      <c r="Q98" s="15" t="s">
        <v>20</v>
      </c>
      <c r="R98" s="15"/>
      <c r="S98" s="36" t="s">
        <v>4123</v>
      </c>
      <c r="T98" s="36" t="s">
        <v>4124</v>
      </c>
      <c r="U98" s="47" t="s">
        <v>4125</v>
      </c>
      <c r="V98" s="14"/>
      <c r="W98" s="15"/>
      <c r="X98" s="15"/>
      <c r="Y98" s="15"/>
    </row>
    <row r="99" spans="2:25" ht="14.25" customHeight="1" x14ac:dyDescent="0.25">
      <c r="B99" s="15"/>
      <c r="C99" s="15" t="s">
        <v>4126</v>
      </c>
      <c r="D99" s="17">
        <v>27101273</v>
      </c>
      <c r="E99" s="17" t="s">
        <v>4127</v>
      </c>
      <c r="F99" s="15" t="s">
        <v>4128</v>
      </c>
      <c r="G99" s="15" t="s">
        <v>4129</v>
      </c>
      <c r="H99" s="64" t="s">
        <v>25</v>
      </c>
      <c r="I99" s="27">
        <v>42000</v>
      </c>
      <c r="J99" s="27"/>
      <c r="K99" s="27">
        <v>42000</v>
      </c>
      <c r="L99" s="57" t="s">
        <v>234</v>
      </c>
      <c r="M99" s="28"/>
      <c r="N99" s="29"/>
      <c r="O99" s="30"/>
      <c r="P99" s="15" t="s">
        <v>3354</v>
      </c>
      <c r="Q99" s="15" t="s">
        <v>20</v>
      </c>
      <c r="R99" s="15"/>
      <c r="S99" s="15" t="s">
        <v>4130</v>
      </c>
      <c r="T99" s="15"/>
      <c r="U99" s="15"/>
      <c r="V99" s="14"/>
      <c r="W99" s="15"/>
      <c r="X99" s="15"/>
      <c r="Y99" s="15"/>
    </row>
    <row r="100" spans="2:25" ht="14.25" customHeight="1" x14ac:dyDescent="0.25">
      <c r="B100" s="15"/>
      <c r="C100" s="148" t="s">
        <v>4131</v>
      </c>
      <c r="D100" s="148">
        <v>1006372923</v>
      </c>
      <c r="E100" s="148" t="s">
        <v>4132</v>
      </c>
      <c r="F100" s="148" t="s">
        <v>3712</v>
      </c>
      <c r="G100" s="148" t="s">
        <v>4133</v>
      </c>
      <c r="H100" s="64" t="s">
        <v>25</v>
      </c>
      <c r="I100" s="149">
        <v>42000</v>
      </c>
      <c r="J100" s="149"/>
      <c r="K100" s="149">
        <v>42000</v>
      </c>
      <c r="L100" s="57" t="s">
        <v>234</v>
      </c>
      <c r="M100" s="348"/>
      <c r="N100" s="150"/>
      <c r="O100" s="151"/>
      <c r="P100" s="152" t="s">
        <v>3354</v>
      </c>
      <c r="Q100" s="152" t="s">
        <v>20</v>
      </c>
      <c r="R100" s="152"/>
      <c r="S100" s="148" t="s">
        <v>4134</v>
      </c>
      <c r="T100" s="148" t="s">
        <v>4135</v>
      </c>
      <c r="U100" s="153" t="s">
        <v>4136</v>
      </c>
      <c r="V100" s="14"/>
      <c r="W100" s="15"/>
      <c r="X100" s="15"/>
      <c r="Y100" s="15"/>
    </row>
    <row r="101" spans="2:25" ht="14.25" customHeight="1" x14ac:dyDescent="0.25">
      <c r="B101" s="15"/>
      <c r="C101" s="36" t="s">
        <v>4137</v>
      </c>
      <c r="D101" s="36">
        <v>94464333</v>
      </c>
      <c r="E101" s="36" t="s">
        <v>4138</v>
      </c>
      <c r="F101" s="73" t="s">
        <v>4139</v>
      </c>
      <c r="G101" s="36" t="s">
        <v>1782</v>
      </c>
      <c r="H101" s="36" t="s">
        <v>421</v>
      </c>
      <c r="I101" s="61">
        <v>82000</v>
      </c>
      <c r="J101" s="61"/>
      <c r="K101" s="61">
        <v>82000</v>
      </c>
      <c r="L101" s="57" t="s">
        <v>234</v>
      </c>
      <c r="M101" s="345"/>
      <c r="N101" s="65"/>
      <c r="O101" s="66"/>
      <c r="P101" s="15" t="s">
        <v>3354</v>
      </c>
      <c r="Q101" s="15" t="s">
        <v>20</v>
      </c>
      <c r="R101" s="15"/>
      <c r="S101" s="36" t="s">
        <v>4140</v>
      </c>
      <c r="T101" s="36" t="s">
        <v>4141</v>
      </c>
      <c r="U101" s="47" t="s">
        <v>4142</v>
      </c>
      <c r="V101" s="14"/>
      <c r="W101" s="15"/>
      <c r="X101" s="15"/>
      <c r="Y101" s="15"/>
    </row>
    <row r="102" spans="2:25" ht="14.25" customHeight="1" x14ac:dyDescent="0.25">
      <c r="B102" s="15"/>
      <c r="C102" s="36" t="s">
        <v>4143</v>
      </c>
      <c r="D102" s="36">
        <v>7515257</v>
      </c>
      <c r="E102" s="36" t="s">
        <v>4144</v>
      </c>
      <c r="F102" s="36" t="s">
        <v>4145</v>
      </c>
      <c r="G102" s="36" t="s">
        <v>4146</v>
      </c>
      <c r="H102" s="64" t="s">
        <v>188</v>
      </c>
      <c r="I102" s="61">
        <v>57000</v>
      </c>
      <c r="J102" s="61"/>
      <c r="K102" s="61">
        <v>57000</v>
      </c>
      <c r="L102" s="57" t="s">
        <v>234</v>
      </c>
      <c r="M102" s="345"/>
      <c r="N102" s="65"/>
      <c r="O102" s="66"/>
      <c r="P102" s="15" t="s">
        <v>3354</v>
      </c>
      <c r="Q102" s="15" t="s">
        <v>20</v>
      </c>
      <c r="R102" s="15"/>
      <c r="S102" s="36" t="s">
        <v>4147</v>
      </c>
      <c r="T102" s="36" t="s">
        <v>4148</v>
      </c>
      <c r="U102" s="47" t="s">
        <v>4149</v>
      </c>
      <c r="V102" s="14"/>
      <c r="W102" s="15"/>
      <c r="X102" s="15"/>
      <c r="Y102" s="15"/>
    </row>
    <row r="103" spans="2:25" ht="14.25" customHeight="1" x14ac:dyDescent="0.25">
      <c r="B103" s="15" t="s">
        <v>4150</v>
      </c>
      <c r="C103" s="36" t="s">
        <v>4151</v>
      </c>
      <c r="D103" s="36">
        <v>1094939509</v>
      </c>
      <c r="E103" s="36">
        <v>3157308988</v>
      </c>
      <c r="F103" s="69" t="s">
        <v>4152</v>
      </c>
      <c r="G103" s="36" t="s">
        <v>4153</v>
      </c>
      <c r="H103" s="64" t="s">
        <v>5480</v>
      </c>
      <c r="I103" s="61">
        <v>82000</v>
      </c>
      <c r="J103" s="61">
        <v>15780</v>
      </c>
      <c r="K103" s="61">
        <v>97580</v>
      </c>
      <c r="L103" s="57" t="s">
        <v>234</v>
      </c>
      <c r="M103" s="345"/>
      <c r="N103" s="65"/>
      <c r="O103" s="66"/>
      <c r="P103" s="15" t="s">
        <v>3354</v>
      </c>
      <c r="Q103" s="15" t="s">
        <v>20</v>
      </c>
      <c r="R103" s="15"/>
      <c r="S103" s="36" t="s">
        <v>4154</v>
      </c>
      <c r="T103" s="36" t="s">
        <v>4155</v>
      </c>
      <c r="U103" s="154" t="s">
        <v>4156</v>
      </c>
      <c r="V103" s="14"/>
      <c r="W103" s="15"/>
      <c r="X103" s="15"/>
      <c r="Y103" s="15"/>
    </row>
    <row r="104" spans="2:25" ht="14.25" customHeight="1" x14ac:dyDescent="0.25">
      <c r="B104" s="15"/>
      <c r="C104" s="36" t="s">
        <v>4157</v>
      </c>
      <c r="D104" s="36">
        <v>29326369</v>
      </c>
      <c r="E104" s="36" t="s">
        <v>4158</v>
      </c>
      <c r="F104" s="36" t="s">
        <v>3140</v>
      </c>
      <c r="G104" s="36" t="s">
        <v>3354</v>
      </c>
      <c r="H104" s="36" t="s">
        <v>2944</v>
      </c>
      <c r="I104" s="61">
        <v>122000</v>
      </c>
      <c r="J104" s="61"/>
      <c r="K104" s="61">
        <v>122000</v>
      </c>
      <c r="L104" s="57" t="s">
        <v>234</v>
      </c>
      <c r="M104" s="345"/>
      <c r="N104" s="65"/>
      <c r="O104" s="66"/>
      <c r="P104" s="15" t="s">
        <v>3354</v>
      </c>
      <c r="Q104" s="15" t="s">
        <v>20</v>
      </c>
      <c r="R104" s="15"/>
      <c r="S104" s="36" t="s">
        <v>4159</v>
      </c>
      <c r="T104" s="36" t="s">
        <v>4160</v>
      </c>
      <c r="U104" s="47" t="s">
        <v>4161</v>
      </c>
      <c r="V104" s="14"/>
      <c r="W104" s="15"/>
      <c r="X104" s="15"/>
      <c r="Y104" s="15"/>
    </row>
    <row r="105" spans="2:25" ht="14.25" customHeight="1" x14ac:dyDescent="0.25">
      <c r="B105" s="15"/>
      <c r="C105" s="36" t="s">
        <v>4162</v>
      </c>
      <c r="D105" s="36">
        <v>1094934792</v>
      </c>
      <c r="E105" s="36" t="s">
        <v>4163</v>
      </c>
      <c r="F105" s="69" t="s">
        <v>4164</v>
      </c>
      <c r="G105" s="36" t="s">
        <v>4165</v>
      </c>
      <c r="H105" s="64" t="s">
        <v>5480</v>
      </c>
      <c r="I105" s="61">
        <v>82000</v>
      </c>
      <c r="J105" s="61"/>
      <c r="K105" s="61">
        <v>82000</v>
      </c>
      <c r="L105" s="57" t="s">
        <v>234</v>
      </c>
      <c r="M105" s="345"/>
      <c r="N105" s="65"/>
      <c r="O105" s="66"/>
      <c r="P105" s="15" t="s">
        <v>3354</v>
      </c>
      <c r="Q105" s="15" t="s">
        <v>20</v>
      </c>
      <c r="R105" s="15"/>
      <c r="S105" s="36" t="s">
        <v>4166</v>
      </c>
      <c r="T105" s="36" t="s">
        <v>4167</v>
      </c>
      <c r="U105" s="63"/>
      <c r="V105" s="14"/>
      <c r="W105" s="15"/>
      <c r="X105" s="15"/>
      <c r="Y105" s="15"/>
    </row>
    <row r="106" spans="2:25" ht="14.25" customHeight="1" x14ac:dyDescent="0.25">
      <c r="B106" s="15"/>
      <c r="C106" s="36" t="s">
        <v>4168</v>
      </c>
      <c r="D106" s="36">
        <v>1114875860</v>
      </c>
      <c r="E106" s="36" t="s">
        <v>4169</v>
      </c>
      <c r="F106" s="73" t="s">
        <v>4170</v>
      </c>
      <c r="G106" s="36" t="s">
        <v>3354</v>
      </c>
      <c r="H106" s="36" t="s">
        <v>421</v>
      </c>
      <c r="I106" s="61">
        <v>82000</v>
      </c>
      <c r="J106" s="61"/>
      <c r="K106" s="61">
        <v>82000</v>
      </c>
      <c r="L106" s="57" t="s">
        <v>234</v>
      </c>
      <c r="M106" s="345"/>
      <c r="N106" s="65"/>
      <c r="O106" s="66"/>
      <c r="P106" s="15" t="s">
        <v>3354</v>
      </c>
      <c r="Q106" s="15" t="s">
        <v>20</v>
      </c>
      <c r="R106" s="15"/>
      <c r="S106" s="36" t="s">
        <v>4171</v>
      </c>
      <c r="T106" s="36" t="s">
        <v>4172</v>
      </c>
      <c r="U106" s="63"/>
      <c r="V106" s="14"/>
      <c r="W106" s="15"/>
      <c r="X106" s="15"/>
      <c r="Y106" s="15"/>
    </row>
    <row r="107" spans="2:25" ht="14.25" customHeight="1" x14ac:dyDescent="0.25">
      <c r="B107" s="15"/>
      <c r="C107" s="36" t="s">
        <v>4173</v>
      </c>
      <c r="D107" s="36">
        <v>9725512</v>
      </c>
      <c r="E107" s="36"/>
      <c r="F107" s="36" t="s">
        <v>4174</v>
      </c>
      <c r="G107" s="36" t="s">
        <v>4175</v>
      </c>
      <c r="H107" s="64" t="s">
        <v>188</v>
      </c>
      <c r="I107" s="61">
        <v>57000</v>
      </c>
      <c r="J107" s="61">
        <v>10830</v>
      </c>
      <c r="K107" s="61">
        <v>67830</v>
      </c>
      <c r="L107" s="57" t="s">
        <v>234</v>
      </c>
      <c r="M107" s="345"/>
      <c r="N107" s="65"/>
      <c r="O107" s="66"/>
      <c r="P107" s="15" t="s">
        <v>3354</v>
      </c>
      <c r="Q107" s="15" t="s">
        <v>20</v>
      </c>
      <c r="R107" s="15"/>
      <c r="S107" s="36" t="s">
        <v>4045</v>
      </c>
      <c r="T107" s="36" t="s">
        <v>4176</v>
      </c>
      <c r="U107" s="63"/>
      <c r="V107" s="14"/>
      <c r="W107" s="15"/>
      <c r="X107" s="15"/>
      <c r="Y107" s="15"/>
    </row>
    <row r="108" spans="2:25" ht="14.25" customHeight="1" x14ac:dyDescent="0.25">
      <c r="B108" s="15"/>
      <c r="C108" s="36" t="s">
        <v>4177</v>
      </c>
      <c r="D108" s="36">
        <v>1094966775</v>
      </c>
      <c r="E108" s="36">
        <v>3155098037</v>
      </c>
      <c r="F108" s="69" t="s">
        <v>4178</v>
      </c>
      <c r="G108" s="36"/>
      <c r="H108" s="36" t="s">
        <v>1313</v>
      </c>
      <c r="I108" s="61">
        <v>102000</v>
      </c>
      <c r="J108" s="61"/>
      <c r="K108" s="61">
        <v>102000</v>
      </c>
      <c r="L108" s="57" t="s">
        <v>234</v>
      </c>
      <c r="M108" s="346"/>
      <c r="N108" s="65"/>
      <c r="O108" s="66"/>
      <c r="P108" s="15" t="s">
        <v>3354</v>
      </c>
      <c r="Q108" s="15" t="s">
        <v>20</v>
      </c>
      <c r="R108" s="15"/>
      <c r="S108" s="36" t="s">
        <v>4179</v>
      </c>
      <c r="T108" s="36" t="s">
        <v>4180</v>
      </c>
      <c r="U108" s="47" t="s">
        <v>4181</v>
      </c>
      <c r="V108" s="14"/>
      <c r="W108" s="15"/>
      <c r="X108" s="15"/>
      <c r="Y108" s="15"/>
    </row>
    <row r="109" spans="2:25" ht="14.25" customHeight="1" x14ac:dyDescent="0.25">
      <c r="B109" s="15"/>
      <c r="C109" s="36" t="s">
        <v>4182</v>
      </c>
      <c r="D109" s="36">
        <v>5855848</v>
      </c>
      <c r="E109" s="36">
        <v>3147564318</v>
      </c>
      <c r="F109" s="69" t="s">
        <v>4183</v>
      </c>
      <c r="G109" s="36"/>
      <c r="H109" s="64" t="s">
        <v>5480</v>
      </c>
      <c r="I109" s="61">
        <v>82000</v>
      </c>
      <c r="J109" s="61"/>
      <c r="K109" s="61">
        <v>82000</v>
      </c>
      <c r="L109" s="57" t="s">
        <v>234</v>
      </c>
      <c r="M109" s="345"/>
      <c r="N109" s="65"/>
      <c r="O109" s="66"/>
      <c r="P109" s="15" t="s">
        <v>3354</v>
      </c>
      <c r="Q109" s="15" t="s">
        <v>20</v>
      </c>
      <c r="R109" s="15"/>
      <c r="S109" s="36" t="s">
        <v>4184</v>
      </c>
      <c r="T109" s="36" t="s">
        <v>4185</v>
      </c>
      <c r="U109" s="63"/>
      <c r="V109" s="15"/>
      <c r="W109" s="15"/>
      <c r="X109" s="15"/>
      <c r="Y109" s="15"/>
    </row>
    <row r="110" spans="2:25" ht="14.25" customHeight="1" x14ac:dyDescent="0.25">
      <c r="B110" s="15"/>
      <c r="C110" s="36" t="s">
        <v>4186</v>
      </c>
      <c r="D110" s="36">
        <v>41482014</v>
      </c>
      <c r="E110" s="36" t="s">
        <v>4187</v>
      </c>
      <c r="F110" s="36" t="s">
        <v>4188</v>
      </c>
      <c r="G110" s="36"/>
      <c r="H110" s="64" t="s">
        <v>25</v>
      </c>
      <c r="I110" s="61">
        <v>42000</v>
      </c>
      <c r="J110" s="61"/>
      <c r="K110" s="61">
        <v>42000</v>
      </c>
      <c r="L110" s="57" t="s">
        <v>234</v>
      </c>
      <c r="M110" s="345"/>
      <c r="N110" s="65"/>
      <c r="O110" s="66"/>
      <c r="P110" s="15" t="s">
        <v>3354</v>
      </c>
      <c r="Q110" s="15" t="s">
        <v>20</v>
      </c>
      <c r="R110" s="15"/>
      <c r="S110" s="36" t="s">
        <v>4189</v>
      </c>
      <c r="T110" s="36" t="s">
        <v>4190</v>
      </c>
      <c r="U110" s="47" t="s">
        <v>4191</v>
      </c>
      <c r="V110" s="14"/>
      <c r="W110" s="15"/>
      <c r="X110" s="15"/>
      <c r="Y110" s="15"/>
    </row>
    <row r="111" spans="2:25" ht="14.25" customHeight="1" x14ac:dyDescent="0.25">
      <c r="B111" s="15"/>
      <c r="C111" s="36" t="s">
        <v>4192</v>
      </c>
      <c r="D111" s="36">
        <v>29330465</v>
      </c>
      <c r="E111" s="36" t="s">
        <v>4193</v>
      </c>
      <c r="F111" s="69" t="s">
        <v>4194</v>
      </c>
      <c r="G111" s="36" t="s">
        <v>4195</v>
      </c>
      <c r="H111" s="64" t="s">
        <v>25</v>
      </c>
      <c r="I111" s="61">
        <v>42000</v>
      </c>
      <c r="J111" s="61"/>
      <c r="K111" s="61">
        <v>42000</v>
      </c>
      <c r="L111" s="57" t="s">
        <v>234</v>
      </c>
      <c r="M111" s="346"/>
      <c r="N111" s="65"/>
      <c r="O111" s="66"/>
      <c r="P111" s="15" t="s">
        <v>3354</v>
      </c>
      <c r="Q111" s="15" t="s">
        <v>20</v>
      </c>
      <c r="R111" s="15"/>
      <c r="S111" s="36" t="s">
        <v>4196</v>
      </c>
      <c r="T111" s="36"/>
      <c r="U111" s="47" t="s">
        <v>4197</v>
      </c>
      <c r="V111" s="14"/>
      <c r="W111" s="15"/>
      <c r="X111" s="15"/>
      <c r="Y111" s="15"/>
    </row>
    <row r="112" spans="2:25" ht="14.25" customHeight="1" x14ac:dyDescent="0.25">
      <c r="B112" s="15"/>
      <c r="C112" s="36" t="s">
        <v>4198</v>
      </c>
      <c r="D112" s="36">
        <v>1115192467</v>
      </c>
      <c r="E112" s="36" t="s">
        <v>4199</v>
      </c>
      <c r="F112" s="69" t="s">
        <v>4200</v>
      </c>
      <c r="G112" s="36" t="s">
        <v>4201</v>
      </c>
      <c r="H112" s="36" t="s">
        <v>4036</v>
      </c>
      <c r="I112" s="61">
        <v>102000</v>
      </c>
      <c r="J112" s="61"/>
      <c r="K112" s="61">
        <v>102000</v>
      </c>
      <c r="L112" s="57" t="s">
        <v>234</v>
      </c>
      <c r="M112" s="345"/>
      <c r="N112" s="65"/>
      <c r="O112" s="66"/>
      <c r="P112" s="15" t="s">
        <v>3354</v>
      </c>
      <c r="Q112" s="15" t="s">
        <v>20</v>
      </c>
      <c r="R112" s="15"/>
      <c r="S112" s="36" t="s">
        <v>4202</v>
      </c>
      <c r="T112" s="36" t="s">
        <v>4203</v>
      </c>
      <c r="U112" s="47" t="s">
        <v>4204</v>
      </c>
      <c r="V112" s="14"/>
      <c r="W112" s="15"/>
      <c r="X112" s="15"/>
      <c r="Y112" s="15"/>
    </row>
    <row r="113" spans="2:25" ht="14.25" customHeight="1" x14ac:dyDescent="0.25">
      <c r="B113" s="15" t="s">
        <v>5494</v>
      </c>
      <c r="C113" s="36" t="s">
        <v>4205</v>
      </c>
      <c r="D113" s="36">
        <v>1093230964</v>
      </c>
      <c r="E113" s="36" t="s">
        <v>4206</v>
      </c>
      <c r="F113" s="69" t="s">
        <v>4207</v>
      </c>
      <c r="G113" s="36"/>
      <c r="H113" s="64" t="s">
        <v>25</v>
      </c>
      <c r="I113" s="61">
        <v>42000</v>
      </c>
      <c r="J113" s="61"/>
      <c r="K113" s="61">
        <v>42000</v>
      </c>
      <c r="L113" s="57" t="s">
        <v>234</v>
      </c>
      <c r="M113" s="345"/>
      <c r="N113" s="61"/>
      <c r="O113" s="66"/>
      <c r="P113" s="15" t="s">
        <v>3354</v>
      </c>
      <c r="Q113" s="15" t="s">
        <v>20</v>
      </c>
      <c r="R113" s="15"/>
      <c r="S113" s="36" t="s">
        <v>4208</v>
      </c>
      <c r="T113" s="36" t="s">
        <v>3672</v>
      </c>
      <c r="U113" s="47" t="s">
        <v>4209</v>
      </c>
      <c r="V113" s="14"/>
      <c r="W113" s="15"/>
      <c r="X113" s="15"/>
      <c r="Y113" s="15"/>
    </row>
    <row r="114" spans="2:25" ht="14.25" customHeight="1" x14ac:dyDescent="0.25">
      <c r="B114" s="14"/>
      <c r="C114" s="14" t="s">
        <v>4215</v>
      </c>
      <c r="D114" s="25">
        <v>41933531</v>
      </c>
      <c r="E114" s="25" t="s">
        <v>4216</v>
      </c>
      <c r="F114" s="14" t="s">
        <v>4217</v>
      </c>
      <c r="G114" s="14">
        <v>601</v>
      </c>
      <c r="H114" s="64" t="s">
        <v>188</v>
      </c>
      <c r="I114" s="7">
        <v>57000</v>
      </c>
      <c r="J114" s="15"/>
      <c r="K114" s="27">
        <v>57000</v>
      </c>
      <c r="L114" s="57" t="s">
        <v>234</v>
      </c>
      <c r="M114" s="345"/>
      <c r="N114" s="65"/>
      <c r="O114" s="66"/>
      <c r="P114" s="14" t="s">
        <v>4135</v>
      </c>
      <c r="Q114" s="15" t="s">
        <v>20</v>
      </c>
      <c r="R114" s="15"/>
      <c r="S114" s="14" t="s">
        <v>4190</v>
      </c>
      <c r="T114" s="14" t="s">
        <v>4045</v>
      </c>
      <c r="U114" s="63"/>
      <c r="V114" s="14"/>
      <c r="W114" s="15"/>
      <c r="X114" s="15"/>
      <c r="Y114" s="15"/>
    </row>
    <row r="115" spans="2:25" ht="14.25" customHeight="1" x14ac:dyDescent="0.25">
      <c r="B115" s="14"/>
      <c r="C115" s="14" t="s">
        <v>4218</v>
      </c>
      <c r="D115" s="25">
        <v>94463491</v>
      </c>
      <c r="E115" s="25"/>
      <c r="F115" s="14" t="s">
        <v>4219</v>
      </c>
      <c r="G115" s="14" t="s">
        <v>3354</v>
      </c>
      <c r="H115" s="14" t="s">
        <v>421</v>
      </c>
      <c r="I115" s="7">
        <v>82000</v>
      </c>
      <c r="J115" s="15"/>
      <c r="K115" s="27">
        <v>82000</v>
      </c>
      <c r="L115" s="57" t="s">
        <v>234</v>
      </c>
      <c r="M115" s="345"/>
      <c r="N115" s="65"/>
      <c r="O115" s="66"/>
      <c r="P115" s="14" t="s">
        <v>4135</v>
      </c>
      <c r="Q115" s="15" t="s">
        <v>20</v>
      </c>
      <c r="R115" s="15"/>
      <c r="S115" s="14" t="s">
        <v>4220</v>
      </c>
      <c r="T115" s="14" t="s">
        <v>4221</v>
      </c>
      <c r="U115" s="63"/>
      <c r="V115" s="14"/>
      <c r="W115" s="15"/>
      <c r="X115" s="15"/>
      <c r="Y115" s="15"/>
    </row>
    <row r="116" spans="2:25" ht="14.25" customHeight="1" x14ac:dyDescent="0.25">
      <c r="B116" s="15"/>
      <c r="C116" s="36" t="s">
        <v>4222</v>
      </c>
      <c r="D116" s="36">
        <v>1115182573</v>
      </c>
      <c r="E116" s="36" t="s">
        <v>4223</v>
      </c>
      <c r="F116" s="69" t="s">
        <v>4224</v>
      </c>
      <c r="G116" s="36" t="s">
        <v>4225</v>
      </c>
      <c r="H116" s="64" t="s">
        <v>25</v>
      </c>
      <c r="I116" s="61">
        <v>42000</v>
      </c>
      <c r="J116" s="61"/>
      <c r="K116" s="61">
        <v>42000</v>
      </c>
      <c r="L116" s="57" t="s">
        <v>234</v>
      </c>
      <c r="M116" s="345"/>
      <c r="N116" s="65"/>
      <c r="O116" s="66"/>
      <c r="P116" s="15" t="s">
        <v>3354</v>
      </c>
      <c r="Q116" s="15" t="s">
        <v>20</v>
      </c>
      <c r="R116" s="15"/>
      <c r="S116" s="36" t="s">
        <v>4226</v>
      </c>
      <c r="T116" s="36" t="s">
        <v>4227</v>
      </c>
      <c r="U116" s="47" t="s">
        <v>4228</v>
      </c>
      <c r="V116" s="14"/>
      <c r="W116" s="15"/>
      <c r="X116" s="15"/>
      <c r="Y116" s="15"/>
    </row>
    <row r="117" spans="2:25" ht="14.25" customHeight="1" x14ac:dyDescent="0.25">
      <c r="B117" s="15"/>
      <c r="C117" s="36" t="s">
        <v>4229</v>
      </c>
      <c r="D117" s="36">
        <v>1030533569</v>
      </c>
      <c r="E117" s="36">
        <v>3147122221</v>
      </c>
      <c r="F117" s="36" t="s">
        <v>4230</v>
      </c>
      <c r="G117" s="36" t="s">
        <v>4231</v>
      </c>
      <c r="H117" s="64" t="s">
        <v>25</v>
      </c>
      <c r="I117" s="61">
        <v>42000</v>
      </c>
      <c r="J117" s="61"/>
      <c r="K117" s="61">
        <v>42000</v>
      </c>
      <c r="L117" s="57" t="s">
        <v>234</v>
      </c>
      <c r="M117" s="345"/>
      <c r="N117" s="65"/>
      <c r="O117" s="66"/>
      <c r="P117" s="15" t="s">
        <v>3354</v>
      </c>
      <c r="Q117" s="15" t="s">
        <v>20</v>
      </c>
      <c r="R117" s="15"/>
      <c r="S117" s="36" t="s">
        <v>4232</v>
      </c>
      <c r="T117" s="36"/>
      <c r="U117" s="47" t="s">
        <v>4233</v>
      </c>
      <c r="V117" s="14"/>
      <c r="W117" s="15"/>
      <c r="X117" s="15"/>
      <c r="Y117" s="15"/>
    </row>
    <row r="118" spans="2:25" ht="14.25" customHeight="1" x14ac:dyDescent="0.25">
      <c r="B118" s="15" t="s">
        <v>4234</v>
      </c>
      <c r="C118" s="36" t="s">
        <v>4235</v>
      </c>
      <c r="D118" s="36">
        <v>1105785374</v>
      </c>
      <c r="E118" s="36" t="s">
        <v>4236</v>
      </c>
      <c r="F118" s="73" t="s">
        <v>4237</v>
      </c>
      <c r="G118" s="36" t="s">
        <v>1782</v>
      </c>
      <c r="H118" s="36" t="s">
        <v>421</v>
      </c>
      <c r="I118" s="61">
        <v>82000</v>
      </c>
      <c r="J118" s="61"/>
      <c r="K118" s="61">
        <v>82000</v>
      </c>
      <c r="L118" s="57" t="s">
        <v>234</v>
      </c>
      <c r="M118" s="345"/>
      <c r="N118" s="65"/>
      <c r="O118" s="66"/>
      <c r="P118" s="15" t="s">
        <v>3354</v>
      </c>
      <c r="Q118" s="15" t="s">
        <v>20</v>
      </c>
      <c r="R118" s="15"/>
      <c r="S118" s="36" t="s">
        <v>423</v>
      </c>
      <c r="T118" s="36" t="s">
        <v>4238</v>
      </c>
      <c r="U118" s="47" t="s">
        <v>4239</v>
      </c>
      <c r="V118" s="14"/>
      <c r="W118" s="15"/>
      <c r="X118" s="15"/>
      <c r="Y118" s="15"/>
    </row>
    <row r="119" spans="2:25" ht="14.25" customHeight="1" x14ac:dyDescent="0.25">
      <c r="B119" s="15"/>
      <c r="C119" s="36" t="s">
        <v>4240</v>
      </c>
      <c r="D119" s="36">
        <v>52311692</v>
      </c>
      <c r="E119" s="36" t="s">
        <v>4241</v>
      </c>
      <c r="F119" s="69" t="s">
        <v>4230</v>
      </c>
      <c r="G119" s="36" t="s">
        <v>4242</v>
      </c>
      <c r="H119" s="64" t="s">
        <v>25</v>
      </c>
      <c r="I119" s="61">
        <v>42000</v>
      </c>
      <c r="J119" s="61"/>
      <c r="K119" s="61">
        <v>42000</v>
      </c>
      <c r="L119" s="57" t="s">
        <v>234</v>
      </c>
      <c r="M119" s="345"/>
      <c r="N119" s="65"/>
      <c r="O119" s="66"/>
      <c r="P119" s="15" t="s">
        <v>3354</v>
      </c>
      <c r="Q119" s="15" t="s">
        <v>20</v>
      </c>
      <c r="R119" s="15"/>
      <c r="S119" s="36" t="s">
        <v>4243</v>
      </c>
      <c r="T119" s="36" t="s">
        <v>4244</v>
      </c>
      <c r="U119" s="47" t="s">
        <v>4245</v>
      </c>
      <c r="V119" s="14"/>
      <c r="W119" s="15"/>
      <c r="X119" s="15"/>
      <c r="Y119" s="15"/>
    </row>
    <row r="120" spans="2:25" ht="14.25" customHeight="1" x14ac:dyDescent="0.25">
      <c r="B120" s="14"/>
      <c r="C120" s="36" t="s">
        <v>4246</v>
      </c>
      <c r="D120" s="36">
        <v>66961327</v>
      </c>
      <c r="E120" s="36" t="s">
        <v>4247</v>
      </c>
      <c r="F120" s="69" t="s">
        <v>4248</v>
      </c>
      <c r="G120" s="36"/>
      <c r="H120" s="64" t="s">
        <v>25</v>
      </c>
      <c r="I120" s="61">
        <v>42000</v>
      </c>
      <c r="J120" s="61"/>
      <c r="K120" s="61">
        <v>42000</v>
      </c>
      <c r="L120" s="57" t="s">
        <v>234</v>
      </c>
      <c r="M120" s="345"/>
      <c r="N120" s="65"/>
      <c r="O120" s="66"/>
      <c r="P120" s="15" t="s">
        <v>3354</v>
      </c>
      <c r="Q120" s="15" t="s">
        <v>20</v>
      </c>
      <c r="R120" s="15"/>
      <c r="S120" s="36" t="s">
        <v>4249</v>
      </c>
      <c r="T120" s="36" t="s">
        <v>4250</v>
      </c>
      <c r="U120" s="47" t="s">
        <v>4251</v>
      </c>
      <c r="V120" s="14"/>
      <c r="W120" s="14"/>
      <c r="X120" s="15"/>
      <c r="Y120" s="15"/>
    </row>
    <row r="121" spans="2:25" ht="14.25" customHeight="1" x14ac:dyDescent="0.25">
      <c r="B121" s="14"/>
      <c r="C121" s="36" t="s">
        <v>4252</v>
      </c>
      <c r="D121" s="36">
        <v>1115190289</v>
      </c>
      <c r="E121" s="36">
        <v>3226443860</v>
      </c>
      <c r="F121" s="69" t="s">
        <v>4253</v>
      </c>
      <c r="G121" s="36"/>
      <c r="H121" s="64" t="s">
        <v>25</v>
      </c>
      <c r="I121" s="61">
        <v>42000</v>
      </c>
      <c r="J121" s="61"/>
      <c r="K121" s="61">
        <v>42000</v>
      </c>
      <c r="L121" s="57" t="s">
        <v>234</v>
      </c>
      <c r="M121" s="345"/>
      <c r="N121" s="65"/>
      <c r="O121" s="66"/>
      <c r="P121" s="15" t="s">
        <v>3354</v>
      </c>
      <c r="Q121" s="15" t="s">
        <v>20</v>
      </c>
      <c r="R121" s="15"/>
      <c r="S121" s="36" t="s">
        <v>4045</v>
      </c>
      <c r="T121" s="36" t="s">
        <v>4254</v>
      </c>
      <c r="U121" s="63"/>
      <c r="V121" s="14"/>
      <c r="W121" s="14"/>
      <c r="X121" s="15"/>
      <c r="Y121" s="15"/>
    </row>
    <row r="122" spans="2:25" ht="14.25" customHeight="1" x14ac:dyDescent="0.25">
      <c r="B122" s="14"/>
      <c r="C122" s="36" t="s">
        <v>4255</v>
      </c>
      <c r="D122" s="36">
        <v>29138166</v>
      </c>
      <c r="E122" s="36">
        <v>315195210</v>
      </c>
      <c r="F122" s="36" t="s">
        <v>4256</v>
      </c>
      <c r="G122" s="36" t="s">
        <v>1782</v>
      </c>
      <c r="H122" s="36" t="s">
        <v>2731</v>
      </c>
      <c r="I122" s="61">
        <v>82000</v>
      </c>
      <c r="J122" s="61"/>
      <c r="K122" s="61">
        <v>82000</v>
      </c>
      <c r="L122" s="57" t="s">
        <v>234</v>
      </c>
      <c r="M122" s="345"/>
      <c r="N122" s="65"/>
      <c r="O122" s="66"/>
      <c r="P122" s="15" t="s">
        <v>3354</v>
      </c>
      <c r="Q122" s="15" t="s">
        <v>20</v>
      </c>
      <c r="R122" s="15"/>
      <c r="S122" s="36" t="s">
        <v>4257</v>
      </c>
      <c r="T122" s="36" t="s">
        <v>423</v>
      </c>
      <c r="U122" s="47" t="s">
        <v>4258</v>
      </c>
      <c r="V122" s="14"/>
      <c r="W122" s="14"/>
      <c r="X122" s="14"/>
      <c r="Y122" s="14"/>
    </row>
    <row r="123" spans="2:25" ht="14.25" customHeight="1" x14ac:dyDescent="0.25">
      <c r="B123" s="14"/>
      <c r="C123" s="36" t="s">
        <v>4262</v>
      </c>
      <c r="D123" s="36">
        <v>1094913969</v>
      </c>
      <c r="E123" s="36">
        <v>3206299916</v>
      </c>
      <c r="F123" s="36" t="s">
        <v>4263</v>
      </c>
      <c r="G123" s="36">
        <v>866</v>
      </c>
      <c r="H123" s="64" t="s">
        <v>25</v>
      </c>
      <c r="I123" s="61">
        <v>42000</v>
      </c>
      <c r="J123" s="61"/>
      <c r="K123" s="61">
        <v>42000</v>
      </c>
      <c r="L123" s="57" t="s">
        <v>234</v>
      </c>
      <c r="M123" s="345"/>
      <c r="N123" s="65"/>
      <c r="O123" s="66"/>
      <c r="P123" s="15" t="s">
        <v>3354</v>
      </c>
      <c r="Q123" s="15" t="s">
        <v>20</v>
      </c>
      <c r="R123" s="15"/>
      <c r="S123" s="36" t="s">
        <v>4264</v>
      </c>
      <c r="T123" s="36" t="s">
        <v>4265</v>
      </c>
      <c r="U123" s="47" t="s">
        <v>4266</v>
      </c>
      <c r="V123" s="14"/>
      <c r="W123" s="14"/>
      <c r="X123" s="14"/>
      <c r="Y123" s="14"/>
    </row>
    <row r="124" spans="2:25" ht="14.25" customHeight="1" x14ac:dyDescent="0.25">
      <c r="B124" s="14"/>
      <c r="C124" s="36" t="s">
        <v>4267</v>
      </c>
      <c r="D124" s="36">
        <v>94385961</v>
      </c>
      <c r="E124" s="36">
        <v>3188459750</v>
      </c>
      <c r="F124" s="36" t="s">
        <v>4268</v>
      </c>
      <c r="G124" s="36" t="s">
        <v>1782</v>
      </c>
      <c r="H124" s="36" t="s">
        <v>2731</v>
      </c>
      <c r="I124" s="61">
        <v>82000</v>
      </c>
      <c r="J124" s="61"/>
      <c r="K124" s="61">
        <v>82000</v>
      </c>
      <c r="L124" s="57" t="s">
        <v>234</v>
      </c>
      <c r="M124" s="345"/>
      <c r="N124" s="65"/>
      <c r="O124" s="66"/>
      <c r="P124" s="15" t="s">
        <v>3354</v>
      </c>
      <c r="Q124" s="15" t="s">
        <v>20</v>
      </c>
      <c r="R124" s="15"/>
      <c r="S124" s="36" t="s">
        <v>4269</v>
      </c>
      <c r="T124" s="36" t="s">
        <v>4270</v>
      </c>
      <c r="U124" s="47" t="s">
        <v>4271</v>
      </c>
      <c r="V124" s="14"/>
      <c r="W124" s="14"/>
      <c r="X124" s="14"/>
      <c r="Y124" s="14"/>
    </row>
    <row r="125" spans="2:25" ht="14.25" customHeight="1" x14ac:dyDescent="0.25">
      <c r="B125" s="14"/>
      <c r="C125" s="36" t="s">
        <v>4272</v>
      </c>
      <c r="D125" s="36">
        <v>1094887184</v>
      </c>
      <c r="E125" s="36" t="s">
        <v>4273</v>
      </c>
      <c r="F125" s="69" t="s">
        <v>4274</v>
      </c>
      <c r="G125" s="36">
        <v>839</v>
      </c>
      <c r="H125" s="36" t="s">
        <v>4275</v>
      </c>
      <c r="I125" s="61">
        <v>102000</v>
      </c>
      <c r="J125" s="61"/>
      <c r="K125" s="61">
        <v>102000</v>
      </c>
      <c r="L125" s="57" t="s">
        <v>234</v>
      </c>
      <c r="M125" s="345"/>
      <c r="N125" s="65"/>
      <c r="O125" s="66"/>
      <c r="P125" s="15" t="s">
        <v>3354</v>
      </c>
      <c r="Q125" s="15" t="s">
        <v>20</v>
      </c>
      <c r="R125" s="15"/>
      <c r="S125" s="36" t="s">
        <v>3999</v>
      </c>
      <c r="T125" s="36" t="s">
        <v>4254</v>
      </c>
      <c r="U125" s="47" t="s">
        <v>4276</v>
      </c>
      <c r="V125" s="14"/>
      <c r="W125" s="14"/>
      <c r="X125" s="14"/>
      <c r="Y125" s="14"/>
    </row>
    <row r="126" spans="2:25" ht="14.25" customHeight="1" x14ac:dyDescent="0.25">
      <c r="B126" s="15"/>
      <c r="C126" s="36" t="s">
        <v>4277</v>
      </c>
      <c r="D126" s="36">
        <v>1115195390</v>
      </c>
      <c r="E126" s="36" t="s">
        <v>4278</v>
      </c>
      <c r="F126" s="36" t="s">
        <v>4279</v>
      </c>
      <c r="G126" s="36"/>
      <c r="H126" s="64" t="s">
        <v>5480</v>
      </c>
      <c r="I126" s="61">
        <v>82000</v>
      </c>
      <c r="J126" s="61"/>
      <c r="K126" s="61">
        <v>82000</v>
      </c>
      <c r="L126" s="57" t="s">
        <v>234</v>
      </c>
      <c r="M126" s="345"/>
      <c r="N126" s="65"/>
      <c r="O126" s="66"/>
      <c r="P126" s="15" t="s">
        <v>3354</v>
      </c>
      <c r="Q126" s="15" t="s">
        <v>20</v>
      </c>
      <c r="R126" s="15"/>
      <c r="S126" s="36" t="s">
        <v>4280</v>
      </c>
      <c r="T126" s="36" t="s">
        <v>4281</v>
      </c>
      <c r="U126" s="63"/>
      <c r="V126" s="14"/>
      <c r="W126" s="14"/>
      <c r="X126" s="14"/>
      <c r="Y126" s="14"/>
    </row>
    <row r="127" spans="2:25" ht="14.25" customHeight="1" x14ac:dyDescent="0.25">
      <c r="B127" s="14"/>
      <c r="C127" s="36" t="s">
        <v>4282</v>
      </c>
      <c r="D127" s="36">
        <v>66964217</v>
      </c>
      <c r="E127" s="36" t="s">
        <v>4283</v>
      </c>
      <c r="F127" s="36" t="s">
        <v>4284</v>
      </c>
      <c r="G127" s="36"/>
      <c r="H127" s="64" t="s">
        <v>25</v>
      </c>
      <c r="I127" s="61">
        <v>42000</v>
      </c>
      <c r="J127" s="61"/>
      <c r="K127" s="61">
        <v>42000</v>
      </c>
      <c r="L127" s="57" t="s">
        <v>234</v>
      </c>
      <c r="M127" s="345"/>
      <c r="N127" s="65"/>
      <c r="O127" s="66"/>
      <c r="P127" s="15" t="s">
        <v>3354</v>
      </c>
      <c r="Q127" s="15" t="s">
        <v>20</v>
      </c>
      <c r="R127" s="15"/>
      <c r="S127" s="36" t="s">
        <v>4285</v>
      </c>
      <c r="T127" s="36"/>
      <c r="U127" s="63"/>
      <c r="V127" s="14"/>
      <c r="W127" s="14"/>
      <c r="X127" s="14"/>
      <c r="Y127" s="14"/>
    </row>
    <row r="128" spans="2:25" ht="14.25" customHeight="1" x14ac:dyDescent="0.25">
      <c r="B128" s="14"/>
      <c r="C128" s="36" t="s">
        <v>4286</v>
      </c>
      <c r="D128" s="36">
        <v>41950418</v>
      </c>
      <c r="E128" s="36" t="s">
        <v>4287</v>
      </c>
      <c r="F128" s="69" t="s">
        <v>4288</v>
      </c>
      <c r="G128" s="36">
        <v>759</v>
      </c>
      <c r="H128" s="36" t="s">
        <v>4289</v>
      </c>
      <c r="I128" s="61">
        <v>102000</v>
      </c>
      <c r="J128" s="61"/>
      <c r="K128" s="61">
        <v>102000</v>
      </c>
      <c r="L128" s="57" t="s">
        <v>234</v>
      </c>
      <c r="M128" s="345"/>
      <c r="N128" s="65"/>
      <c r="O128" s="66"/>
      <c r="P128" s="15" t="s">
        <v>3354</v>
      </c>
      <c r="Q128" s="15" t="s">
        <v>20</v>
      </c>
      <c r="R128" s="15"/>
      <c r="S128" s="36" t="s">
        <v>3999</v>
      </c>
      <c r="T128" s="36" t="s">
        <v>4290</v>
      </c>
      <c r="U128" s="47" t="s">
        <v>4291</v>
      </c>
      <c r="V128" s="14"/>
      <c r="W128" s="14"/>
      <c r="X128" s="14"/>
      <c r="Y128" s="14"/>
    </row>
    <row r="129" spans="2:25" ht="14.25" customHeight="1" x14ac:dyDescent="0.25">
      <c r="B129" s="14"/>
      <c r="C129" s="15" t="s">
        <v>4292</v>
      </c>
      <c r="D129" s="36">
        <v>9738469</v>
      </c>
      <c r="E129" s="36" t="s">
        <v>4293</v>
      </c>
      <c r="F129" s="69" t="s">
        <v>4294</v>
      </c>
      <c r="G129" s="36"/>
      <c r="H129" s="36" t="s">
        <v>25</v>
      </c>
      <c r="I129" s="61">
        <v>102000</v>
      </c>
      <c r="J129" s="61"/>
      <c r="K129" s="61">
        <v>102000</v>
      </c>
      <c r="L129" s="57" t="s">
        <v>234</v>
      </c>
      <c r="M129" s="345"/>
      <c r="N129" s="65"/>
      <c r="O129" s="66"/>
      <c r="P129" s="15" t="s">
        <v>3354</v>
      </c>
      <c r="Q129" s="15" t="s">
        <v>20</v>
      </c>
      <c r="R129" s="15"/>
      <c r="S129" s="36" t="s">
        <v>4295</v>
      </c>
      <c r="T129" s="36" t="s">
        <v>1510</v>
      </c>
      <c r="U129" s="112" t="s">
        <v>4296</v>
      </c>
      <c r="V129" s="14"/>
      <c r="W129" s="14"/>
      <c r="X129" s="15"/>
      <c r="Y129" s="15"/>
    </row>
    <row r="130" spans="2:25" ht="14.25" customHeight="1" x14ac:dyDescent="0.25">
      <c r="B130" s="14"/>
      <c r="C130" s="36" t="s">
        <v>4297</v>
      </c>
      <c r="D130" s="36">
        <v>1115184225</v>
      </c>
      <c r="E130" s="36">
        <v>3226724969</v>
      </c>
      <c r="F130" s="36" t="s">
        <v>4298</v>
      </c>
      <c r="G130" s="36"/>
      <c r="H130" s="64" t="s">
        <v>25</v>
      </c>
      <c r="I130" s="61">
        <v>42000</v>
      </c>
      <c r="J130" s="61"/>
      <c r="K130" s="61">
        <v>42000</v>
      </c>
      <c r="L130" s="57" t="s">
        <v>234</v>
      </c>
      <c r="M130" s="345"/>
      <c r="N130" s="65"/>
      <c r="O130" s="66"/>
      <c r="P130" s="15" t="s">
        <v>3354</v>
      </c>
      <c r="Q130" s="15" t="s">
        <v>20</v>
      </c>
      <c r="R130" s="15"/>
      <c r="S130" s="36" t="s">
        <v>3995</v>
      </c>
      <c r="T130" s="36" t="s">
        <v>3354</v>
      </c>
      <c r="U130" s="47" t="s">
        <v>4299</v>
      </c>
      <c r="V130" s="14"/>
      <c r="W130" s="14"/>
      <c r="X130" s="14"/>
      <c r="Y130" s="14"/>
    </row>
    <row r="131" spans="2:25" ht="14.25" customHeight="1" x14ac:dyDescent="0.25">
      <c r="B131" s="14"/>
      <c r="C131" s="36" t="s">
        <v>4300</v>
      </c>
      <c r="D131" s="36">
        <v>1099683315</v>
      </c>
      <c r="E131" s="36" t="s">
        <v>4301</v>
      </c>
      <c r="F131" s="73" t="s">
        <v>2702</v>
      </c>
      <c r="G131" s="36" t="s">
        <v>1782</v>
      </c>
      <c r="H131" s="36" t="s">
        <v>421</v>
      </c>
      <c r="I131" s="61">
        <v>82000</v>
      </c>
      <c r="J131" s="61"/>
      <c r="K131" s="61">
        <v>82000</v>
      </c>
      <c r="L131" s="57" t="s">
        <v>234</v>
      </c>
      <c r="M131" s="345"/>
      <c r="N131" s="61"/>
      <c r="O131" s="66"/>
      <c r="P131" s="15" t="s">
        <v>3354</v>
      </c>
      <c r="Q131" s="15" t="s">
        <v>20</v>
      </c>
      <c r="R131" s="15"/>
      <c r="S131" s="36" t="s">
        <v>423</v>
      </c>
      <c r="T131" s="36" t="s">
        <v>4302</v>
      </c>
      <c r="U131" s="47" t="s">
        <v>4303</v>
      </c>
      <c r="V131" s="14"/>
      <c r="W131" s="14"/>
      <c r="X131" s="14"/>
      <c r="Y131" s="14"/>
    </row>
    <row r="132" spans="2:25" ht="14.25" customHeight="1" x14ac:dyDescent="0.25">
      <c r="B132" s="355" t="s">
        <v>5488</v>
      </c>
      <c r="C132" s="338" t="s">
        <v>4304</v>
      </c>
      <c r="D132" s="36">
        <v>1046933572</v>
      </c>
      <c r="E132" s="36">
        <v>3125581439</v>
      </c>
      <c r="F132" s="69" t="s">
        <v>4305</v>
      </c>
      <c r="G132" s="36"/>
      <c r="H132" s="64" t="s">
        <v>25</v>
      </c>
      <c r="I132" s="61">
        <v>42000</v>
      </c>
      <c r="J132" s="61"/>
      <c r="K132" s="61">
        <v>42000</v>
      </c>
      <c r="L132" s="57" t="s">
        <v>234</v>
      </c>
      <c r="M132" s="345"/>
      <c r="N132" s="65"/>
      <c r="O132" s="66"/>
      <c r="P132" s="15" t="s">
        <v>3354</v>
      </c>
      <c r="Q132" s="15"/>
      <c r="R132" s="15"/>
      <c r="S132" s="36" t="s">
        <v>4306</v>
      </c>
      <c r="T132" s="36"/>
      <c r="U132" s="112" t="s">
        <v>4307</v>
      </c>
      <c r="V132" s="14"/>
      <c r="W132" s="14"/>
      <c r="X132" s="14"/>
      <c r="Y132" s="14"/>
    </row>
    <row r="133" spans="2:25" ht="14.25" customHeight="1" x14ac:dyDescent="0.25">
      <c r="B133" s="14"/>
      <c r="C133" s="14" t="s">
        <v>4308</v>
      </c>
      <c r="D133" s="25">
        <v>26948044</v>
      </c>
      <c r="E133" s="25" t="s">
        <v>4309</v>
      </c>
      <c r="F133" s="23" t="s">
        <v>4310</v>
      </c>
      <c r="G133" s="14">
        <v>870</v>
      </c>
      <c r="H133" s="64" t="s">
        <v>188</v>
      </c>
      <c r="I133" s="7">
        <v>57000</v>
      </c>
      <c r="J133" s="15"/>
      <c r="K133" s="27">
        <v>57000</v>
      </c>
      <c r="L133" s="57" t="s">
        <v>234</v>
      </c>
      <c r="M133" s="345"/>
      <c r="N133" s="65"/>
      <c r="O133" s="66"/>
      <c r="P133" s="14" t="s">
        <v>4135</v>
      </c>
      <c r="Q133" s="15" t="s">
        <v>20</v>
      </c>
      <c r="R133" s="15"/>
      <c r="S133" s="14" t="s">
        <v>4079</v>
      </c>
      <c r="T133" s="14" t="s">
        <v>4311</v>
      </c>
      <c r="U133" s="63"/>
      <c r="V133" s="14"/>
      <c r="W133" s="15"/>
      <c r="X133" s="14"/>
      <c r="Y133" s="14"/>
    </row>
    <row r="134" spans="2:25" ht="14.25" customHeight="1" x14ac:dyDescent="0.25">
      <c r="B134" s="308"/>
      <c r="C134" s="308" t="s">
        <v>4312</v>
      </c>
      <c r="D134" s="25">
        <v>14012327</v>
      </c>
      <c r="E134" s="25" t="s">
        <v>4313</v>
      </c>
      <c r="F134" s="23" t="s">
        <v>4314</v>
      </c>
      <c r="G134" s="14">
        <v>620</v>
      </c>
      <c r="H134" s="64" t="s">
        <v>25</v>
      </c>
      <c r="I134" s="7">
        <v>42000</v>
      </c>
      <c r="J134" s="15"/>
      <c r="K134" s="27">
        <v>42000</v>
      </c>
      <c r="L134" s="57" t="s">
        <v>234</v>
      </c>
      <c r="M134" s="345"/>
      <c r="N134" s="65"/>
      <c r="O134" s="66"/>
      <c r="P134" s="14" t="s">
        <v>4135</v>
      </c>
      <c r="Q134" s="15" t="s">
        <v>20</v>
      </c>
      <c r="R134" s="15"/>
      <c r="S134" s="14" t="s">
        <v>4315</v>
      </c>
      <c r="T134" s="14" t="s">
        <v>4316</v>
      </c>
      <c r="U134" s="63"/>
      <c r="V134" s="14"/>
      <c r="W134" s="15"/>
      <c r="X134" s="14"/>
      <c r="Y134" s="14"/>
    </row>
    <row r="135" spans="2:25" ht="14.25" customHeight="1" x14ac:dyDescent="0.25">
      <c r="B135" s="15"/>
      <c r="C135" s="36" t="s">
        <v>4317</v>
      </c>
      <c r="D135" s="36">
        <v>66961886</v>
      </c>
      <c r="E135" s="36">
        <v>3164168191</v>
      </c>
      <c r="F135" s="73" t="s">
        <v>4318</v>
      </c>
      <c r="G135" s="73" t="s">
        <v>4319</v>
      </c>
      <c r="H135" s="36" t="s">
        <v>2731</v>
      </c>
      <c r="I135" s="61">
        <v>122000</v>
      </c>
      <c r="J135" s="61"/>
      <c r="K135" s="61">
        <v>122000</v>
      </c>
      <c r="L135" s="57" t="s">
        <v>234</v>
      </c>
      <c r="M135" s="346"/>
      <c r="N135" s="65"/>
      <c r="O135" s="66"/>
      <c r="P135" s="15" t="s">
        <v>3354</v>
      </c>
      <c r="Q135" s="15" t="s">
        <v>20</v>
      </c>
      <c r="R135" s="15"/>
      <c r="S135" s="36" t="s">
        <v>4320</v>
      </c>
      <c r="T135" s="36"/>
      <c r="U135" s="47" t="s">
        <v>4321</v>
      </c>
      <c r="V135" s="14"/>
      <c r="W135" s="15"/>
      <c r="X135" s="14"/>
      <c r="Y135" s="14"/>
    </row>
    <row r="136" spans="2:25" ht="14.25" customHeight="1" x14ac:dyDescent="0.25">
      <c r="B136" s="14"/>
      <c r="C136" s="36" t="s">
        <v>4322</v>
      </c>
      <c r="D136" s="36">
        <v>1115185240</v>
      </c>
      <c r="E136" s="36" t="s">
        <v>4323</v>
      </c>
      <c r="F136" s="36" t="s">
        <v>4324</v>
      </c>
      <c r="G136" s="36" t="s">
        <v>1782</v>
      </c>
      <c r="H136" s="36" t="s">
        <v>421</v>
      </c>
      <c r="I136" s="61">
        <v>82000</v>
      </c>
      <c r="J136" s="61"/>
      <c r="K136" s="61">
        <v>82000</v>
      </c>
      <c r="L136" s="57" t="s">
        <v>234</v>
      </c>
      <c r="M136" s="345"/>
      <c r="N136" s="65"/>
      <c r="O136" s="66"/>
      <c r="P136" s="15" t="s">
        <v>3354</v>
      </c>
      <c r="Q136" s="15" t="s">
        <v>20</v>
      </c>
      <c r="R136" s="15"/>
      <c r="S136" s="36" t="s">
        <v>4325</v>
      </c>
      <c r="T136" s="36" t="s">
        <v>4326</v>
      </c>
      <c r="U136" s="63"/>
      <c r="V136" s="14"/>
      <c r="W136" s="14"/>
      <c r="X136" s="14"/>
      <c r="Y136" s="14"/>
    </row>
    <row r="137" spans="2:25" ht="14.25" customHeight="1" x14ac:dyDescent="0.25">
      <c r="B137" s="15"/>
      <c r="C137" s="36" t="s">
        <v>4327</v>
      </c>
      <c r="D137" s="36">
        <v>66964570</v>
      </c>
      <c r="E137" s="36" t="s">
        <v>4328</v>
      </c>
      <c r="F137" s="69" t="s">
        <v>4329</v>
      </c>
      <c r="G137" s="36"/>
      <c r="H137" s="64" t="s">
        <v>25</v>
      </c>
      <c r="I137" s="61">
        <v>42000</v>
      </c>
      <c r="J137" s="61"/>
      <c r="K137" s="61">
        <f>I137+J137</f>
        <v>42000</v>
      </c>
      <c r="L137" s="57" t="s">
        <v>234</v>
      </c>
      <c r="M137" s="82"/>
      <c r="N137" s="65"/>
      <c r="O137" s="66"/>
      <c r="P137" s="15" t="s">
        <v>3354</v>
      </c>
      <c r="Q137" s="15" t="s">
        <v>20</v>
      </c>
      <c r="R137" s="15"/>
      <c r="S137" s="36"/>
      <c r="T137" s="36" t="s">
        <v>4330</v>
      </c>
      <c r="U137" s="53" t="s">
        <v>4331</v>
      </c>
      <c r="V137" s="15"/>
      <c r="W137" s="15"/>
      <c r="X137" s="14"/>
      <c r="Y137" s="14"/>
    </row>
    <row r="138" spans="2:25" ht="14.25" customHeight="1" x14ac:dyDescent="0.25">
      <c r="B138" s="15"/>
      <c r="C138" s="36" t="s">
        <v>4332</v>
      </c>
      <c r="D138" s="36">
        <v>94461378</v>
      </c>
      <c r="E138" s="36" t="s">
        <v>4333</v>
      </c>
      <c r="F138" s="69" t="s">
        <v>4334</v>
      </c>
      <c r="G138" s="36"/>
      <c r="H138" s="64" t="s">
        <v>5480</v>
      </c>
      <c r="I138" s="61">
        <v>82000</v>
      </c>
      <c r="J138" s="61"/>
      <c r="K138" s="61">
        <v>82000</v>
      </c>
      <c r="L138" s="57" t="s">
        <v>234</v>
      </c>
      <c r="M138" s="346"/>
      <c r="N138" s="65"/>
      <c r="O138" s="66"/>
      <c r="P138" s="15" t="s">
        <v>3354</v>
      </c>
      <c r="Q138" s="15" t="s">
        <v>20</v>
      </c>
      <c r="R138" s="15"/>
      <c r="S138" s="36" t="s">
        <v>4335</v>
      </c>
      <c r="T138" s="36" t="s">
        <v>4336</v>
      </c>
      <c r="U138" s="63"/>
      <c r="V138" s="14"/>
      <c r="W138" s="15"/>
      <c r="X138" s="14"/>
      <c r="Y138" s="14"/>
    </row>
    <row r="139" spans="2:25" ht="14.25" customHeight="1" x14ac:dyDescent="0.25">
      <c r="B139" s="14"/>
      <c r="C139" s="36" t="s">
        <v>4337</v>
      </c>
      <c r="D139" s="36">
        <v>41898195</v>
      </c>
      <c r="E139" s="36">
        <v>3206854094</v>
      </c>
      <c r="F139" s="73" t="s">
        <v>4338</v>
      </c>
      <c r="G139" s="36" t="s">
        <v>1782</v>
      </c>
      <c r="H139" s="36" t="s">
        <v>421</v>
      </c>
      <c r="I139" s="61">
        <v>82000</v>
      </c>
      <c r="J139" s="61"/>
      <c r="K139" s="61">
        <v>82000</v>
      </c>
      <c r="L139" s="57" t="s">
        <v>234</v>
      </c>
      <c r="M139" s="345"/>
      <c r="N139" s="65"/>
      <c r="O139" s="66"/>
      <c r="P139" s="15" t="s">
        <v>3354</v>
      </c>
      <c r="Q139" s="15"/>
      <c r="R139" s="15"/>
      <c r="S139" s="36" t="s">
        <v>4339</v>
      </c>
      <c r="T139" s="36" t="s">
        <v>4340</v>
      </c>
      <c r="U139" s="63"/>
      <c r="V139" s="14"/>
      <c r="W139" s="14"/>
      <c r="X139" s="14"/>
      <c r="Y139" s="14"/>
    </row>
    <row r="140" spans="2:25" ht="14.25" customHeight="1" x14ac:dyDescent="0.25">
      <c r="B140" s="14"/>
      <c r="C140" s="36" t="s">
        <v>4341</v>
      </c>
      <c r="D140" s="36">
        <v>1115188372</v>
      </c>
      <c r="E140" s="36" t="s">
        <v>4342</v>
      </c>
      <c r="F140" s="36" t="s">
        <v>4343</v>
      </c>
      <c r="G140" s="36"/>
      <c r="H140" s="36" t="s">
        <v>105</v>
      </c>
      <c r="I140" s="61">
        <v>102000</v>
      </c>
      <c r="J140" s="61"/>
      <c r="K140" s="61">
        <v>102000</v>
      </c>
      <c r="L140" s="57" t="s">
        <v>234</v>
      </c>
      <c r="M140" s="345"/>
      <c r="N140" s="65"/>
      <c r="O140" s="66"/>
      <c r="P140" s="15" t="s">
        <v>4344</v>
      </c>
      <c r="Q140" s="15" t="s">
        <v>20</v>
      </c>
      <c r="R140" s="15"/>
      <c r="S140" s="36" t="s">
        <v>4345</v>
      </c>
      <c r="T140" s="36" t="s">
        <v>4346</v>
      </c>
      <c r="U140" s="112" t="s">
        <v>4347</v>
      </c>
      <c r="V140" s="14"/>
      <c r="W140" s="14"/>
      <c r="X140" s="14"/>
      <c r="Y140" s="14"/>
    </row>
    <row r="141" spans="2:25" ht="14.25" customHeight="1" x14ac:dyDescent="0.25">
      <c r="B141" s="15"/>
      <c r="C141" s="36" t="s">
        <v>4348</v>
      </c>
      <c r="D141" s="36">
        <v>1006372484</v>
      </c>
      <c r="E141" s="36" t="s">
        <v>4349</v>
      </c>
      <c r="F141" s="69" t="s">
        <v>4350</v>
      </c>
      <c r="G141" s="36"/>
      <c r="H141" s="64" t="s">
        <v>5480</v>
      </c>
      <c r="I141" s="61">
        <v>82000</v>
      </c>
      <c r="J141" s="61"/>
      <c r="K141" s="61">
        <v>82000</v>
      </c>
      <c r="L141" s="57" t="s">
        <v>234</v>
      </c>
      <c r="M141" s="346"/>
      <c r="N141" s="65"/>
      <c r="O141" s="66"/>
      <c r="P141" s="15" t="s">
        <v>3354</v>
      </c>
      <c r="Q141" s="15" t="s">
        <v>20</v>
      </c>
      <c r="R141" s="15"/>
      <c r="S141" s="36" t="s">
        <v>4123</v>
      </c>
      <c r="T141" s="36" t="s">
        <v>4351</v>
      </c>
      <c r="U141" s="31" t="s">
        <v>4352</v>
      </c>
      <c r="V141" s="14"/>
      <c r="W141" s="15"/>
      <c r="X141" s="14"/>
      <c r="Y141" s="14"/>
    </row>
    <row r="142" spans="2:25" ht="14.25" customHeight="1" x14ac:dyDescent="0.25">
      <c r="B142" s="14"/>
      <c r="C142" s="36" t="s">
        <v>4353</v>
      </c>
      <c r="D142" s="36">
        <v>901863787</v>
      </c>
      <c r="E142" s="36"/>
      <c r="F142" s="36" t="s">
        <v>3685</v>
      </c>
      <c r="G142" s="36"/>
      <c r="H142" s="64" t="s">
        <v>5480</v>
      </c>
      <c r="I142" s="115">
        <v>82000</v>
      </c>
      <c r="J142" s="115">
        <v>15780</v>
      </c>
      <c r="K142" s="61">
        <v>97580</v>
      </c>
      <c r="L142" s="57" t="s">
        <v>234</v>
      </c>
      <c r="M142" s="345"/>
      <c r="N142" s="113"/>
      <c r="O142" s="66"/>
      <c r="P142" s="15" t="s">
        <v>3354</v>
      </c>
      <c r="Q142" s="15" t="s">
        <v>20</v>
      </c>
      <c r="R142" s="15"/>
      <c r="S142" s="36" t="s">
        <v>4354</v>
      </c>
      <c r="T142" s="36" t="s">
        <v>3778</v>
      </c>
      <c r="U142" s="112" t="s">
        <v>4355</v>
      </c>
      <c r="V142" s="14"/>
      <c r="W142" s="14"/>
      <c r="X142" s="14"/>
      <c r="Y142" s="14"/>
    </row>
    <row r="143" spans="2:25" ht="14.25" customHeight="1" x14ac:dyDescent="0.25">
      <c r="B143" s="104"/>
      <c r="C143" s="104" t="s">
        <v>4356</v>
      </c>
      <c r="D143" s="130">
        <v>18389950</v>
      </c>
      <c r="E143" s="131" t="s">
        <v>4357</v>
      </c>
      <c r="F143" s="132" t="s">
        <v>4358</v>
      </c>
      <c r="G143" s="132" t="s">
        <v>4359</v>
      </c>
      <c r="H143" s="64" t="s">
        <v>25</v>
      </c>
      <c r="I143" s="133">
        <v>42000</v>
      </c>
      <c r="J143" s="133">
        <v>7980</v>
      </c>
      <c r="K143" s="133">
        <v>49980</v>
      </c>
      <c r="L143" s="57" t="s">
        <v>234</v>
      </c>
      <c r="M143" s="349"/>
      <c r="N143" s="138"/>
      <c r="O143" s="135"/>
      <c r="P143" s="104" t="s">
        <v>3354</v>
      </c>
      <c r="Q143" s="104" t="s">
        <v>20</v>
      </c>
      <c r="R143" s="104"/>
      <c r="S143" s="132" t="s">
        <v>4345</v>
      </c>
      <c r="T143" s="132" t="s">
        <v>4084</v>
      </c>
      <c r="U143" s="136" t="s">
        <v>4360</v>
      </c>
      <c r="V143" s="14"/>
      <c r="W143" s="14"/>
      <c r="X143" s="14"/>
      <c r="Y143" s="14"/>
    </row>
    <row r="144" spans="2:25" ht="14.25" customHeight="1" x14ac:dyDescent="0.25">
      <c r="B144" s="104"/>
      <c r="C144" s="132" t="s">
        <v>4361</v>
      </c>
      <c r="D144" s="132">
        <v>1007598388</v>
      </c>
      <c r="E144" s="132" t="s">
        <v>4362</v>
      </c>
      <c r="F144" s="132" t="s">
        <v>4363</v>
      </c>
      <c r="G144" s="132" t="s">
        <v>4364</v>
      </c>
      <c r="H144" s="64" t="s">
        <v>25</v>
      </c>
      <c r="I144" s="133">
        <v>42000</v>
      </c>
      <c r="J144" s="133"/>
      <c r="K144" s="133">
        <v>42000</v>
      </c>
      <c r="L144" s="57" t="s">
        <v>234</v>
      </c>
      <c r="M144" s="349"/>
      <c r="N144" s="138"/>
      <c r="O144" s="135"/>
      <c r="P144" s="104" t="s">
        <v>3354</v>
      </c>
      <c r="Q144" s="104" t="s">
        <v>20</v>
      </c>
      <c r="R144" s="104"/>
      <c r="S144" s="132" t="s">
        <v>4365</v>
      </c>
      <c r="T144" s="132"/>
      <c r="U144" s="136" t="s">
        <v>4366</v>
      </c>
      <c r="V144" s="14"/>
      <c r="W144" s="14"/>
      <c r="X144" s="14"/>
      <c r="Y144" s="14"/>
    </row>
    <row r="145" spans="2:25" ht="14.25" customHeight="1" x14ac:dyDescent="0.25">
      <c r="B145" s="156"/>
      <c r="C145" s="157" t="s">
        <v>4367</v>
      </c>
      <c r="D145" s="157">
        <v>1004678402</v>
      </c>
      <c r="E145" s="157">
        <v>3137056155</v>
      </c>
      <c r="F145" s="132" t="s">
        <v>4368</v>
      </c>
      <c r="G145" s="132"/>
      <c r="H145" s="64" t="s">
        <v>5480</v>
      </c>
      <c r="I145" s="133">
        <v>82000</v>
      </c>
      <c r="J145" s="133"/>
      <c r="K145" s="133">
        <v>82000</v>
      </c>
      <c r="L145" s="57" t="s">
        <v>234</v>
      </c>
      <c r="M145" s="349"/>
      <c r="N145" s="138"/>
      <c r="O145" s="135"/>
      <c r="P145" s="104" t="s">
        <v>3354</v>
      </c>
      <c r="Q145" s="104" t="s">
        <v>20</v>
      </c>
      <c r="R145" s="104"/>
      <c r="S145" s="132" t="s">
        <v>4123</v>
      </c>
      <c r="T145" s="132" t="s">
        <v>3019</v>
      </c>
      <c r="U145" s="136" t="s">
        <v>4369</v>
      </c>
      <c r="V145" s="14"/>
      <c r="W145" s="14"/>
      <c r="X145" s="14"/>
      <c r="Y145" s="14"/>
    </row>
    <row r="146" spans="2:25" ht="14.25" customHeight="1" x14ac:dyDescent="0.25">
      <c r="B146" s="104"/>
      <c r="C146" s="104" t="s">
        <v>4370</v>
      </c>
      <c r="D146" s="104">
        <v>29332779</v>
      </c>
      <c r="E146" s="104" t="s">
        <v>4371</v>
      </c>
      <c r="F146" s="158" t="s">
        <v>4372</v>
      </c>
      <c r="G146" s="132" t="s">
        <v>4373</v>
      </c>
      <c r="H146" s="132" t="s">
        <v>421</v>
      </c>
      <c r="I146" s="133">
        <v>82000</v>
      </c>
      <c r="J146" s="133"/>
      <c r="K146" s="133">
        <v>82000</v>
      </c>
      <c r="L146" s="57" t="s">
        <v>234</v>
      </c>
      <c r="M146" s="349"/>
      <c r="N146" s="138"/>
      <c r="O146" s="135"/>
      <c r="P146" s="104" t="s">
        <v>3354</v>
      </c>
      <c r="Q146" s="104" t="s">
        <v>20</v>
      </c>
      <c r="R146" s="104"/>
      <c r="S146" s="132" t="s">
        <v>4374</v>
      </c>
      <c r="T146" s="132"/>
      <c r="U146" s="136" t="s">
        <v>4375</v>
      </c>
      <c r="V146" s="14"/>
      <c r="W146" s="14"/>
      <c r="X146" s="14"/>
      <c r="Y146" s="14"/>
    </row>
    <row r="147" spans="2:25" ht="14.25" customHeight="1" x14ac:dyDescent="0.25">
      <c r="B147" s="14"/>
      <c r="C147" s="36" t="s">
        <v>4376</v>
      </c>
      <c r="D147" s="36">
        <v>16550618</v>
      </c>
      <c r="E147" s="36" t="s">
        <v>4377</v>
      </c>
      <c r="F147" s="36" t="s">
        <v>4378</v>
      </c>
      <c r="G147" s="36" t="s">
        <v>2713</v>
      </c>
      <c r="H147" s="64" t="s">
        <v>25</v>
      </c>
      <c r="I147" s="61">
        <v>42000</v>
      </c>
      <c r="J147" s="61"/>
      <c r="K147" s="61">
        <v>42000</v>
      </c>
      <c r="L147" s="57" t="s">
        <v>234</v>
      </c>
      <c r="M147" s="345"/>
      <c r="N147" s="65"/>
      <c r="O147" s="66"/>
      <c r="P147" s="15" t="s">
        <v>3354</v>
      </c>
      <c r="Q147" s="15" t="s">
        <v>20</v>
      </c>
      <c r="R147" s="15"/>
      <c r="S147" s="36" t="s">
        <v>4311</v>
      </c>
      <c r="T147" s="36"/>
      <c r="U147" s="63"/>
      <c r="V147" s="14"/>
      <c r="W147" s="14"/>
      <c r="X147" s="14"/>
      <c r="Y147" s="14"/>
    </row>
    <row r="148" spans="2:25" ht="14.25" customHeight="1" x14ac:dyDescent="0.25">
      <c r="B148" s="23"/>
      <c r="C148" s="69" t="s">
        <v>5428</v>
      </c>
      <c r="D148" s="36">
        <v>1122129212</v>
      </c>
      <c r="E148" s="36" t="s">
        <v>5429</v>
      </c>
      <c r="F148" s="36" t="s">
        <v>5430</v>
      </c>
      <c r="G148" s="36"/>
      <c r="H148" s="36" t="s">
        <v>25</v>
      </c>
      <c r="I148" s="61">
        <v>42000</v>
      </c>
      <c r="J148" s="61"/>
      <c r="K148" s="61">
        <v>42000</v>
      </c>
      <c r="L148" s="57" t="s">
        <v>234</v>
      </c>
      <c r="M148" s="345"/>
      <c r="N148" s="61"/>
      <c r="O148" s="66"/>
      <c r="P148" s="15" t="s">
        <v>3354</v>
      </c>
      <c r="Q148" s="15" t="s">
        <v>20</v>
      </c>
      <c r="R148" s="15"/>
      <c r="S148" s="36" t="s">
        <v>5431</v>
      </c>
      <c r="T148" s="36"/>
      <c r="U148" s="63" t="s">
        <v>5432</v>
      </c>
      <c r="V148" s="14"/>
      <c r="W148" s="14"/>
      <c r="X148" s="14"/>
      <c r="Y148" s="14"/>
    </row>
    <row r="149" spans="2:25" ht="14.25" customHeight="1" x14ac:dyDescent="0.25">
      <c r="B149" s="14"/>
      <c r="C149" s="36" t="s">
        <v>5437</v>
      </c>
      <c r="D149" s="36">
        <v>94253699</v>
      </c>
      <c r="E149" s="36">
        <v>3134241971</v>
      </c>
      <c r="F149" s="36" t="s">
        <v>5438</v>
      </c>
      <c r="G149" s="36" t="s">
        <v>1782</v>
      </c>
      <c r="H149" s="36" t="s">
        <v>421</v>
      </c>
      <c r="I149" s="61">
        <v>82000</v>
      </c>
      <c r="J149" s="61"/>
      <c r="K149" s="61">
        <v>82000</v>
      </c>
      <c r="L149" s="57" t="s">
        <v>234</v>
      </c>
      <c r="M149" s="345"/>
      <c r="N149" s="61"/>
      <c r="O149" s="66"/>
      <c r="P149" s="15" t="s">
        <v>3354</v>
      </c>
      <c r="Q149" s="15" t="s">
        <v>20</v>
      </c>
      <c r="R149" s="15"/>
      <c r="S149" s="36"/>
      <c r="T149" s="36"/>
      <c r="U149" s="63" t="s">
        <v>5439</v>
      </c>
      <c r="V149" s="14"/>
      <c r="W149" s="14"/>
      <c r="X149" s="14"/>
      <c r="Y149" s="14"/>
    </row>
    <row r="150" spans="2:25" ht="14.25" customHeight="1" x14ac:dyDescent="0.25">
      <c r="B150" s="14"/>
      <c r="C150" s="367" t="s">
        <v>5553</v>
      </c>
      <c r="D150" s="367">
        <v>1113518129</v>
      </c>
      <c r="E150" s="367">
        <v>3104756727</v>
      </c>
      <c r="F150" s="64"/>
      <c r="G150" s="64" t="s">
        <v>1782</v>
      </c>
      <c r="H150" s="64" t="s">
        <v>421</v>
      </c>
      <c r="I150" s="65">
        <v>82000</v>
      </c>
      <c r="J150" s="65"/>
      <c r="K150" s="65">
        <v>82000</v>
      </c>
      <c r="L150" s="57" t="s">
        <v>234</v>
      </c>
      <c r="M150" s="345"/>
      <c r="N150" s="65"/>
      <c r="O150" s="66"/>
      <c r="P150" s="15" t="s">
        <v>3354</v>
      </c>
      <c r="Q150" s="15" t="s">
        <v>20</v>
      </c>
      <c r="R150" s="15"/>
      <c r="S150" s="64" t="s">
        <v>5554</v>
      </c>
      <c r="T150" s="64"/>
      <c r="U150" s="84"/>
      <c r="V150" s="14"/>
      <c r="W150" s="14"/>
      <c r="X150" s="14"/>
      <c r="Y150" s="14"/>
    </row>
    <row r="151" spans="2:25" ht="14.25" customHeight="1" x14ac:dyDescent="0.25">
      <c r="B151" s="14"/>
      <c r="C151" s="36" t="s">
        <v>5454</v>
      </c>
      <c r="D151" s="36">
        <v>94254619</v>
      </c>
      <c r="E151" s="36">
        <v>3145872452</v>
      </c>
      <c r="F151" s="36" t="s">
        <v>3764</v>
      </c>
      <c r="G151" s="36"/>
      <c r="H151" s="36" t="s">
        <v>25</v>
      </c>
      <c r="I151" s="61">
        <v>82000</v>
      </c>
      <c r="J151" s="61"/>
      <c r="K151" s="61">
        <v>82000</v>
      </c>
      <c r="L151" s="57" t="s">
        <v>234</v>
      </c>
      <c r="M151" s="345"/>
      <c r="N151" s="61"/>
      <c r="O151" s="66"/>
      <c r="P151" s="15" t="s">
        <v>3354</v>
      </c>
      <c r="Q151" s="15" t="s">
        <v>20</v>
      </c>
      <c r="R151" s="15"/>
      <c r="S151" s="36" t="s">
        <v>5455</v>
      </c>
      <c r="T151" s="36"/>
      <c r="U151" s="63"/>
      <c r="V151" s="14"/>
      <c r="W151" s="14"/>
      <c r="X151" s="14"/>
      <c r="Y151" s="14"/>
    </row>
    <row r="152" spans="2:25" ht="14.25" customHeight="1" x14ac:dyDescent="0.25">
      <c r="B152" s="14"/>
      <c r="C152" s="15" t="s">
        <v>2701</v>
      </c>
      <c r="D152" s="15">
        <v>801002517</v>
      </c>
      <c r="E152" s="15"/>
      <c r="F152" s="15" t="s">
        <v>2702</v>
      </c>
      <c r="G152" s="15"/>
      <c r="H152" s="64" t="s">
        <v>5480</v>
      </c>
      <c r="I152" s="324">
        <v>97580</v>
      </c>
      <c r="K152" s="7">
        <v>97580</v>
      </c>
      <c r="L152" s="57" t="s">
        <v>234</v>
      </c>
      <c r="M152" s="20"/>
      <c r="N152" s="21"/>
      <c r="O152" s="13"/>
      <c r="P152" s="325" t="s">
        <v>3354</v>
      </c>
      <c r="Q152" s="14" t="s">
        <v>20</v>
      </c>
      <c r="R152" s="14"/>
      <c r="S152" s="14" t="s">
        <v>423</v>
      </c>
      <c r="T152" s="14" t="s">
        <v>2703</v>
      </c>
      <c r="U152" s="63"/>
      <c r="V152" s="14"/>
      <c r="W152" s="14"/>
      <c r="X152" s="14"/>
      <c r="Y152" s="14"/>
    </row>
    <row r="153" spans="2:25" ht="14.25" customHeight="1" x14ac:dyDescent="0.25">
      <c r="B153" s="368"/>
      <c r="C153" s="369" t="s">
        <v>5485</v>
      </c>
      <c r="D153" s="369">
        <v>4539549</v>
      </c>
      <c r="E153" s="369">
        <v>3128426399</v>
      </c>
      <c r="F153" s="71" t="s">
        <v>3282</v>
      </c>
      <c r="G153" s="71" t="s">
        <v>1782</v>
      </c>
      <c r="H153" s="71" t="s">
        <v>3327</v>
      </c>
      <c r="I153" s="61">
        <v>82000</v>
      </c>
      <c r="J153" s="27"/>
      <c r="K153" s="324">
        <v>82000</v>
      </c>
      <c r="L153" s="57" t="s">
        <v>234</v>
      </c>
      <c r="M153" s="350"/>
      <c r="N153" s="27"/>
      <c r="O153" s="26"/>
      <c r="P153" s="15" t="s">
        <v>3354</v>
      </c>
      <c r="Q153" s="325" t="s">
        <v>20</v>
      </c>
      <c r="S153" s="96" t="s">
        <v>4269</v>
      </c>
      <c r="T153" t="s">
        <v>5486</v>
      </c>
      <c r="U153" s="17"/>
      <c r="V153" s="14"/>
      <c r="W153" s="14"/>
      <c r="X153" s="14"/>
      <c r="Y153" s="14"/>
    </row>
    <row r="154" spans="2:25" ht="14.25" customHeight="1" x14ac:dyDescent="0.25">
      <c r="B154" s="14" t="s">
        <v>4150</v>
      </c>
      <c r="C154" s="64" t="s">
        <v>3376</v>
      </c>
      <c r="D154" s="64">
        <v>66961593</v>
      </c>
      <c r="E154" s="64">
        <v>3216531717</v>
      </c>
      <c r="F154" s="17" t="s">
        <v>5491</v>
      </c>
      <c r="G154" s="17"/>
      <c r="H154" s="15" t="s">
        <v>421</v>
      </c>
      <c r="I154" s="27">
        <v>122000</v>
      </c>
      <c r="J154" s="27"/>
      <c r="K154" s="61">
        <v>122000</v>
      </c>
      <c r="L154" s="57" t="s">
        <v>234</v>
      </c>
      <c r="M154" s="350"/>
      <c r="N154" s="27"/>
      <c r="O154" s="26"/>
      <c r="P154" s="15"/>
      <c r="Q154" s="325" t="s">
        <v>20</v>
      </c>
      <c r="R154" s="15"/>
      <c r="S154" s="15" t="s">
        <v>4123</v>
      </c>
      <c r="T154" s="15" t="s">
        <v>3378</v>
      </c>
      <c r="U154" s="15"/>
      <c r="V154" s="14"/>
      <c r="W154" s="14"/>
      <c r="X154" s="14"/>
      <c r="Y154" s="14"/>
    </row>
    <row r="155" spans="2:25" ht="14.25" customHeight="1" x14ac:dyDescent="0.25">
      <c r="B155" s="14" t="s">
        <v>419</v>
      </c>
      <c r="C155" s="15" t="s">
        <v>5603</v>
      </c>
      <c r="D155" s="17">
        <v>7563848</v>
      </c>
      <c r="E155" s="17">
        <v>3136170304</v>
      </c>
      <c r="F155" s="17" t="s">
        <v>4783</v>
      </c>
      <c r="G155" s="17" t="s">
        <v>3354</v>
      </c>
      <c r="H155" s="15" t="s">
        <v>25</v>
      </c>
      <c r="I155" s="27">
        <v>42000</v>
      </c>
      <c r="J155" s="27"/>
      <c r="K155" s="61">
        <v>42000</v>
      </c>
      <c r="L155" s="57" t="s">
        <v>234</v>
      </c>
      <c r="M155" s="350"/>
      <c r="N155" s="27"/>
      <c r="O155" s="26"/>
      <c r="P155" s="15" t="s">
        <v>3354</v>
      </c>
      <c r="Q155" s="15" t="s">
        <v>20</v>
      </c>
      <c r="R155" s="15"/>
      <c r="S155" s="15"/>
      <c r="T155" s="15"/>
      <c r="U155" s="15"/>
      <c r="V155" s="14"/>
      <c r="W155" s="14"/>
      <c r="X155" s="14"/>
      <c r="Y155" s="14"/>
    </row>
    <row r="156" spans="2:25" ht="14.25" customHeight="1" x14ac:dyDescent="0.25">
      <c r="B156" s="14" t="s">
        <v>5604</v>
      </c>
      <c r="C156" s="15" t="s">
        <v>5605</v>
      </c>
      <c r="D156" s="17">
        <v>24806306</v>
      </c>
      <c r="E156" s="17">
        <v>3147625601</v>
      </c>
      <c r="F156" s="17"/>
      <c r="G156" s="17"/>
      <c r="H156" s="15" t="s">
        <v>25</v>
      </c>
      <c r="I156" s="27">
        <v>102000</v>
      </c>
      <c r="J156" s="27"/>
      <c r="K156" s="61">
        <v>102000</v>
      </c>
      <c r="L156" s="57" t="s">
        <v>234</v>
      </c>
      <c r="M156" s="345"/>
      <c r="N156" s="61"/>
      <c r="O156" s="66"/>
      <c r="P156" s="15" t="s">
        <v>3354</v>
      </c>
      <c r="Q156" s="15" t="s">
        <v>20</v>
      </c>
      <c r="R156" s="15"/>
      <c r="S156" s="15" t="s">
        <v>4154</v>
      </c>
      <c r="T156" s="15" t="s">
        <v>4290</v>
      </c>
      <c r="U156" s="15"/>
      <c r="V156" s="14"/>
      <c r="W156" s="14"/>
      <c r="X156" s="14"/>
      <c r="Y156" s="14"/>
    </row>
    <row r="157" spans="2:25" ht="14.25" customHeight="1" x14ac:dyDescent="0.25">
      <c r="B157" s="14" t="s">
        <v>419</v>
      </c>
      <c r="C157" s="36" t="s">
        <v>5621</v>
      </c>
      <c r="D157" s="36">
        <v>29332312</v>
      </c>
      <c r="E157" s="36">
        <v>3135206723</v>
      </c>
      <c r="F157" s="36"/>
      <c r="G157" s="36" t="s">
        <v>3354</v>
      </c>
      <c r="H157" s="36" t="s">
        <v>25</v>
      </c>
      <c r="I157" s="61">
        <v>42000</v>
      </c>
      <c r="J157" s="7"/>
      <c r="K157" s="61">
        <v>42000</v>
      </c>
      <c r="L157" s="57" t="s">
        <v>234</v>
      </c>
      <c r="M157" s="345"/>
      <c r="N157" s="61"/>
      <c r="O157" s="66"/>
      <c r="P157" s="14" t="s">
        <v>4135</v>
      </c>
      <c r="Q157" s="14" t="s">
        <v>20</v>
      </c>
      <c r="R157" s="14"/>
      <c r="S157" s="14" t="s">
        <v>5622</v>
      </c>
      <c r="T157" s="14"/>
      <c r="U157" s="14"/>
      <c r="V157" s="14"/>
      <c r="W157" s="14"/>
      <c r="X157" s="14"/>
      <c r="Y157" s="14"/>
    </row>
    <row r="158" spans="2:25" ht="14.25" customHeight="1" x14ac:dyDescent="0.25">
      <c r="B158" s="14" t="s">
        <v>419</v>
      </c>
      <c r="C158" s="36" t="s">
        <v>5623</v>
      </c>
      <c r="D158" s="36">
        <v>94253562</v>
      </c>
      <c r="E158" s="36" t="s">
        <v>5624</v>
      </c>
      <c r="F158" s="36" t="s">
        <v>4754</v>
      </c>
      <c r="G158" s="36" t="s">
        <v>5627</v>
      </c>
      <c r="H158" s="36" t="s">
        <v>25</v>
      </c>
      <c r="I158" s="61">
        <v>42000</v>
      </c>
      <c r="J158" s="7"/>
      <c r="K158" s="61">
        <v>42000</v>
      </c>
      <c r="L158" s="57" t="s">
        <v>234</v>
      </c>
      <c r="M158" s="345"/>
      <c r="N158" s="61"/>
      <c r="O158" s="66"/>
      <c r="P158" s="14" t="s">
        <v>3354</v>
      </c>
      <c r="Q158" s="14" t="s">
        <v>20</v>
      </c>
      <c r="R158" s="14"/>
      <c r="S158" s="14" t="s">
        <v>5625</v>
      </c>
      <c r="T158" s="14" t="s">
        <v>5626</v>
      </c>
      <c r="U158" s="14"/>
      <c r="V158" s="14"/>
      <c r="W158" s="14"/>
      <c r="X158" s="14"/>
      <c r="Y158" s="14"/>
    </row>
    <row r="159" spans="2:25" ht="14.25" customHeight="1" x14ac:dyDescent="0.25">
      <c r="B159" s="14" t="s">
        <v>419</v>
      </c>
      <c r="C159" s="36" t="s">
        <v>5633</v>
      </c>
      <c r="D159" s="36">
        <v>29831923</v>
      </c>
      <c r="E159" s="36">
        <v>3104553615</v>
      </c>
      <c r="F159" s="36" t="s">
        <v>4093</v>
      </c>
      <c r="G159" s="36" t="s">
        <v>1782</v>
      </c>
      <c r="H159" s="36" t="s">
        <v>421</v>
      </c>
      <c r="I159" s="61">
        <v>82000</v>
      </c>
      <c r="J159" s="7"/>
      <c r="K159" s="61">
        <v>82000</v>
      </c>
      <c r="L159" s="57" t="s">
        <v>234</v>
      </c>
      <c r="M159" s="345"/>
      <c r="N159" s="61"/>
      <c r="O159" s="66"/>
      <c r="P159" s="14" t="s">
        <v>3354</v>
      </c>
      <c r="Q159" s="14" t="s">
        <v>20</v>
      </c>
      <c r="R159" s="14"/>
      <c r="S159" s="14" t="s">
        <v>423</v>
      </c>
      <c r="T159" s="14" t="s">
        <v>5634</v>
      </c>
      <c r="U159" s="14"/>
      <c r="V159" s="14"/>
      <c r="W159" s="14"/>
      <c r="X159" s="14"/>
      <c r="Y159" s="14"/>
    </row>
    <row r="160" spans="2:25" ht="14.25" customHeight="1" x14ac:dyDescent="0.25">
      <c r="B160" s="14" t="s">
        <v>419</v>
      </c>
      <c r="C160" s="36" t="s">
        <v>5636</v>
      </c>
      <c r="D160" s="36">
        <v>24992036</v>
      </c>
      <c r="E160" s="36">
        <v>3023710573</v>
      </c>
      <c r="F160" s="36" t="s">
        <v>5407</v>
      </c>
      <c r="G160" s="36"/>
      <c r="H160" s="36" t="s">
        <v>25</v>
      </c>
      <c r="I160" s="61">
        <v>42000</v>
      </c>
      <c r="J160" s="7"/>
      <c r="K160" s="61">
        <v>42000</v>
      </c>
      <c r="L160" s="57" t="s">
        <v>234</v>
      </c>
      <c r="M160" s="345"/>
      <c r="N160" s="61"/>
      <c r="O160" s="66"/>
      <c r="P160" s="14" t="s">
        <v>3354</v>
      </c>
      <c r="Q160" s="14" t="s">
        <v>20</v>
      </c>
      <c r="R160" s="14"/>
      <c r="S160" s="14" t="s">
        <v>5637</v>
      </c>
      <c r="T160" s="14" t="s">
        <v>5638</v>
      </c>
      <c r="U160" s="14"/>
      <c r="V160" s="14"/>
      <c r="W160" s="14"/>
      <c r="X160" s="14"/>
      <c r="Y160" s="14"/>
    </row>
    <row r="161" spans="2:25" ht="14.25" customHeight="1" x14ac:dyDescent="0.25">
      <c r="B161" s="14"/>
      <c r="C161" s="15"/>
      <c r="D161" s="17"/>
      <c r="E161" s="17"/>
      <c r="F161" s="17"/>
      <c r="G161" s="17"/>
      <c r="H161" s="15"/>
      <c r="I161" s="61"/>
      <c r="J161" s="7"/>
      <c r="K161" s="61"/>
      <c r="L161" s="57"/>
      <c r="M161" s="345"/>
      <c r="N161" s="61"/>
      <c r="O161" s="66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2:25" ht="14.25" customHeight="1" x14ac:dyDescent="0.25">
      <c r="B162" s="14"/>
      <c r="C162" s="36"/>
      <c r="D162" s="36"/>
      <c r="E162" s="36"/>
      <c r="F162" s="36"/>
      <c r="G162" s="36"/>
      <c r="H162" s="36"/>
      <c r="I162" s="61"/>
      <c r="J162" s="7"/>
      <c r="K162" s="61"/>
      <c r="L162" s="57"/>
      <c r="M162" s="345"/>
      <c r="N162" s="61"/>
      <c r="O162" s="66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2:25" ht="14.25" customHeight="1" x14ac:dyDescent="0.25">
      <c r="B163" s="14"/>
      <c r="C163" s="36"/>
      <c r="D163" s="36"/>
      <c r="E163" s="36"/>
      <c r="F163" s="36"/>
      <c r="G163" s="36"/>
      <c r="H163" s="36"/>
      <c r="I163" s="61"/>
      <c r="J163" s="7"/>
      <c r="K163" s="61"/>
      <c r="L163" s="57"/>
      <c r="M163" s="345"/>
      <c r="N163" s="61"/>
      <c r="O163" s="66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2:25" ht="14.25" customHeight="1" x14ac:dyDescent="0.25">
      <c r="B164" s="14"/>
      <c r="C164" s="36"/>
      <c r="D164" s="36"/>
      <c r="E164" s="36"/>
      <c r="F164" s="36"/>
      <c r="G164" s="36"/>
      <c r="H164" s="36"/>
      <c r="I164" s="61"/>
      <c r="J164" s="7"/>
      <c r="K164" s="61"/>
      <c r="L164" s="57"/>
      <c r="M164" s="345"/>
      <c r="N164" s="61"/>
      <c r="O164" s="66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2:25" ht="14.25" customHeight="1" x14ac:dyDescent="0.25">
      <c r="B165" s="14"/>
      <c r="C165" s="36"/>
      <c r="D165" s="36"/>
      <c r="E165" s="36"/>
      <c r="F165" s="36"/>
      <c r="G165" s="36"/>
      <c r="H165" s="36"/>
      <c r="I165" s="61"/>
      <c r="J165" s="7"/>
      <c r="K165" s="61"/>
      <c r="L165" s="57"/>
      <c r="M165" s="345"/>
      <c r="N165" s="61"/>
      <c r="O165" s="66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2:25" ht="14.25" customHeight="1" x14ac:dyDescent="0.25">
      <c r="B166" s="14"/>
      <c r="C166" s="36"/>
      <c r="D166" s="36"/>
      <c r="E166" s="36"/>
      <c r="F166" s="36"/>
      <c r="G166" s="36"/>
      <c r="H166" s="36"/>
      <c r="I166" s="61"/>
      <c r="J166" s="7"/>
      <c r="K166" s="61"/>
      <c r="L166" s="57"/>
      <c r="M166" s="345"/>
      <c r="N166" s="61"/>
      <c r="O166" s="66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2:25" ht="14.25" customHeight="1" x14ac:dyDescent="0.25">
      <c r="B167" s="14"/>
      <c r="C167" s="36"/>
      <c r="D167" s="36"/>
      <c r="E167" s="36"/>
      <c r="F167" s="36"/>
      <c r="G167" s="36"/>
      <c r="H167" s="36"/>
      <c r="I167" s="61"/>
      <c r="J167" s="7"/>
      <c r="K167" s="61"/>
      <c r="L167" s="57"/>
      <c r="M167" s="345"/>
      <c r="N167" s="61"/>
      <c r="O167" s="66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2:25" ht="14.25" customHeight="1" x14ac:dyDescent="0.25">
      <c r="B168" s="14"/>
      <c r="C168" s="36"/>
      <c r="D168" s="36"/>
      <c r="E168" s="36"/>
      <c r="F168" s="36"/>
      <c r="G168" s="36"/>
      <c r="H168" s="36"/>
      <c r="I168" s="61"/>
      <c r="J168" s="7"/>
      <c r="K168" s="61"/>
      <c r="L168" s="57"/>
      <c r="M168" s="345"/>
      <c r="N168" s="61"/>
      <c r="O168" s="66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2:25" ht="14.25" customHeight="1" x14ac:dyDescent="0.25">
      <c r="B169" s="14"/>
      <c r="C169" s="36"/>
      <c r="D169" s="36"/>
      <c r="E169" s="36"/>
      <c r="F169" s="36"/>
      <c r="G169" s="36"/>
      <c r="H169" s="36"/>
      <c r="I169" s="61"/>
      <c r="J169" s="7"/>
      <c r="K169" s="61"/>
      <c r="L169" s="57"/>
      <c r="M169" s="345"/>
      <c r="N169" s="61"/>
      <c r="O169" s="66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2:25" ht="14.25" customHeight="1" x14ac:dyDescent="0.25">
      <c r="B170" s="14"/>
      <c r="C170" s="36"/>
      <c r="D170" s="36"/>
      <c r="E170" s="36"/>
      <c r="F170" s="36"/>
      <c r="G170" s="36"/>
      <c r="H170" s="36"/>
      <c r="I170" s="61"/>
      <c r="J170" s="7"/>
      <c r="K170" s="61"/>
      <c r="L170" s="57"/>
      <c r="M170" s="345"/>
      <c r="N170" s="61"/>
      <c r="O170" s="66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2:25" ht="14.25" customHeight="1" x14ac:dyDescent="0.25">
      <c r="B171" s="14"/>
      <c r="C171" s="36"/>
      <c r="D171" s="36"/>
      <c r="E171" s="36"/>
      <c r="F171" s="36"/>
      <c r="G171" s="36"/>
      <c r="H171" s="36"/>
      <c r="I171" s="61"/>
      <c r="J171" s="7"/>
      <c r="K171" s="61"/>
      <c r="L171" s="57"/>
      <c r="M171" s="345"/>
      <c r="N171" s="61"/>
      <c r="O171" s="66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2:25" ht="14.25" customHeight="1" x14ac:dyDescent="0.25">
      <c r="B172" s="14"/>
      <c r="C172" s="36"/>
      <c r="D172" s="36"/>
      <c r="E172" s="36"/>
      <c r="F172" s="36"/>
      <c r="G172" s="36"/>
      <c r="H172" s="36"/>
      <c r="I172" s="61"/>
      <c r="J172" s="7"/>
      <c r="K172" s="61"/>
      <c r="L172" s="57"/>
      <c r="M172" s="345"/>
      <c r="N172" s="61"/>
      <c r="O172" s="66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2:25" ht="14.25" customHeight="1" x14ac:dyDescent="0.25">
      <c r="B173" s="14"/>
      <c r="C173" s="36"/>
      <c r="D173" s="36"/>
      <c r="E173" s="36"/>
      <c r="F173" s="36"/>
      <c r="G173" s="36"/>
      <c r="H173" s="36"/>
      <c r="I173" s="61"/>
      <c r="J173" s="7"/>
      <c r="K173" s="61"/>
      <c r="L173" s="57"/>
      <c r="M173" s="345"/>
      <c r="N173" s="61"/>
      <c r="O173" s="66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2:25" ht="14.25" customHeight="1" x14ac:dyDescent="0.25">
      <c r="B174" s="14"/>
      <c r="C174" s="36"/>
      <c r="D174" s="36"/>
      <c r="E174" s="36"/>
      <c r="F174" s="36"/>
      <c r="G174" s="36"/>
      <c r="H174" s="36"/>
      <c r="I174" s="61"/>
      <c r="J174" s="7"/>
      <c r="K174" s="61"/>
      <c r="L174" s="57"/>
      <c r="M174" s="345"/>
      <c r="N174" s="61"/>
      <c r="O174" s="66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2:25" ht="14.25" customHeight="1" x14ac:dyDescent="0.25">
      <c r="B175" s="14"/>
      <c r="C175" s="36"/>
      <c r="D175" s="36"/>
      <c r="E175" s="36"/>
      <c r="F175" s="36"/>
      <c r="G175" s="36"/>
      <c r="H175" s="36"/>
      <c r="I175" s="61"/>
      <c r="J175" s="7"/>
      <c r="K175" s="61"/>
      <c r="L175" s="57"/>
      <c r="M175" s="345"/>
      <c r="N175" s="61"/>
      <c r="O175" s="66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2:25" ht="14.25" customHeight="1" x14ac:dyDescent="0.25">
      <c r="B176" s="14"/>
      <c r="C176" s="36"/>
      <c r="D176" s="36"/>
      <c r="E176" s="36"/>
      <c r="F176" s="36"/>
      <c r="G176" s="36"/>
      <c r="H176" s="36"/>
      <c r="I176" s="61"/>
      <c r="J176" s="7"/>
      <c r="K176" s="61"/>
      <c r="L176" s="57"/>
      <c r="M176" s="345"/>
      <c r="N176" s="61"/>
      <c r="O176" s="66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2:25" ht="14.25" customHeight="1" x14ac:dyDescent="0.25">
      <c r="B177" s="14"/>
      <c r="C177" s="63"/>
      <c r="D177" s="63"/>
      <c r="E177" s="63"/>
      <c r="F177" s="63"/>
      <c r="G177" s="63"/>
      <c r="H177" s="63"/>
      <c r="I177" s="78"/>
      <c r="J177" s="7"/>
      <c r="K177" s="78"/>
      <c r="L177" s="57"/>
      <c r="M177" s="351"/>
      <c r="N177" s="78"/>
      <c r="O177" s="30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2:25" ht="14.25" customHeight="1" x14ac:dyDescent="0.25">
      <c r="B178" s="14"/>
      <c r="C178" s="36"/>
      <c r="D178" s="36"/>
      <c r="E178" s="36"/>
      <c r="F178" s="36"/>
      <c r="G178" s="36"/>
      <c r="H178" s="36"/>
      <c r="I178" s="61"/>
      <c r="J178" s="7"/>
      <c r="K178" s="61"/>
      <c r="L178" s="57"/>
      <c r="M178" s="345"/>
      <c r="N178" s="61"/>
      <c r="O178" s="66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2:25" ht="14.25" customHeight="1" x14ac:dyDescent="0.25">
      <c r="B179" s="14"/>
      <c r="C179" s="36"/>
      <c r="D179" s="36"/>
      <c r="E179" s="36"/>
      <c r="F179" s="36"/>
      <c r="G179" s="36"/>
      <c r="H179" s="36"/>
      <c r="I179" s="61"/>
      <c r="J179" s="7"/>
      <c r="K179" s="61"/>
      <c r="L179" s="57"/>
      <c r="M179" s="345"/>
      <c r="N179" s="61"/>
      <c r="O179" s="66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2:25" ht="14.25" customHeight="1" x14ac:dyDescent="0.25">
      <c r="B180" s="14"/>
      <c r="C180" s="36"/>
      <c r="D180" s="36"/>
      <c r="E180" s="36"/>
      <c r="F180" s="36"/>
      <c r="G180" s="36"/>
      <c r="H180" s="36"/>
      <c r="I180" s="61"/>
      <c r="J180" s="7"/>
      <c r="K180" s="61"/>
      <c r="L180" s="57"/>
      <c r="M180" s="345"/>
      <c r="N180" s="61"/>
      <c r="O180" s="66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2:25" ht="14.25" customHeight="1" x14ac:dyDescent="0.25">
      <c r="B181" s="14"/>
      <c r="C181" s="36"/>
      <c r="D181" s="36"/>
      <c r="E181" s="36"/>
      <c r="F181" s="36"/>
      <c r="G181" s="36"/>
      <c r="H181" s="36"/>
      <c r="I181" s="61"/>
      <c r="J181" s="7"/>
      <c r="K181" s="61"/>
      <c r="L181" s="57"/>
      <c r="M181" s="345"/>
      <c r="N181" s="61"/>
      <c r="O181" s="66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2:25" ht="14.25" customHeight="1" x14ac:dyDescent="0.25">
      <c r="B182" s="14"/>
      <c r="C182" s="36"/>
      <c r="D182" s="36"/>
      <c r="E182" s="36"/>
      <c r="F182" s="36"/>
      <c r="G182" s="36"/>
      <c r="H182" s="36"/>
      <c r="I182" s="61"/>
      <c r="J182" s="7"/>
      <c r="K182" s="61"/>
      <c r="L182" s="57"/>
      <c r="M182" s="345"/>
      <c r="N182" s="61"/>
      <c r="O182" s="66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2:25" ht="14.25" customHeight="1" x14ac:dyDescent="0.25">
      <c r="B183" s="14"/>
      <c r="C183" s="36"/>
      <c r="D183" s="36"/>
      <c r="E183" s="36"/>
      <c r="F183" s="36"/>
      <c r="G183" s="36"/>
      <c r="H183" s="36"/>
      <c r="I183" s="61"/>
      <c r="J183" s="7"/>
      <c r="K183" s="61"/>
      <c r="L183" s="57"/>
      <c r="M183" s="345"/>
      <c r="N183" s="61"/>
      <c r="O183" s="66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2:25" ht="14.25" customHeight="1" x14ac:dyDescent="0.25">
      <c r="B184" s="14"/>
      <c r="C184" s="36"/>
      <c r="D184" s="36"/>
      <c r="E184" s="36"/>
      <c r="F184" s="36"/>
      <c r="G184" s="36"/>
      <c r="H184" s="36"/>
      <c r="I184" s="61"/>
      <c r="J184" s="7"/>
      <c r="K184" s="61"/>
      <c r="L184" s="57"/>
      <c r="M184" s="345"/>
      <c r="N184" s="61"/>
      <c r="O184" s="66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2:25" ht="14.25" customHeight="1" x14ac:dyDescent="0.25">
      <c r="B185" s="14"/>
      <c r="C185" s="36"/>
      <c r="D185" s="36"/>
      <c r="E185" s="36"/>
      <c r="F185" s="36"/>
      <c r="G185" s="36"/>
      <c r="H185" s="36"/>
      <c r="I185" s="61"/>
      <c r="J185" s="7"/>
      <c r="K185" s="61"/>
      <c r="L185" s="57"/>
      <c r="M185" s="345"/>
      <c r="N185" s="61"/>
      <c r="O185" s="66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2:25" ht="14.25" customHeight="1" x14ac:dyDescent="0.25">
      <c r="B186" s="14"/>
      <c r="C186" s="36"/>
      <c r="D186" s="36"/>
      <c r="E186" s="36"/>
      <c r="F186" s="36"/>
      <c r="G186" s="36"/>
      <c r="H186" s="36"/>
      <c r="I186" s="61"/>
      <c r="J186" s="7"/>
      <c r="K186" s="61"/>
      <c r="L186" s="57"/>
      <c r="M186" s="345"/>
      <c r="N186" s="61"/>
      <c r="O186" s="66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2:25" ht="14.25" customHeight="1" x14ac:dyDescent="0.25">
      <c r="B187" s="14"/>
      <c r="C187" s="36"/>
      <c r="D187" s="36"/>
      <c r="E187" s="36"/>
      <c r="F187" s="36"/>
      <c r="G187" s="36"/>
      <c r="H187" s="36"/>
      <c r="I187" s="61"/>
      <c r="J187" s="7"/>
      <c r="K187" s="61"/>
      <c r="L187" s="57"/>
      <c r="M187" s="345"/>
      <c r="N187" s="61"/>
      <c r="O187" s="66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2:25" ht="14.25" customHeight="1" x14ac:dyDescent="0.25">
      <c r="B188" s="14"/>
      <c r="C188" s="36"/>
      <c r="D188" s="36"/>
      <c r="E188" s="36"/>
      <c r="F188" s="36"/>
      <c r="G188" s="36"/>
      <c r="H188" s="36"/>
      <c r="I188" s="61"/>
      <c r="J188" s="7"/>
      <c r="K188" s="61"/>
      <c r="L188" s="57"/>
      <c r="M188" s="345"/>
      <c r="N188" s="61"/>
      <c r="O188" s="66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2:25" ht="14.25" customHeight="1" x14ac:dyDescent="0.25">
      <c r="B189" s="14"/>
      <c r="C189" s="36"/>
      <c r="D189" s="36"/>
      <c r="E189" s="36"/>
      <c r="F189" s="36"/>
      <c r="G189" s="36"/>
      <c r="H189" s="36"/>
      <c r="I189" s="61"/>
      <c r="J189" s="7"/>
      <c r="K189" s="61"/>
      <c r="L189" s="57"/>
      <c r="M189" s="345"/>
      <c r="N189" s="61"/>
      <c r="O189" s="66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2:25" ht="14.25" customHeight="1" x14ac:dyDescent="0.25">
      <c r="B190" s="14"/>
      <c r="C190" s="36"/>
      <c r="D190" s="36"/>
      <c r="E190" s="36"/>
      <c r="F190" s="36"/>
      <c r="G190" s="36"/>
      <c r="H190" s="36"/>
      <c r="I190" s="61"/>
      <c r="J190" s="7"/>
      <c r="K190" s="61"/>
      <c r="L190" s="57"/>
      <c r="M190" s="345"/>
      <c r="N190" s="61"/>
      <c r="O190" s="66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2:25" ht="14.25" customHeight="1" x14ac:dyDescent="0.25">
      <c r="B191" s="14"/>
      <c r="C191" s="36"/>
      <c r="D191" s="36"/>
      <c r="E191" s="36"/>
      <c r="F191" s="36"/>
      <c r="G191" s="36"/>
      <c r="H191" s="36"/>
      <c r="I191" s="61"/>
      <c r="J191" s="7"/>
      <c r="K191" s="61"/>
      <c r="L191" s="57"/>
      <c r="M191" s="345"/>
      <c r="N191" s="61"/>
      <c r="O191" s="66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2:25" ht="14.25" customHeight="1" x14ac:dyDescent="0.25">
      <c r="B192" s="14"/>
      <c r="C192" s="36"/>
      <c r="D192" s="36"/>
      <c r="E192" s="36"/>
      <c r="F192" s="36"/>
      <c r="G192" s="36"/>
      <c r="H192" s="36"/>
      <c r="I192" s="61"/>
      <c r="J192" s="7"/>
      <c r="K192" s="61"/>
      <c r="L192" s="57"/>
      <c r="M192" s="345"/>
      <c r="N192" s="61"/>
      <c r="O192" s="66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2:25" ht="14.25" customHeight="1" x14ac:dyDescent="0.25">
      <c r="B193" s="14"/>
      <c r="C193" s="36"/>
      <c r="D193" s="36"/>
      <c r="E193" s="36"/>
      <c r="F193" s="36"/>
      <c r="G193" s="36"/>
      <c r="H193" s="36"/>
      <c r="I193" s="61"/>
      <c r="J193" s="7"/>
      <c r="K193" s="61"/>
      <c r="L193" s="57"/>
      <c r="M193" s="345"/>
      <c r="N193" s="61"/>
      <c r="O193" s="66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2:25" ht="14.25" customHeight="1" x14ac:dyDescent="0.25">
      <c r="B194" s="14"/>
      <c r="C194" s="36"/>
      <c r="D194" s="36"/>
      <c r="E194" s="36"/>
      <c r="F194" s="36"/>
      <c r="G194" s="36"/>
      <c r="H194" s="36"/>
      <c r="I194" s="61"/>
      <c r="J194" s="7"/>
      <c r="K194" s="61"/>
      <c r="L194" s="57"/>
      <c r="M194" s="345"/>
      <c r="N194" s="61"/>
      <c r="O194" s="66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2:25" ht="14.25" customHeight="1" x14ac:dyDescent="0.25">
      <c r="B195" s="14"/>
      <c r="C195" s="36"/>
      <c r="D195" s="36"/>
      <c r="E195" s="36"/>
      <c r="F195" s="36"/>
      <c r="G195" s="36"/>
      <c r="H195" s="36"/>
      <c r="I195" s="61"/>
      <c r="J195" s="7"/>
      <c r="K195" s="61"/>
      <c r="L195" s="57"/>
      <c r="M195" s="345"/>
      <c r="N195" s="61"/>
      <c r="O195" s="66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2:25" ht="14.25" customHeight="1" x14ac:dyDescent="0.25">
      <c r="B196" s="14"/>
      <c r="C196" s="36"/>
      <c r="D196" s="36"/>
      <c r="E196" s="36"/>
      <c r="F196" s="36"/>
      <c r="G196" s="36"/>
      <c r="H196" s="36"/>
      <c r="I196" s="61"/>
      <c r="J196" s="7"/>
      <c r="K196" s="61"/>
      <c r="L196" s="57"/>
      <c r="M196" s="345"/>
      <c r="N196" s="61"/>
      <c r="O196" s="66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2:25" ht="14.25" customHeight="1" x14ac:dyDescent="0.25">
      <c r="B197" s="14"/>
      <c r="C197" s="36"/>
      <c r="D197" s="36"/>
      <c r="E197" s="36"/>
      <c r="F197" s="36"/>
      <c r="G197" s="36"/>
      <c r="H197" s="36"/>
      <c r="I197" s="61"/>
      <c r="J197" s="7"/>
      <c r="K197" s="61"/>
      <c r="L197" s="57"/>
      <c r="M197" s="345"/>
      <c r="N197" s="61"/>
      <c r="O197" s="66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2:25" ht="14.25" customHeight="1" x14ac:dyDescent="0.25">
      <c r="B198" s="14"/>
      <c r="C198" s="36"/>
      <c r="D198" s="36"/>
      <c r="E198" s="36"/>
      <c r="F198" s="36"/>
      <c r="G198" s="36"/>
      <c r="H198" s="36"/>
      <c r="I198" s="61"/>
      <c r="J198" s="7"/>
      <c r="K198" s="61"/>
      <c r="L198" s="57"/>
      <c r="M198" s="345"/>
      <c r="N198" s="61"/>
      <c r="O198" s="66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2:25" ht="14.25" customHeight="1" x14ac:dyDescent="0.25">
      <c r="B199" s="14"/>
      <c r="C199" s="36"/>
      <c r="D199" s="36"/>
      <c r="E199" s="36"/>
      <c r="F199" s="36"/>
      <c r="G199" s="36"/>
      <c r="H199" s="36"/>
      <c r="I199" s="61"/>
      <c r="J199" s="7"/>
      <c r="K199" s="61"/>
      <c r="L199" s="57"/>
      <c r="M199" s="345"/>
      <c r="N199" s="61"/>
      <c r="O199" s="66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2:25" ht="14.25" customHeight="1" x14ac:dyDescent="0.25">
      <c r="B200" s="14"/>
      <c r="C200" s="36"/>
      <c r="D200" s="36"/>
      <c r="E200" s="36"/>
      <c r="F200" s="36"/>
      <c r="G200" s="36"/>
      <c r="H200" s="36"/>
      <c r="I200" s="61"/>
      <c r="J200" s="7"/>
      <c r="K200" s="61"/>
      <c r="L200" s="57"/>
      <c r="M200" s="345"/>
      <c r="N200" s="61"/>
      <c r="O200" s="66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2:25" ht="14.25" customHeight="1" x14ac:dyDescent="0.25">
      <c r="B201" s="14"/>
      <c r="C201" s="36"/>
      <c r="D201" s="36"/>
      <c r="E201" s="36"/>
      <c r="F201" s="36"/>
      <c r="G201" s="36"/>
      <c r="H201" s="36"/>
      <c r="I201" s="61"/>
      <c r="J201" s="7"/>
      <c r="K201" s="61"/>
      <c r="L201" s="57"/>
      <c r="M201" s="345"/>
      <c r="N201" s="61"/>
      <c r="O201" s="66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2:25" ht="14.25" customHeight="1" x14ac:dyDescent="0.25">
      <c r="B202" s="14"/>
      <c r="C202" s="63"/>
      <c r="D202" s="63"/>
      <c r="E202" s="63"/>
      <c r="F202" s="63"/>
      <c r="G202" s="63"/>
      <c r="H202" s="63"/>
      <c r="I202" s="78"/>
      <c r="J202" s="7"/>
      <c r="K202" s="61"/>
      <c r="L202" s="57"/>
      <c r="M202" s="345"/>
      <c r="N202" s="61"/>
      <c r="O202" s="66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2:25" ht="14.25" customHeight="1" x14ac:dyDescent="0.25">
      <c r="B203" s="14"/>
      <c r="C203" s="36"/>
      <c r="D203" s="36"/>
      <c r="E203" s="36"/>
      <c r="F203" s="36"/>
      <c r="G203" s="36"/>
      <c r="H203" s="36"/>
      <c r="I203" s="61"/>
      <c r="J203" s="61"/>
      <c r="K203" s="61"/>
      <c r="L203" s="57"/>
      <c r="M203" s="345"/>
      <c r="N203" s="61"/>
      <c r="O203" s="66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2:25" ht="14.25" customHeight="1" x14ac:dyDescent="0.25">
      <c r="B204" s="14"/>
      <c r="C204" s="36"/>
      <c r="D204" s="36"/>
      <c r="E204" s="36"/>
      <c r="F204" s="36"/>
      <c r="G204" s="36"/>
      <c r="H204" s="36"/>
      <c r="I204" s="61"/>
      <c r="J204" s="61"/>
      <c r="K204" s="61"/>
      <c r="L204" s="57"/>
      <c r="M204" s="345"/>
      <c r="N204" s="61"/>
      <c r="O204" s="66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2:25" ht="14.25" customHeight="1" x14ac:dyDescent="0.25">
      <c r="B205" s="14"/>
      <c r="C205" s="36"/>
      <c r="D205" s="36"/>
      <c r="E205" s="36"/>
      <c r="F205" s="36"/>
      <c r="G205" s="36"/>
      <c r="H205" s="36"/>
      <c r="I205" s="61"/>
      <c r="J205" s="61"/>
      <c r="K205" s="61"/>
      <c r="L205" s="57"/>
      <c r="M205" s="345"/>
      <c r="N205" s="61"/>
      <c r="O205" s="66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2:25" ht="14.25" customHeight="1" x14ac:dyDescent="0.25">
      <c r="B206" s="14"/>
      <c r="C206" s="36"/>
      <c r="D206" s="36"/>
      <c r="E206" s="36"/>
      <c r="F206" s="36"/>
      <c r="G206" s="36"/>
      <c r="H206" s="36"/>
      <c r="I206" s="61"/>
      <c r="J206" s="61"/>
      <c r="K206" s="61"/>
      <c r="L206" s="57"/>
      <c r="M206" s="345"/>
      <c r="N206" s="61"/>
      <c r="O206" s="66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2:25" ht="14.25" customHeight="1" x14ac:dyDescent="0.25">
      <c r="B207" s="14"/>
      <c r="C207" s="36"/>
      <c r="D207" s="36"/>
      <c r="E207" s="17"/>
      <c r="F207" s="17"/>
      <c r="G207" s="17"/>
      <c r="H207" s="36"/>
      <c r="I207" s="61"/>
      <c r="J207" s="61"/>
      <c r="K207" s="61"/>
      <c r="L207" s="57"/>
      <c r="M207" s="345"/>
      <c r="N207" s="61"/>
      <c r="O207" s="66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2:25" ht="14.25" customHeight="1" x14ac:dyDescent="0.25">
      <c r="B208" s="14"/>
      <c r="C208" s="36"/>
      <c r="D208" s="36"/>
      <c r="E208" s="36"/>
      <c r="F208" s="36"/>
      <c r="G208" s="36"/>
      <c r="H208" s="36"/>
      <c r="I208" s="61"/>
      <c r="J208" s="61"/>
      <c r="K208" s="61"/>
      <c r="L208" s="57"/>
      <c r="M208" s="345"/>
      <c r="N208" s="61"/>
      <c r="O208" s="66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2:25" ht="14.25" customHeight="1" x14ac:dyDescent="0.25">
      <c r="B209" s="14"/>
      <c r="C209" s="36"/>
      <c r="D209" s="36"/>
      <c r="E209" s="36"/>
      <c r="F209" s="36"/>
      <c r="G209" s="36"/>
      <c r="H209" s="36"/>
      <c r="I209" s="61"/>
      <c r="J209" s="61"/>
      <c r="K209" s="61"/>
      <c r="L209" s="57"/>
      <c r="M209" s="345"/>
      <c r="N209" s="61"/>
      <c r="O209" s="66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2:25" ht="14.25" customHeight="1" x14ac:dyDescent="0.25">
      <c r="B210" s="14"/>
      <c r="C210" s="36"/>
      <c r="D210" s="36"/>
      <c r="E210" s="36"/>
      <c r="F210" s="36"/>
      <c r="G210" s="36"/>
      <c r="H210" s="111"/>
      <c r="I210" s="61"/>
      <c r="J210" s="27"/>
      <c r="K210" s="61"/>
      <c r="L210" s="57"/>
      <c r="M210" s="345"/>
      <c r="N210" s="61"/>
      <c r="O210" s="66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2:25" ht="14.25" customHeight="1" x14ac:dyDescent="0.25">
      <c r="B211" s="14"/>
      <c r="C211" s="36"/>
      <c r="D211" s="36"/>
      <c r="E211" s="36"/>
      <c r="F211" s="36"/>
      <c r="G211" s="36"/>
      <c r="H211" s="111"/>
      <c r="I211" s="61"/>
      <c r="J211" s="27"/>
      <c r="K211" s="61"/>
      <c r="L211" s="57"/>
      <c r="M211" s="345"/>
      <c r="N211" s="61"/>
      <c r="O211" s="66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2:25" ht="14.25" customHeight="1" x14ac:dyDescent="0.25">
      <c r="B212" s="14"/>
      <c r="C212" s="36"/>
      <c r="D212" s="36"/>
      <c r="E212" s="36"/>
      <c r="F212" s="36"/>
      <c r="G212" s="36"/>
      <c r="H212" s="111"/>
      <c r="I212" s="61"/>
      <c r="J212" s="27"/>
      <c r="K212" s="61"/>
      <c r="L212" s="57"/>
      <c r="M212" s="345"/>
      <c r="N212" s="61"/>
      <c r="O212" s="66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2:25" ht="14.25" customHeight="1" x14ac:dyDescent="0.25">
      <c r="B213" s="14"/>
      <c r="C213" s="36"/>
      <c r="D213" s="36"/>
      <c r="E213" s="36"/>
      <c r="F213" s="36"/>
      <c r="G213" s="36"/>
      <c r="H213" s="36"/>
      <c r="I213" s="61"/>
      <c r="J213" s="27"/>
      <c r="K213" s="61"/>
      <c r="L213" s="57"/>
      <c r="M213" s="345"/>
      <c r="N213" s="61"/>
      <c r="O213" s="66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2:25" ht="14.25" customHeight="1" x14ac:dyDescent="0.25">
      <c r="B214" s="14"/>
      <c r="C214" s="36"/>
      <c r="D214" s="36"/>
      <c r="E214" s="36"/>
      <c r="F214" s="36"/>
      <c r="G214" s="36"/>
      <c r="H214" s="36"/>
      <c r="I214" s="61"/>
      <c r="J214" s="61"/>
      <c r="K214" s="61"/>
      <c r="L214" s="57"/>
      <c r="M214" s="345"/>
      <c r="N214" s="61"/>
      <c r="O214" s="66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2:25" ht="14.25" customHeight="1" x14ac:dyDescent="0.25">
      <c r="B215" s="14"/>
      <c r="C215" s="36"/>
      <c r="D215" s="36"/>
      <c r="E215" s="36"/>
      <c r="F215" s="36"/>
      <c r="G215" s="36"/>
      <c r="H215" s="36"/>
      <c r="I215" s="61"/>
      <c r="J215" s="61"/>
      <c r="K215" s="61"/>
      <c r="L215" s="57"/>
      <c r="M215" s="345"/>
      <c r="N215" s="61"/>
      <c r="O215" s="66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2:25" ht="14.25" customHeight="1" x14ac:dyDescent="0.25">
      <c r="B216" s="14"/>
      <c r="C216" s="36"/>
      <c r="D216" s="36"/>
      <c r="E216" s="36"/>
      <c r="F216" s="36"/>
      <c r="G216" s="36"/>
      <c r="H216" s="36"/>
      <c r="I216" s="61"/>
      <c r="J216" s="61"/>
      <c r="K216" s="61"/>
      <c r="L216" s="57"/>
      <c r="M216" s="345"/>
      <c r="N216" s="61"/>
      <c r="O216" s="66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2:25" ht="14.25" customHeight="1" x14ac:dyDescent="0.25">
      <c r="B217" s="14"/>
      <c r="C217" s="36"/>
      <c r="D217" s="36"/>
      <c r="E217" s="36"/>
      <c r="F217" s="36"/>
      <c r="G217" s="36"/>
      <c r="H217" s="36"/>
      <c r="I217" s="61"/>
      <c r="J217" s="61"/>
      <c r="K217" s="61"/>
      <c r="L217" s="57"/>
      <c r="M217" s="345"/>
      <c r="N217" s="61"/>
      <c r="O217" s="66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2:25" ht="14.25" customHeight="1" x14ac:dyDescent="0.25">
      <c r="B218" s="14"/>
      <c r="C218" s="36"/>
      <c r="D218" s="36"/>
      <c r="E218" s="36"/>
      <c r="F218" s="36"/>
      <c r="G218" s="36"/>
      <c r="H218" s="36"/>
      <c r="I218" s="61"/>
      <c r="J218" s="61"/>
      <c r="K218" s="61"/>
      <c r="L218" s="57"/>
      <c r="M218" s="345"/>
      <c r="N218" s="61"/>
      <c r="O218" s="66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2:25" ht="14.25" customHeight="1" x14ac:dyDescent="0.25">
      <c r="B219" s="14"/>
      <c r="C219" s="36"/>
      <c r="D219" s="36"/>
      <c r="E219" s="36"/>
      <c r="F219" s="36"/>
      <c r="G219" s="36"/>
      <c r="H219" s="36"/>
      <c r="I219" s="61"/>
      <c r="J219" s="61"/>
      <c r="K219" s="61"/>
      <c r="L219" s="57"/>
      <c r="M219" s="345"/>
      <c r="N219" s="61"/>
      <c r="O219" s="66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2:25" ht="14.25" customHeight="1" x14ac:dyDescent="0.25">
      <c r="B220" s="14"/>
      <c r="C220" s="36"/>
      <c r="D220" s="36"/>
      <c r="E220" s="36"/>
      <c r="F220" s="36"/>
      <c r="G220" s="36"/>
      <c r="H220" s="36"/>
      <c r="I220" s="61"/>
      <c r="J220" s="61"/>
      <c r="K220" s="61"/>
      <c r="L220" s="57"/>
      <c r="M220" s="345"/>
      <c r="N220" s="61"/>
      <c r="O220" s="66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2:25" ht="14.25" customHeight="1" x14ac:dyDescent="0.25">
      <c r="B221" s="14"/>
      <c r="C221" s="36"/>
      <c r="D221" s="36"/>
      <c r="E221" s="36"/>
      <c r="F221" s="36"/>
      <c r="G221" s="36"/>
      <c r="H221" s="36"/>
      <c r="I221" s="61"/>
      <c r="J221" s="61"/>
      <c r="K221" s="61"/>
      <c r="L221" s="57"/>
      <c r="M221" s="345"/>
      <c r="N221" s="61"/>
      <c r="O221" s="66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2:25" ht="14.25" customHeight="1" x14ac:dyDescent="0.25">
      <c r="B222" s="14"/>
      <c r="C222" s="36"/>
      <c r="D222" s="36"/>
      <c r="E222" s="36"/>
      <c r="F222" s="36"/>
      <c r="G222" s="36"/>
      <c r="H222" s="36"/>
      <c r="I222" s="61"/>
      <c r="J222" s="61"/>
      <c r="K222" s="61"/>
      <c r="L222" s="57"/>
      <c r="M222" s="345"/>
      <c r="N222" s="61"/>
      <c r="O222" s="66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2:25" ht="14.25" customHeight="1" x14ac:dyDescent="0.25">
      <c r="B223" s="14"/>
      <c r="C223" s="71"/>
      <c r="D223" s="71"/>
      <c r="E223" s="71"/>
      <c r="F223" s="71"/>
      <c r="G223" s="71"/>
      <c r="H223" s="71"/>
      <c r="I223" s="61"/>
      <c r="J223" s="61"/>
      <c r="K223" s="61"/>
      <c r="L223" s="57"/>
      <c r="M223" s="352"/>
      <c r="N223" s="61"/>
      <c r="O223" s="66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2:25" ht="14.25" customHeight="1" x14ac:dyDescent="0.25">
      <c r="B224" s="14"/>
      <c r="C224" s="36"/>
      <c r="D224" s="36"/>
      <c r="E224" s="36"/>
      <c r="F224" s="36"/>
      <c r="G224" s="36"/>
      <c r="H224" s="36"/>
      <c r="I224" s="61"/>
      <c r="J224" s="61"/>
      <c r="K224" s="61"/>
      <c r="L224" s="57"/>
      <c r="M224" s="345"/>
      <c r="N224" s="61"/>
      <c r="O224" s="66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2:25" ht="14.25" customHeight="1" x14ac:dyDescent="0.25">
      <c r="B225" s="14"/>
      <c r="C225" s="36"/>
      <c r="D225" s="36"/>
      <c r="E225" s="36"/>
      <c r="F225" s="36"/>
      <c r="G225" s="36"/>
      <c r="H225" s="36"/>
      <c r="I225" s="61"/>
      <c r="J225" s="61"/>
      <c r="K225" s="61"/>
      <c r="L225" s="57"/>
      <c r="M225" s="345"/>
      <c r="N225" s="61"/>
      <c r="O225" s="66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2:25" ht="14.25" customHeight="1" x14ac:dyDescent="0.25">
      <c r="B226" s="14"/>
      <c r="C226" s="36"/>
      <c r="D226" s="36"/>
      <c r="E226" s="36"/>
      <c r="F226" s="36"/>
      <c r="G226" s="36"/>
      <c r="H226" s="36"/>
      <c r="I226" s="61"/>
      <c r="J226" s="61"/>
      <c r="K226" s="61"/>
      <c r="L226" s="57"/>
      <c r="M226" s="345"/>
      <c r="N226" s="61"/>
      <c r="O226" s="66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2:25" ht="14.25" customHeight="1" x14ac:dyDescent="0.25">
      <c r="B227" s="14"/>
      <c r="C227" s="36"/>
      <c r="D227" s="36"/>
      <c r="E227" s="36"/>
      <c r="F227" s="36"/>
      <c r="G227" s="36"/>
      <c r="H227" s="36"/>
      <c r="I227" s="61"/>
      <c r="J227" s="159"/>
      <c r="K227" s="61"/>
      <c r="L227" s="57"/>
      <c r="M227" s="345"/>
      <c r="N227" s="61"/>
      <c r="O227" s="66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2:25" ht="14.25" customHeight="1" x14ac:dyDescent="0.25">
      <c r="B228" s="14"/>
      <c r="C228" s="36"/>
      <c r="D228" s="36"/>
      <c r="E228" s="36"/>
      <c r="F228" s="36"/>
      <c r="G228" s="36"/>
      <c r="H228" s="36"/>
      <c r="I228" s="61"/>
      <c r="J228" s="159"/>
      <c r="K228" s="61"/>
      <c r="L228" s="57"/>
      <c r="M228" s="345"/>
      <c r="N228" s="61"/>
      <c r="O228" s="66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2:25" ht="14.25" customHeight="1" x14ac:dyDescent="0.25">
      <c r="B229" s="14"/>
      <c r="C229" s="36"/>
      <c r="D229" s="36"/>
      <c r="E229" s="36"/>
      <c r="F229" s="36"/>
      <c r="G229" s="36"/>
      <c r="H229" s="36"/>
      <c r="I229" s="61"/>
      <c r="J229" s="159"/>
      <c r="K229" s="61"/>
      <c r="L229" s="57"/>
      <c r="M229" s="345"/>
      <c r="N229" s="61"/>
      <c r="O229" s="66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2:25" ht="14.25" customHeight="1" x14ac:dyDescent="0.25">
      <c r="B230" s="14"/>
      <c r="C230" s="36"/>
      <c r="D230" s="36"/>
      <c r="E230" s="36"/>
      <c r="F230" s="36"/>
      <c r="G230" s="36"/>
      <c r="H230" s="36"/>
      <c r="I230" s="61"/>
      <c r="J230" s="61"/>
      <c r="K230" s="61"/>
      <c r="L230" s="57"/>
      <c r="M230" s="345"/>
      <c r="N230" s="61"/>
      <c r="O230" s="66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2:25" ht="14.25" customHeight="1" x14ac:dyDescent="0.25">
      <c r="B231" s="14"/>
      <c r="C231" s="36"/>
      <c r="D231" s="36"/>
      <c r="E231" s="36"/>
      <c r="F231" s="36"/>
      <c r="G231" s="36"/>
      <c r="H231" s="36"/>
      <c r="I231" s="61"/>
      <c r="J231" s="61"/>
      <c r="K231" s="61"/>
      <c r="L231" s="57"/>
      <c r="M231" s="345"/>
      <c r="N231" s="61"/>
      <c r="O231" s="66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2:25" ht="14.25" customHeight="1" x14ac:dyDescent="0.25">
      <c r="B232" s="14"/>
      <c r="C232" s="36"/>
      <c r="D232" s="36"/>
      <c r="E232" s="36"/>
      <c r="F232" s="36"/>
      <c r="G232" s="36"/>
      <c r="H232" s="36"/>
      <c r="I232" s="61"/>
      <c r="J232" s="61"/>
      <c r="K232" s="61"/>
      <c r="L232" s="57"/>
      <c r="M232" s="345"/>
      <c r="N232" s="61"/>
      <c r="O232" s="66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2:25" ht="14.25" customHeight="1" x14ac:dyDescent="0.25">
      <c r="B233" s="14"/>
      <c r="C233" s="36"/>
      <c r="D233" s="36"/>
      <c r="E233" s="36"/>
      <c r="F233" s="36"/>
      <c r="G233" s="36"/>
      <c r="H233" s="36"/>
      <c r="I233" s="61"/>
      <c r="J233" s="159"/>
      <c r="K233" s="61"/>
      <c r="L233" s="57"/>
      <c r="M233" s="345"/>
      <c r="N233" s="61"/>
      <c r="O233" s="66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2:25" ht="14.25" customHeight="1" x14ac:dyDescent="0.25">
      <c r="B234" s="14"/>
      <c r="C234" s="36"/>
      <c r="D234" s="36"/>
      <c r="E234" s="36"/>
      <c r="F234" s="36"/>
      <c r="G234" s="36"/>
      <c r="H234" s="36"/>
      <c r="I234" s="61"/>
      <c r="J234" s="61"/>
      <c r="K234" s="61"/>
      <c r="L234" s="57"/>
      <c r="M234" s="345"/>
      <c r="N234" s="61"/>
      <c r="O234" s="66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2:25" ht="14.25" customHeight="1" x14ac:dyDescent="0.25">
      <c r="B235" s="14"/>
      <c r="C235" s="36"/>
      <c r="D235" s="36"/>
      <c r="E235" s="36"/>
      <c r="F235" s="36"/>
      <c r="G235" s="36"/>
      <c r="H235" s="36"/>
      <c r="I235" s="61"/>
      <c r="J235" s="61"/>
      <c r="K235" s="61"/>
      <c r="L235" s="57"/>
      <c r="M235" s="345"/>
      <c r="N235" s="61"/>
      <c r="O235" s="66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2:25" ht="14.25" customHeight="1" x14ac:dyDescent="0.25">
      <c r="B236" s="14"/>
      <c r="C236" s="36"/>
      <c r="D236" s="36"/>
      <c r="E236" s="36"/>
      <c r="F236" s="36"/>
      <c r="G236" s="36"/>
      <c r="H236" s="36"/>
      <c r="I236" s="61"/>
      <c r="J236" s="61"/>
      <c r="K236" s="61"/>
      <c r="L236" s="57"/>
      <c r="M236" s="345"/>
      <c r="N236" s="61"/>
      <c r="O236" s="66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2:25" ht="14.25" customHeight="1" x14ac:dyDescent="0.25">
      <c r="B237" s="14"/>
      <c r="C237" s="36"/>
      <c r="D237" s="36"/>
      <c r="E237" s="36"/>
      <c r="F237" s="36"/>
      <c r="G237" s="36"/>
      <c r="H237" s="36"/>
      <c r="I237" s="61"/>
      <c r="J237" s="61"/>
      <c r="K237" s="61"/>
      <c r="L237" s="57"/>
      <c r="M237" s="345"/>
      <c r="N237" s="61"/>
      <c r="O237" s="66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2:25" ht="14.25" customHeight="1" x14ac:dyDescent="0.25">
      <c r="B238" s="14"/>
      <c r="C238" s="36"/>
      <c r="D238" s="36"/>
      <c r="E238" s="36"/>
      <c r="F238" s="36"/>
      <c r="G238" s="36"/>
      <c r="H238" s="36"/>
      <c r="I238" s="61"/>
      <c r="J238" s="61"/>
      <c r="K238" s="61"/>
      <c r="L238" s="57"/>
      <c r="M238" s="345"/>
      <c r="N238" s="61"/>
      <c r="O238" s="66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2:25" ht="14.25" customHeight="1" x14ac:dyDescent="0.25">
      <c r="B239" s="14"/>
      <c r="C239" s="36"/>
      <c r="D239" s="36"/>
      <c r="E239" s="36"/>
      <c r="F239" s="36"/>
      <c r="G239" s="36"/>
      <c r="H239" s="36"/>
      <c r="I239" s="61"/>
      <c r="J239" s="61"/>
      <c r="K239" s="61"/>
      <c r="L239" s="57"/>
      <c r="M239" s="345"/>
      <c r="N239" s="61"/>
      <c r="O239" s="66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2:25" ht="14.25" customHeight="1" x14ac:dyDescent="0.25">
      <c r="B240" s="14"/>
      <c r="C240" s="36"/>
      <c r="D240" s="36"/>
      <c r="E240" s="36"/>
      <c r="F240" s="36"/>
      <c r="G240" s="36"/>
      <c r="H240" s="36"/>
      <c r="I240" s="61"/>
      <c r="J240" s="61"/>
      <c r="K240" s="61"/>
      <c r="L240" s="57"/>
      <c r="M240" s="345"/>
      <c r="N240" s="61"/>
      <c r="O240" s="66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2:25" ht="14.25" customHeight="1" x14ac:dyDescent="0.25">
      <c r="B241" s="14"/>
      <c r="C241" s="36"/>
      <c r="D241" s="36"/>
      <c r="E241" s="36"/>
      <c r="F241" s="36"/>
      <c r="G241" s="36"/>
      <c r="H241" s="36"/>
      <c r="I241" s="61"/>
      <c r="J241" s="160"/>
      <c r="K241" s="61"/>
      <c r="L241" s="57"/>
      <c r="M241" s="345"/>
      <c r="N241" s="61"/>
      <c r="O241" s="66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2:25" ht="14.25" customHeight="1" x14ac:dyDescent="0.25">
      <c r="B242" s="14"/>
      <c r="C242" s="36"/>
      <c r="D242" s="36"/>
      <c r="E242" s="36"/>
      <c r="F242" s="36"/>
      <c r="G242" s="36"/>
      <c r="H242" s="36"/>
      <c r="I242" s="61"/>
      <c r="J242" s="61"/>
      <c r="K242" s="61"/>
      <c r="L242" s="57"/>
      <c r="M242" s="345"/>
      <c r="N242" s="61"/>
      <c r="O242" s="66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2:25" ht="14.25" customHeight="1" x14ac:dyDescent="0.25">
      <c r="B243" s="14"/>
      <c r="C243" s="36"/>
      <c r="D243" s="36"/>
      <c r="E243" s="36"/>
      <c r="F243" s="36"/>
      <c r="G243" s="36"/>
      <c r="H243" s="36"/>
      <c r="I243" s="61"/>
      <c r="J243" s="61"/>
      <c r="K243" s="61"/>
      <c r="L243" s="57"/>
      <c r="M243" s="345"/>
      <c r="N243" s="61"/>
      <c r="O243" s="66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2:25" ht="14.25" customHeight="1" x14ac:dyDescent="0.25">
      <c r="B244" s="14"/>
      <c r="C244" s="36"/>
      <c r="D244" s="36"/>
      <c r="E244" s="36"/>
      <c r="F244" s="36"/>
      <c r="G244" s="36"/>
      <c r="H244" s="36"/>
      <c r="I244" s="61"/>
      <c r="J244" s="61"/>
      <c r="K244" s="61"/>
      <c r="L244" s="57"/>
      <c r="M244" s="345"/>
      <c r="N244" s="61"/>
      <c r="O244" s="66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2:25" ht="14.25" customHeight="1" x14ac:dyDescent="0.25">
      <c r="B245" s="14"/>
      <c r="C245" s="36"/>
      <c r="D245" s="36"/>
      <c r="E245" s="36"/>
      <c r="F245" s="36"/>
      <c r="G245" s="36"/>
      <c r="H245" s="36"/>
      <c r="I245" s="61"/>
      <c r="J245" s="61"/>
      <c r="K245" s="61"/>
      <c r="L245" s="57"/>
      <c r="M245" s="345"/>
      <c r="N245" s="61"/>
      <c r="O245" s="66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2:25" ht="14.25" customHeight="1" x14ac:dyDescent="0.25">
      <c r="B246" s="14"/>
      <c r="C246" s="36"/>
      <c r="D246" s="36"/>
      <c r="E246" s="36"/>
      <c r="F246" s="36"/>
      <c r="G246" s="36"/>
      <c r="H246" s="36"/>
      <c r="I246" s="61"/>
      <c r="J246" s="61"/>
      <c r="K246" s="61"/>
      <c r="L246" s="57"/>
      <c r="M246" s="345"/>
      <c r="N246" s="61"/>
      <c r="O246" s="66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2:25" ht="14.25" customHeight="1" x14ac:dyDescent="0.25">
      <c r="B247" s="14"/>
      <c r="C247" s="36"/>
      <c r="D247" s="36"/>
      <c r="E247" s="36"/>
      <c r="F247" s="36"/>
      <c r="G247" s="36"/>
      <c r="H247" s="36"/>
      <c r="I247" s="61"/>
      <c r="J247" s="61"/>
      <c r="K247" s="61"/>
      <c r="L247" s="57"/>
      <c r="M247" s="345"/>
      <c r="N247" s="61"/>
      <c r="O247" s="66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2:25" ht="14.25" customHeight="1" x14ac:dyDescent="0.25">
      <c r="B248" s="14"/>
      <c r="C248" s="36"/>
      <c r="D248" s="36"/>
      <c r="E248" s="36"/>
      <c r="F248" s="36"/>
      <c r="G248" s="36"/>
      <c r="H248" s="36"/>
      <c r="I248" s="61"/>
      <c r="J248" s="61"/>
      <c r="K248" s="61"/>
      <c r="L248" s="57"/>
      <c r="M248" s="345"/>
      <c r="N248" s="61"/>
      <c r="O248" s="66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2:25" ht="14.25" customHeight="1" x14ac:dyDescent="0.25">
      <c r="B249" s="14"/>
      <c r="C249" s="36"/>
      <c r="D249" s="36"/>
      <c r="E249" s="36"/>
      <c r="F249" s="36"/>
      <c r="G249" s="36"/>
      <c r="H249" s="36"/>
      <c r="I249" s="61"/>
      <c r="J249" s="61"/>
      <c r="K249" s="61"/>
      <c r="L249" s="57"/>
      <c r="M249" s="345"/>
      <c r="N249" s="61"/>
      <c r="O249" s="66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2:25" ht="14.25" customHeight="1" x14ac:dyDescent="0.25">
      <c r="B250" s="14"/>
      <c r="C250" s="36"/>
      <c r="D250" s="36"/>
      <c r="E250" s="36"/>
      <c r="F250" s="36"/>
      <c r="G250" s="36"/>
      <c r="H250" s="36"/>
      <c r="I250" s="61"/>
      <c r="J250" s="61"/>
      <c r="K250" s="61"/>
      <c r="L250" s="57"/>
      <c r="M250" s="345"/>
      <c r="N250" s="61"/>
      <c r="O250" s="66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2:25" ht="14.25" customHeight="1" x14ac:dyDescent="0.25">
      <c r="B251" s="14"/>
      <c r="C251" s="36"/>
      <c r="D251" s="36"/>
      <c r="E251" s="36"/>
      <c r="F251" s="36"/>
      <c r="G251" s="36"/>
      <c r="H251" s="36"/>
      <c r="I251" s="61"/>
      <c r="J251" s="61"/>
      <c r="K251" s="61"/>
      <c r="L251" s="57"/>
      <c r="M251" s="345"/>
      <c r="N251" s="61"/>
      <c r="O251" s="66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2:25" ht="14.25" customHeight="1" x14ac:dyDescent="0.25">
      <c r="B252" s="14"/>
      <c r="C252" s="36"/>
      <c r="D252" s="36"/>
      <c r="E252" s="36"/>
      <c r="F252" s="36"/>
      <c r="G252" s="36"/>
      <c r="H252" s="36"/>
      <c r="I252" s="61"/>
      <c r="J252" s="61"/>
      <c r="K252" s="61"/>
      <c r="L252" s="57"/>
      <c r="M252" s="345"/>
      <c r="N252" s="61"/>
      <c r="O252" s="66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2:25" ht="14.25" customHeight="1" x14ac:dyDescent="0.25">
      <c r="B253" s="14"/>
      <c r="C253" s="36"/>
      <c r="D253" s="36"/>
      <c r="E253" s="36"/>
      <c r="F253" s="36"/>
      <c r="G253" s="36"/>
      <c r="H253" s="36"/>
      <c r="I253" s="61"/>
      <c r="J253" s="61"/>
      <c r="K253" s="61"/>
      <c r="L253" s="57"/>
      <c r="M253" s="345"/>
      <c r="N253" s="61"/>
      <c r="O253" s="66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2:25" ht="14.25" customHeight="1" x14ac:dyDescent="0.25">
      <c r="B254" s="14"/>
      <c r="C254" s="36"/>
      <c r="D254" s="36"/>
      <c r="E254" s="36"/>
      <c r="F254" s="36"/>
      <c r="G254" s="36"/>
      <c r="H254" s="36"/>
      <c r="I254" s="61"/>
      <c r="J254" s="61"/>
      <c r="K254" s="61"/>
      <c r="L254" s="57"/>
      <c r="M254" s="345"/>
      <c r="N254" s="61"/>
      <c r="O254" s="66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2:25" ht="14.25" customHeight="1" x14ac:dyDescent="0.25">
      <c r="B255" s="14"/>
      <c r="C255" s="36"/>
      <c r="D255" s="36"/>
      <c r="E255" s="36"/>
      <c r="F255" s="36"/>
      <c r="G255" s="36"/>
      <c r="H255" s="36"/>
      <c r="I255" s="61"/>
      <c r="J255" s="61"/>
      <c r="K255" s="61"/>
      <c r="L255" s="57"/>
      <c r="M255" s="345"/>
      <c r="N255" s="61"/>
      <c r="O255" s="66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2:25" ht="14.25" customHeight="1" x14ac:dyDescent="0.25">
      <c r="B256" s="14"/>
      <c r="C256" s="36"/>
      <c r="D256" s="36"/>
      <c r="E256" s="36"/>
      <c r="F256" s="36"/>
      <c r="G256" s="36"/>
      <c r="H256" s="36"/>
      <c r="I256" s="61"/>
      <c r="J256" s="61"/>
      <c r="K256" s="61"/>
      <c r="L256" s="57"/>
      <c r="M256" s="345"/>
      <c r="N256" s="61"/>
      <c r="O256" s="66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2:25" ht="14.25" customHeight="1" x14ac:dyDescent="0.25">
      <c r="B257" s="14"/>
      <c r="C257" s="36"/>
      <c r="D257" s="36"/>
      <c r="E257" s="36"/>
      <c r="F257" s="36"/>
      <c r="G257" s="36"/>
      <c r="H257" s="36"/>
      <c r="I257" s="61"/>
      <c r="J257" s="61"/>
      <c r="K257" s="61"/>
      <c r="L257" s="57"/>
      <c r="M257" s="345"/>
      <c r="N257" s="61"/>
      <c r="O257" s="66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2:25" ht="14.25" customHeight="1" x14ac:dyDescent="0.25">
      <c r="B258" s="14"/>
      <c r="C258" s="36"/>
      <c r="D258" s="36"/>
      <c r="E258" s="36"/>
      <c r="F258" s="36"/>
      <c r="G258" s="36"/>
      <c r="H258" s="36"/>
      <c r="I258" s="61"/>
      <c r="J258" s="61"/>
      <c r="K258" s="61"/>
      <c r="L258" s="57"/>
      <c r="M258" s="345"/>
      <c r="N258" s="61"/>
      <c r="O258" s="66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2:25" ht="14.25" customHeight="1" x14ac:dyDescent="0.25">
      <c r="B259" s="14"/>
      <c r="C259" s="36"/>
      <c r="D259" s="36"/>
      <c r="E259" s="36"/>
      <c r="F259" s="36"/>
      <c r="G259" s="36"/>
      <c r="H259" s="36"/>
      <c r="I259" s="61"/>
      <c r="J259" s="61"/>
      <c r="K259" s="61"/>
      <c r="L259" s="57"/>
      <c r="M259" s="345"/>
      <c r="N259" s="61"/>
      <c r="O259" s="66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2:25" ht="14.25" customHeight="1" x14ac:dyDescent="0.25">
      <c r="B260" s="14"/>
      <c r="C260" s="36"/>
      <c r="D260" s="36"/>
      <c r="E260" s="36"/>
      <c r="F260" s="36"/>
      <c r="G260" s="36"/>
      <c r="H260" s="36"/>
      <c r="I260" s="61"/>
      <c r="J260" s="61"/>
      <c r="K260" s="61"/>
      <c r="L260" s="57"/>
      <c r="M260" s="345"/>
      <c r="N260" s="61"/>
      <c r="O260" s="66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2:25" ht="14.25" customHeight="1" x14ac:dyDescent="0.25">
      <c r="B261" s="14"/>
      <c r="C261" s="36"/>
      <c r="D261" s="36"/>
      <c r="E261" s="36"/>
      <c r="F261" s="36"/>
      <c r="G261" s="36"/>
      <c r="H261" s="36"/>
      <c r="I261" s="61"/>
      <c r="J261" s="61"/>
      <c r="K261" s="61"/>
      <c r="L261" s="57"/>
      <c r="M261" s="345"/>
      <c r="N261" s="61"/>
      <c r="O261" s="66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2:25" ht="14.25" customHeight="1" x14ac:dyDescent="0.25">
      <c r="B262" s="14"/>
      <c r="C262" s="36"/>
      <c r="D262" s="36"/>
      <c r="E262" s="36"/>
      <c r="F262" s="36"/>
      <c r="G262" s="36"/>
      <c r="H262" s="36"/>
      <c r="I262" s="61"/>
      <c r="J262" s="61"/>
      <c r="K262" s="61"/>
      <c r="L262" s="57"/>
      <c r="M262" s="345"/>
      <c r="N262" s="61"/>
      <c r="O262" s="66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2:25" ht="14.25" customHeight="1" x14ac:dyDescent="0.25">
      <c r="B263" s="14"/>
      <c r="C263" s="36"/>
      <c r="D263" s="36"/>
      <c r="E263" s="36"/>
      <c r="F263" s="36"/>
      <c r="G263" s="36"/>
      <c r="H263" s="36"/>
      <c r="I263" s="61"/>
      <c r="J263" s="61"/>
      <c r="K263" s="61"/>
      <c r="L263" s="57"/>
      <c r="M263" s="345"/>
      <c r="N263" s="61"/>
      <c r="O263" s="66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2:25" ht="14.25" customHeight="1" x14ac:dyDescent="0.25">
      <c r="B264" s="14"/>
      <c r="C264" s="36"/>
      <c r="D264" s="36"/>
      <c r="E264" s="36"/>
      <c r="F264" s="36"/>
      <c r="G264" s="36"/>
      <c r="H264" s="36"/>
      <c r="I264" s="61"/>
      <c r="J264" s="61"/>
      <c r="K264" s="61"/>
      <c r="L264" s="57"/>
      <c r="M264" s="345"/>
      <c r="N264" s="61"/>
      <c r="O264" s="66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2:25" ht="14.25" customHeight="1" x14ac:dyDescent="0.25">
      <c r="B265" s="14"/>
      <c r="C265" s="36"/>
      <c r="D265" s="36"/>
      <c r="E265" s="36"/>
      <c r="F265" s="36"/>
      <c r="G265" s="36"/>
      <c r="H265" s="36"/>
      <c r="I265" s="61"/>
      <c r="J265" s="61"/>
      <c r="K265" s="61"/>
      <c r="L265" s="57"/>
      <c r="M265" s="345"/>
      <c r="N265" s="61"/>
      <c r="O265" s="66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2:25" ht="14.25" customHeight="1" x14ac:dyDescent="0.25">
      <c r="B266" s="14"/>
      <c r="C266" s="36"/>
      <c r="D266" s="36"/>
      <c r="E266" s="36"/>
      <c r="F266" s="36"/>
      <c r="G266" s="36"/>
      <c r="H266" s="36"/>
      <c r="I266" s="61"/>
      <c r="J266" s="61"/>
      <c r="K266" s="61"/>
      <c r="L266" s="57"/>
      <c r="M266" s="353"/>
      <c r="N266" s="144"/>
      <c r="O266" s="145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2:25" ht="14.25" customHeight="1" x14ac:dyDescent="0.25">
      <c r="B267" s="14"/>
      <c r="C267" s="36"/>
      <c r="D267" s="36"/>
      <c r="E267" s="36"/>
      <c r="F267" s="36"/>
      <c r="G267" s="36"/>
      <c r="H267" s="36"/>
      <c r="I267" s="61"/>
      <c r="J267" s="61"/>
      <c r="K267" s="61"/>
      <c r="L267" s="57"/>
      <c r="M267" s="353"/>
      <c r="N267" s="144"/>
      <c r="O267" s="145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2:25" ht="14.25" customHeight="1" x14ac:dyDescent="0.25">
      <c r="B268" s="14"/>
      <c r="C268" s="36"/>
      <c r="D268" s="36"/>
      <c r="E268" s="36"/>
      <c r="F268" s="36"/>
      <c r="G268" s="36"/>
      <c r="H268" s="36"/>
      <c r="I268" s="61"/>
      <c r="J268" s="61"/>
      <c r="K268" s="61"/>
      <c r="L268" s="57"/>
      <c r="M268" s="353"/>
      <c r="N268" s="144"/>
      <c r="O268" s="145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2:25" ht="14.25" customHeight="1" x14ac:dyDescent="0.25">
      <c r="B269" s="14"/>
      <c r="C269" s="36"/>
      <c r="D269" s="36"/>
      <c r="E269" s="36"/>
      <c r="F269" s="36"/>
      <c r="G269" s="36"/>
      <c r="H269" s="36"/>
      <c r="I269" s="61"/>
      <c r="J269" s="61"/>
      <c r="K269" s="61"/>
      <c r="L269" s="57"/>
      <c r="M269" s="353"/>
      <c r="N269" s="144"/>
      <c r="O269" s="145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2:25" ht="14.25" customHeight="1" x14ac:dyDescent="0.25">
      <c r="B270" s="14"/>
      <c r="C270" s="36"/>
      <c r="D270" s="36"/>
      <c r="E270" s="36"/>
      <c r="F270" s="36"/>
      <c r="G270" s="36"/>
      <c r="H270" s="36"/>
      <c r="I270" s="61"/>
      <c r="J270" s="61"/>
      <c r="K270" s="61"/>
      <c r="L270" s="57"/>
      <c r="M270" s="353"/>
      <c r="N270" s="144"/>
      <c r="O270" s="145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2:25" ht="14.25" customHeight="1" x14ac:dyDescent="0.25">
      <c r="B271" s="14"/>
      <c r="C271" s="36"/>
      <c r="D271" s="36"/>
      <c r="E271" s="36"/>
      <c r="F271" s="36"/>
      <c r="G271" s="36"/>
      <c r="H271" s="36"/>
      <c r="I271" s="61"/>
      <c r="J271" s="61"/>
      <c r="K271" s="61"/>
      <c r="L271" s="57"/>
      <c r="M271" s="353"/>
      <c r="N271" s="144"/>
      <c r="O271" s="145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2:25" ht="14.25" customHeight="1" x14ac:dyDescent="0.25">
      <c r="B272" s="14"/>
      <c r="C272" s="63"/>
      <c r="D272" s="63"/>
      <c r="E272" s="63"/>
      <c r="F272" s="63"/>
      <c r="G272" s="63"/>
      <c r="H272" s="63"/>
      <c r="I272" s="78"/>
      <c r="J272" s="61"/>
      <c r="K272" s="61"/>
      <c r="L272" s="57"/>
      <c r="M272" s="353"/>
      <c r="N272" s="144"/>
      <c r="O272" s="145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2:25" ht="14.25" customHeight="1" x14ac:dyDescent="0.25">
      <c r="B273" s="14"/>
      <c r="C273" s="36"/>
      <c r="D273" s="36"/>
      <c r="E273" s="36"/>
      <c r="F273" s="36"/>
      <c r="G273" s="36"/>
      <c r="H273" s="36"/>
      <c r="I273" s="61"/>
      <c r="J273" s="61"/>
      <c r="K273" s="61"/>
      <c r="L273" s="57"/>
      <c r="M273" s="353"/>
      <c r="N273" s="144"/>
      <c r="O273" s="145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2:25" ht="14.25" customHeight="1" x14ac:dyDescent="0.25">
      <c r="B274" s="14"/>
      <c r="C274" s="63"/>
      <c r="D274" s="63"/>
      <c r="E274" s="36"/>
      <c r="F274" s="36"/>
      <c r="G274" s="36"/>
      <c r="H274" s="36"/>
      <c r="I274" s="61"/>
      <c r="J274" s="27"/>
      <c r="K274" s="61"/>
      <c r="L274" s="57"/>
      <c r="M274" s="345"/>
      <c r="N274" s="61"/>
      <c r="O274" s="66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2:25" ht="14.25" customHeight="1" x14ac:dyDescent="0.25">
      <c r="B275" s="14"/>
      <c r="C275" s="36"/>
      <c r="D275" s="36"/>
      <c r="E275" s="36"/>
      <c r="F275" s="36"/>
      <c r="G275" s="36"/>
      <c r="H275" s="36"/>
      <c r="I275" s="61"/>
      <c r="J275" s="27"/>
      <c r="K275" s="61"/>
      <c r="L275" s="57"/>
      <c r="M275" s="345"/>
      <c r="N275" s="61"/>
      <c r="O275" s="66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2:25" ht="14.25" customHeight="1" x14ac:dyDescent="0.25">
      <c r="B276" s="14"/>
      <c r="C276" s="36"/>
      <c r="D276" s="36"/>
      <c r="E276" s="36"/>
      <c r="F276" s="36"/>
      <c r="G276" s="36"/>
      <c r="H276" s="36"/>
      <c r="I276" s="61"/>
      <c r="J276" s="27"/>
      <c r="K276" s="61"/>
      <c r="L276" s="57"/>
      <c r="M276" s="345"/>
      <c r="N276" s="61"/>
      <c r="O276" s="66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2:25" ht="14.25" customHeight="1" x14ac:dyDescent="0.25">
      <c r="B277" s="14"/>
      <c r="C277" s="71"/>
      <c r="D277" s="71"/>
      <c r="E277" s="71"/>
      <c r="F277" s="71"/>
      <c r="G277" s="71"/>
      <c r="H277" s="71"/>
      <c r="I277" s="61"/>
      <c r="J277" s="61"/>
      <c r="K277" s="61"/>
      <c r="L277" s="57"/>
      <c r="M277" s="352"/>
      <c r="N277" s="61"/>
      <c r="O277" s="66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2:25" ht="14.25" customHeight="1" x14ac:dyDescent="0.25">
      <c r="B278" s="14"/>
      <c r="C278" s="71"/>
      <c r="D278" s="71"/>
      <c r="E278" s="71"/>
      <c r="F278" s="71"/>
      <c r="G278" s="71"/>
      <c r="H278" s="71"/>
      <c r="I278" s="61"/>
      <c r="J278" s="61"/>
      <c r="K278" s="61"/>
      <c r="L278" s="57"/>
      <c r="M278" s="352"/>
      <c r="N278" s="61"/>
      <c r="O278" s="66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2:25" ht="14.25" customHeight="1" x14ac:dyDescent="0.25">
      <c r="B279" s="14"/>
      <c r="C279" s="71"/>
      <c r="D279" s="71"/>
      <c r="E279" s="71"/>
      <c r="F279" s="71"/>
      <c r="G279" s="71"/>
      <c r="H279" s="71"/>
      <c r="I279" s="61"/>
      <c r="J279" s="61"/>
      <c r="K279" s="61"/>
      <c r="L279" s="57"/>
      <c r="M279" s="352"/>
      <c r="N279" s="61"/>
      <c r="O279" s="66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2:25" ht="14.25" customHeight="1" x14ac:dyDescent="0.25">
      <c r="B280" s="14"/>
      <c r="C280" s="71"/>
      <c r="D280" s="71"/>
      <c r="E280" s="71"/>
      <c r="F280" s="71"/>
      <c r="G280" s="71"/>
      <c r="H280" s="71"/>
      <c r="I280" s="61"/>
      <c r="J280" s="61"/>
      <c r="K280" s="61"/>
      <c r="L280" s="57"/>
      <c r="M280" s="352"/>
      <c r="N280" s="61"/>
      <c r="O280" s="66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2:25" ht="14.25" customHeight="1" x14ac:dyDescent="0.25">
      <c r="B281" s="14"/>
      <c r="C281" s="71"/>
      <c r="D281" s="71"/>
      <c r="E281" s="71"/>
      <c r="F281" s="71"/>
      <c r="G281" s="71"/>
      <c r="H281" s="71"/>
      <c r="I281" s="61"/>
      <c r="J281" s="61"/>
      <c r="K281" s="61"/>
      <c r="L281" s="57"/>
      <c r="M281" s="352"/>
      <c r="N281" s="61"/>
      <c r="O281" s="66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2:25" ht="14.25" customHeight="1" x14ac:dyDescent="0.25">
      <c r="B282" s="14"/>
      <c r="C282" s="71"/>
      <c r="D282" s="71"/>
      <c r="E282" s="71"/>
      <c r="F282" s="71"/>
      <c r="G282" s="71"/>
      <c r="H282" s="71"/>
      <c r="I282" s="61"/>
      <c r="J282" s="61"/>
      <c r="K282" s="61"/>
      <c r="L282" s="57"/>
      <c r="M282" s="352"/>
      <c r="N282" s="61"/>
      <c r="O282" s="66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2:25" ht="14.25" customHeight="1" x14ac:dyDescent="0.25">
      <c r="B283" s="14"/>
      <c r="C283" s="71"/>
      <c r="D283" s="71"/>
      <c r="E283" s="71"/>
      <c r="F283" s="71"/>
      <c r="G283" s="71"/>
      <c r="H283" s="71"/>
      <c r="I283" s="61"/>
      <c r="J283" s="61"/>
      <c r="K283" s="61"/>
      <c r="L283" s="57"/>
      <c r="M283" s="352"/>
      <c r="N283" s="61"/>
      <c r="O283" s="66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2:25" ht="14.25" customHeight="1" x14ac:dyDescent="0.25">
      <c r="B284" s="14"/>
      <c r="C284" s="71"/>
      <c r="D284" s="71"/>
      <c r="E284" s="71"/>
      <c r="F284" s="71"/>
      <c r="G284" s="71"/>
      <c r="H284" s="71"/>
      <c r="I284" s="61"/>
      <c r="J284" s="61"/>
      <c r="K284" s="61"/>
      <c r="L284" s="57"/>
      <c r="M284" s="352"/>
      <c r="N284" s="61"/>
      <c r="O284" s="66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2:25" ht="14.25" customHeight="1" x14ac:dyDescent="0.25">
      <c r="B285" s="14"/>
      <c r="C285" s="71"/>
      <c r="D285" s="71"/>
      <c r="E285" s="71"/>
      <c r="F285" s="71"/>
      <c r="G285" s="71"/>
      <c r="H285" s="71"/>
      <c r="I285" s="61"/>
      <c r="J285" s="61"/>
      <c r="K285" s="61"/>
      <c r="L285" s="57"/>
      <c r="M285" s="352"/>
      <c r="N285" s="61"/>
      <c r="O285" s="66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2:25" ht="14.25" customHeight="1" x14ac:dyDescent="0.25">
      <c r="B286" s="14"/>
      <c r="C286" s="71"/>
      <c r="D286" s="71"/>
      <c r="E286" s="71"/>
      <c r="F286" s="71"/>
      <c r="G286" s="71"/>
      <c r="H286" s="71"/>
      <c r="I286" s="61"/>
      <c r="J286" s="61"/>
      <c r="K286" s="61"/>
      <c r="L286" s="57"/>
      <c r="M286" s="352"/>
      <c r="N286" s="61"/>
      <c r="O286" s="66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2:25" ht="14.25" customHeight="1" x14ac:dyDescent="0.25">
      <c r="B287" s="14"/>
      <c r="C287" s="71"/>
      <c r="D287" s="71"/>
      <c r="E287" s="71"/>
      <c r="F287" s="71"/>
      <c r="G287" s="71"/>
      <c r="H287" s="71"/>
      <c r="I287" s="61"/>
      <c r="J287" s="61"/>
      <c r="K287" s="61"/>
      <c r="L287" s="57"/>
      <c r="M287" s="352"/>
      <c r="N287" s="61"/>
      <c r="O287" s="66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2:25" ht="14.25" customHeight="1" x14ac:dyDescent="0.25">
      <c r="B288" s="14"/>
      <c r="C288" s="71"/>
      <c r="D288" s="71"/>
      <c r="E288" s="71"/>
      <c r="F288" s="71"/>
      <c r="G288" s="71"/>
      <c r="H288" s="71"/>
      <c r="I288" s="61"/>
      <c r="J288" s="61"/>
      <c r="K288" s="61"/>
      <c r="L288" s="57"/>
      <c r="M288" s="352"/>
      <c r="N288" s="61"/>
      <c r="O288" s="66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2:25" ht="14.25" customHeight="1" x14ac:dyDescent="0.25">
      <c r="B289" s="14"/>
      <c r="C289" s="71"/>
      <c r="D289" s="71"/>
      <c r="E289" s="71"/>
      <c r="F289" s="71"/>
      <c r="G289" s="71"/>
      <c r="H289" s="71"/>
      <c r="I289" s="61"/>
      <c r="J289" s="61"/>
      <c r="K289" s="61"/>
      <c r="L289" s="57"/>
      <c r="M289" s="352"/>
      <c r="N289" s="61"/>
      <c r="O289" s="66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2:25" ht="14.25" customHeight="1" x14ac:dyDescent="0.25">
      <c r="B290" s="14"/>
      <c r="C290" s="71"/>
      <c r="D290" s="71"/>
      <c r="E290" s="71"/>
      <c r="F290" s="71"/>
      <c r="G290" s="71"/>
      <c r="H290" s="71"/>
      <c r="I290" s="61"/>
      <c r="J290" s="61"/>
      <c r="K290" s="61"/>
      <c r="L290" s="57"/>
      <c r="M290" s="352"/>
      <c r="N290" s="61"/>
      <c r="O290" s="66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spans="2:25" ht="14.25" customHeight="1" x14ac:dyDescent="0.25">
      <c r="B291" s="14"/>
      <c r="C291" s="71"/>
      <c r="D291" s="71"/>
      <c r="E291" s="71"/>
      <c r="F291" s="71"/>
      <c r="G291" s="71"/>
      <c r="H291" s="71"/>
      <c r="I291" s="61"/>
      <c r="J291" s="61"/>
      <c r="K291" s="61"/>
      <c r="L291" s="57"/>
      <c r="M291" s="352"/>
      <c r="N291" s="61"/>
      <c r="O291" s="66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spans="2:25" ht="14.25" customHeight="1" x14ac:dyDescent="0.25">
      <c r="B292" s="14"/>
      <c r="C292" s="71"/>
      <c r="D292" s="71"/>
      <c r="E292" s="71"/>
      <c r="F292" s="71"/>
      <c r="G292" s="71"/>
      <c r="H292" s="71"/>
      <c r="I292" s="61"/>
      <c r="J292" s="61"/>
      <c r="K292" s="61"/>
      <c r="L292" s="57"/>
      <c r="M292" s="352"/>
      <c r="N292" s="61"/>
      <c r="O292" s="66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2:25" ht="14.25" customHeight="1" x14ac:dyDescent="0.25">
      <c r="B293" s="14"/>
      <c r="C293" s="71"/>
      <c r="D293" s="71"/>
      <c r="E293" s="71"/>
      <c r="F293" s="71"/>
      <c r="G293" s="71"/>
      <c r="H293" s="71"/>
      <c r="I293" s="61"/>
      <c r="J293" s="61"/>
      <c r="K293" s="61"/>
      <c r="L293" s="57"/>
      <c r="M293" s="352"/>
      <c r="N293" s="61"/>
      <c r="O293" s="66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2:25" ht="14.25" customHeight="1" x14ac:dyDescent="0.25">
      <c r="B294" s="14"/>
      <c r="C294" s="71"/>
      <c r="D294" s="71"/>
      <c r="E294" s="71"/>
      <c r="F294" s="71"/>
      <c r="G294" s="71"/>
      <c r="H294" s="71"/>
      <c r="I294" s="61"/>
      <c r="J294" s="61"/>
      <c r="K294" s="61"/>
      <c r="L294" s="57"/>
      <c r="M294" s="352"/>
      <c r="N294" s="61"/>
      <c r="O294" s="66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2:25" ht="14.25" customHeight="1" x14ac:dyDescent="0.25">
      <c r="B295" s="14"/>
      <c r="C295" s="71"/>
      <c r="D295" s="71"/>
      <c r="E295" s="71"/>
      <c r="F295" s="71"/>
      <c r="G295" s="71"/>
      <c r="H295" s="71"/>
      <c r="I295" s="61"/>
      <c r="J295" s="61"/>
      <c r="K295" s="61"/>
      <c r="L295" s="57"/>
      <c r="M295" s="352"/>
      <c r="N295" s="61"/>
      <c r="O295" s="66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2:25" ht="14.25" customHeight="1" x14ac:dyDescent="0.25">
      <c r="B296" s="14"/>
      <c r="C296" s="71"/>
      <c r="D296" s="71"/>
      <c r="E296" s="71"/>
      <c r="F296" s="71"/>
      <c r="G296" s="71"/>
      <c r="H296" s="71"/>
      <c r="I296" s="61"/>
      <c r="J296" s="61"/>
      <c r="K296" s="61"/>
      <c r="L296" s="57"/>
      <c r="M296" s="352"/>
      <c r="N296" s="61"/>
      <c r="O296" s="66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2:25" ht="14.25" customHeight="1" x14ac:dyDescent="0.25">
      <c r="B297" s="14"/>
      <c r="C297" s="71"/>
      <c r="D297" s="71"/>
      <c r="E297" s="71"/>
      <c r="F297" s="71"/>
      <c r="G297" s="71"/>
      <c r="H297" s="71"/>
      <c r="I297" s="61"/>
      <c r="J297" s="61"/>
      <c r="K297" s="61"/>
      <c r="L297" s="57"/>
      <c r="M297" s="352"/>
      <c r="N297" s="61"/>
      <c r="O297" s="66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2:25" ht="14.25" customHeight="1" x14ac:dyDescent="0.25">
      <c r="B298" s="14"/>
      <c r="C298" s="71"/>
      <c r="D298" s="71"/>
      <c r="E298" s="71"/>
      <c r="F298" s="71"/>
      <c r="G298" s="71"/>
      <c r="H298" s="71"/>
      <c r="I298" s="61"/>
      <c r="J298" s="61"/>
      <c r="K298" s="61"/>
      <c r="L298" s="57"/>
      <c r="M298" s="352"/>
      <c r="N298" s="61"/>
      <c r="O298" s="66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2:25" ht="14.25" customHeight="1" x14ac:dyDescent="0.25">
      <c r="B299" s="14"/>
      <c r="C299" s="71"/>
      <c r="D299" s="71"/>
      <c r="E299" s="71"/>
      <c r="F299" s="71"/>
      <c r="G299" s="71"/>
      <c r="H299" s="71"/>
      <c r="I299" s="61"/>
      <c r="J299" s="61"/>
      <c r="K299" s="61"/>
      <c r="L299" s="57"/>
      <c r="M299" s="352"/>
      <c r="N299" s="61"/>
      <c r="O299" s="66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2:25" ht="14.25" customHeight="1" x14ac:dyDescent="0.25">
      <c r="B300" s="14"/>
      <c r="C300" s="71"/>
      <c r="D300" s="71"/>
      <c r="E300" s="71"/>
      <c r="F300" s="71"/>
      <c r="G300" s="71"/>
      <c r="H300" s="71"/>
      <c r="I300" s="61"/>
      <c r="J300" s="61"/>
      <c r="K300" s="61"/>
      <c r="L300" s="57"/>
      <c r="M300" s="352"/>
      <c r="N300" s="61"/>
      <c r="O300" s="66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2:25" ht="14.25" customHeight="1" x14ac:dyDescent="0.25">
      <c r="B301" s="14"/>
      <c r="C301" s="71"/>
      <c r="D301" s="71"/>
      <c r="E301" s="71"/>
      <c r="F301" s="71"/>
      <c r="G301" s="71"/>
      <c r="H301" s="71"/>
      <c r="I301" s="61"/>
      <c r="J301" s="61"/>
      <c r="K301" s="61"/>
      <c r="L301" s="57"/>
      <c r="M301" s="352"/>
      <c r="N301" s="61"/>
      <c r="O301" s="66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2:25" ht="14.25" customHeight="1" x14ac:dyDescent="0.25">
      <c r="B302" s="14"/>
      <c r="C302" s="71"/>
      <c r="D302" s="71"/>
      <c r="E302" s="71"/>
      <c r="F302" s="71"/>
      <c r="G302" s="71"/>
      <c r="H302" s="71"/>
      <c r="I302" s="61"/>
      <c r="J302" s="61"/>
      <c r="K302" s="61"/>
      <c r="L302" s="57"/>
      <c r="M302" s="352"/>
      <c r="N302" s="61"/>
      <c r="O302" s="66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2:25" ht="14.25" customHeight="1" x14ac:dyDescent="0.25">
      <c r="B303" s="14"/>
      <c r="C303" s="71"/>
      <c r="D303" s="71"/>
      <c r="E303" s="71"/>
      <c r="F303" s="71"/>
      <c r="G303" s="71"/>
      <c r="H303" s="71"/>
      <c r="I303" s="61"/>
      <c r="J303" s="61"/>
      <c r="K303" s="61"/>
      <c r="L303" s="57"/>
      <c r="M303" s="352"/>
      <c r="N303" s="61"/>
      <c r="O303" s="66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2:25" ht="14.25" customHeight="1" x14ac:dyDescent="0.25">
      <c r="B304" s="14"/>
      <c r="C304" s="71"/>
      <c r="D304" s="71"/>
      <c r="E304" s="71"/>
      <c r="F304" s="71"/>
      <c r="G304" s="71"/>
      <c r="H304" s="71"/>
      <c r="I304" s="61"/>
      <c r="J304" s="61"/>
      <c r="K304" s="61"/>
      <c r="L304" s="57"/>
      <c r="M304" s="352"/>
      <c r="N304" s="61"/>
      <c r="O304" s="66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2:25" ht="14.25" customHeight="1" x14ac:dyDescent="0.25">
      <c r="B305" s="14"/>
      <c r="C305" s="71"/>
      <c r="D305" s="71"/>
      <c r="E305" s="71"/>
      <c r="F305" s="71"/>
      <c r="G305" s="71"/>
      <c r="H305" s="71"/>
      <c r="I305" s="61"/>
      <c r="J305" s="61"/>
      <c r="K305" s="61"/>
      <c r="L305" s="57"/>
      <c r="M305" s="352"/>
      <c r="N305" s="61"/>
      <c r="O305" s="66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2:25" ht="14.25" customHeight="1" x14ac:dyDescent="0.25">
      <c r="B306" s="14"/>
      <c r="C306" s="71"/>
      <c r="D306" s="71"/>
      <c r="E306" s="71"/>
      <c r="F306" s="71"/>
      <c r="G306" s="71"/>
      <c r="H306" s="71"/>
      <c r="I306" s="61"/>
      <c r="J306" s="61"/>
      <c r="K306" s="61"/>
      <c r="L306" s="57"/>
      <c r="M306" s="352"/>
      <c r="N306" s="61"/>
      <c r="O306" s="66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2:25" ht="14.25" customHeight="1" x14ac:dyDescent="0.25">
      <c r="B307" s="14"/>
      <c r="C307" s="71"/>
      <c r="D307" s="71"/>
      <c r="E307" s="71"/>
      <c r="F307" s="71"/>
      <c r="G307" s="71"/>
      <c r="H307" s="71"/>
      <c r="I307" s="61"/>
      <c r="J307" s="61"/>
      <c r="K307" s="61"/>
      <c r="L307" s="57"/>
      <c r="M307" s="352"/>
      <c r="N307" s="61"/>
      <c r="O307" s="66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2:25" ht="14.25" customHeight="1" x14ac:dyDescent="0.25">
      <c r="B308" s="14"/>
      <c r="C308" s="71"/>
      <c r="D308" s="71"/>
      <c r="E308" s="71"/>
      <c r="F308" s="71"/>
      <c r="G308" s="71"/>
      <c r="H308" s="71"/>
      <c r="I308" s="61"/>
      <c r="J308" s="61"/>
      <c r="K308" s="61"/>
      <c r="L308" s="57"/>
      <c r="M308" s="352"/>
      <c r="N308" s="61"/>
      <c r="O308" s="66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2:25" ht="14.25" customHeight="1" x14ac:dyDescent="0.25">
      <c r="B309" s="14"/>
      <c r="C309" s="71"/>
      <c r="D309" s="71"/>
      <c r="E309" s="71"/>
      <c r="F309" s="71"/>
      <c r="G309" s="71"/>
      <c r="H309" s="71"/>
      <c r="I309" s="61"/>
      <c r="J309" s="61"/>
      <c r="K309" s="61"/>
      <c r="L309" s="57"/>
      <c r="M309" s="352"/>
      <c r="N309" s="61"/>
      <c r="O309" s="66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spans="2:25" ht="14.25" customHeight="1" x14ac:dyDescent="0.25">
      <c r="B310" s="14"/>
      <c r="C310" s="71"/>
      <c r="D310" s="71"/>
      <c r="E310" s="71"/>
      <c r="F310" s="71"/>
      <c r="G310" s="71"/>
      <c r="H310" s="71"/>
      <c r="I310" s="61"/>
      <c r="J310" s="61"/>
      <c r="K310" s="61"/>
      <c r="L310" s="57"/>
      <c r="M310" s="352"/>
      <c r="N310" s="61"/>
      <c r="O310" s="66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spans="2:25" ht="14.25" customHeight="1" x14ac:dyDescent="0.25">
      <c r="B311" s="14"/>
      <c r="C311" s="71"/>
      <c r="D311" s="71"/>
      <c r="E311" s="71"/>
      <c r="F311" s="71"/>
      <c r="G311" s="71"/>
      <c r="H311" s="71"/>
      <c r="I311" s="61"/>
      <c r="J311" s="61"/>
      <c r="K311" s="61"/>
      <c r="L311" s="57"/>
      <c r="M311" s="352"/>
      <c r="N311" s="61"/>
      <c r="O311" s="66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spans="2:25" ht="14.25" customHeight="1" x14ac:dyDescent="0.25">
      <c r="B312" s="14"/>
      <c r="C312" s="71"/>
      <c r="D312" s="71"/>
      <c r="E312" s="71"/>
      <c r="F312" s="71"/>
      <c r="G312" s="71"/>
      <c r="H312" s="71"/>
      <c r="I312" s="61"/>
      <c r="J312" s="61"/>
      <c r="K312" s="61"/>
      <c r="L312" s="57"/>
      <c r="M312" s="352"/>
      <c r="N312" s="61"/>
      <c r="O312" s="66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2:25" ht="14.25" customHeight="1" x14ac:dyDescent="0.25">
      <c r="B313" s="14"/>
      <c r="C313" s="71"/>
      <c r="D313" s="71"/>
      <c r="E313" s="71"/>
      <c r="F313" s="71"/>
      <c r="G313" s="71"/>
      <c r="H313" s="71"/>
      <c r="I313" s="61"/>
      <c r="J313" s="61"/>
      <c r="K313" s="61"/>
      <c r="L313" s="57"/>
      <c r="M313" s="352"/>
      <c r="N313" s="61"/>
      <c r="O313" s="66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2:25" ht="14.25" customHeight="1" x14ac:dyDescent="0.25">
      <c r="B314" s="14"/>
      <c r="C314" s="71"/>
      <c r="D314" s="71"/>
      <c r="E314" s="71"/>
      <c r="F314" s="71"/>
      <c r="G314" s="71"/>
      <c r="H314" s="71"/>
      <c r="I314" s="61"/>
      <c r="J314" s="61"/>
      <c r="K314" s="61"/>
      <c r="L314" s="57"/>
      <c r="M314" s="352"/>
      <c r="N314" s="61"/>
      <c r="O314" s="66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spans="2:25" ht="14.25" customHeight="1" x14ac:dyDescent="0.25">
      <c r="B315" s="14"/>
      <c r="C315" s="71"/>
      <c r="D315" s="71"/>
      <c r="E315" s="71"/>
      <c r="F315" s="71"/>
      <c r="G315" s="71"/>
      <c r="H315" s="71"/>
      <c r="I315" s="61"/>
      <c r="J315" s="61"/>
      <c r="K315" s="61"/>
      <c r="L315" s="57"/>
      <c r="M315" s="352"/>
      <c r="N315" s="61"/>
      <c r="O315" s="66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2:25" ht="14.25" customHeight="1" x14ac:dyDescent="0.25">
      <c r="B316" s="14"/>
      <c r="C316" s="71"/>
      <c r="D316" s="71"/>
      <c r="E316" s="71"/>
      <c r="F316" s="71"/>
      <c r="G316" s="71"/>
      <c r="H316" s="71"/>
      <c r="I316" s="61"/>
      <c r="J316" s="61"/>
      <c r="K316" s="61"/>
      <c r="L316" s="57"/>
      <c r="M316" s="352"/>
      <c r="N316" s="61"/>
      <c r="O316" s="66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spans="2:25" ht="14.25" customHeight="1" x14ac:dyDescent="0.25">
      <c r="B317" s="14"/>
      <c r="C317" s="71"/>
      <c r="D317" s="71"/>
      <c r="E317" s="71"/>
      <c r="F317" s="71"/>
      <c r="G317" s="71"/>
      <c r="H317" s="71"/>
      <c r="I317" s="61"/>
      <c r="J317" s="61"/>
      <c r="K317" s="61"/>
      <c r="L317" s="57"/>
      <c r="M317" s="352"/>
      <c r="N317" s="61"/>
      <c r="O317" s="66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spans="2:25" ht="14.25" customHeight="1" x14ac:dyDescent="0.25">
      <c r="B318" s="14"/>
      <c r="C318" s="71"/>
      <c r="D318" s="71"/>
      <c r="E318" s="71"/>
      <c r="F318" s="71"/>
      <c r="G318" s="71"/>
      <c r="H318" s="71"/>
      <c r="I318" s="61"/>
      <c r="J318" s="61"/>
      <c r="K318" s="61"/>
      <c r="L318" s="57"/>
      <c r="M318" s="352"/>
      <c r="N318" s="61"/>
      <c r="O318" s="66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spans="2:25" ht="14.25" customHeight="1" x14ac:dyDescent="0.25">
      <c r="B319" s="14"/>
      <c r="C319" s="71"/>
      <c r="D319" s="71"/>
      <c r="E319" s="71"/>
      <c r="F319" s="71"/>
      <c r="G319" s="71"/>
      <c r="H319" s="71"/>
      <c r="I319" s="61"/>
      <c r="J319" s="61"/>
      <c r="K319" s="61"/>
      <c r="L319" s="57"/>
      <c r="M319" s="352"/>
      <c r="N319" s="61"/>
      <c r="O319" s="66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spans="2:25" ht="14.25" customHeight="1" x14ac:dyDescent="0.25">
      <c r="B320" s="14"/>
      <c r="C320" s="71"/>
      <c r="D320" s="71"/>
      <c r="E320" s="71"/>
      <c r="F320" s="71"/>
      <c r="G320" s="71"/>
      <c r="H320" s="71"/>
      <c r="I320" s="61"/>
      <c r="J320" s="61"/>
      <c r="K320" s="61"/>
      <c r="L320" s="57"/>
      <c r="M320" s="352"/>
      <c r="N320" s="61"/>
      <c r="O320" s="66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spans="2:25" ht="14.25" customHeight="1" x14ac:dyDescent="0.25">
      <c r="B321" s="14"/>
      <c r="C321" s="71"/>
      <c r="D321" s="71"/>
      <c r="E321" s="71"/>
      <c r="F321" s="71"/>
      <c r="G321" s="71"/>
      <c r="H321" s="71"/>
      <c r="I321" s="61"/>
      <c r="J321" s="61"/>
      <c r="K321" s="61"/>
      <c r="L321" s="57"/>
      <c r="M321" s="352"/>
      <c r="N321" s="61"/>
      <c r="O321" s="66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spans="2:25" ht="14.25" customHeight="1" x14ac:dyDescent="0.25">
      <c r="B322" s="14"/>
      <c r="C322" s="71"/>
      <c r="D322" s="71"/>
      <c r="E322" s="71"/>
      <c r="F322" s="71"/>
      <c r="G322" s="71"/>
      <c r="H322" s="71"/>
      <c r="I322" s="61"/>
      <c r="J322" s="61"/>
      <c r="K322" s="61"/>
      <c r="L322" s="57"/>
      <c r="M322" s="352"/>
      <c r="N322" s="61"/>
      <c r="O322" s="66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spans="2:25" ht="14.25" customHeight="1" x14ac:dyDescent="0.25">
      <c r="B323" s="14"/>
      <c r="C323" s="71"/>
      <c r="D323" s="71"/>
      <c r="E323" s="71"/>
      <c r="F323" s="71"/>
      <c r="G323" s="71"/>
      <c r="H323" s="71"/>
      <c r="I323" s="61"/>
      <c r="J323" s="61"/>
      <c r="K323" s="61"/>
      <c r="L323" s="57"/>
      <c r="M323" s="352"/>
      <c r="N323" s="61"/>
      <c r="O323" s="66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spans="2:25" ht="14.25" customHeight="1" x14ac:dyDescent="0.25">
      <c r="B324" s="14"/>
      <c r="C324" s="71"/>
      <c r="D324" s="71"/>
      <c r="E324" s="71"/>
      <c r="F324" s="71"/>
      <c r="G324" s="71"/>
      <c r="H324" s="71"/>
      <c r="I324" s="61"/>
      <c r="J324" s="61"/>
      <c r="K324" s="61"/>
      <c r="L324" s="57"/>
      <c r="M324" s="352"/>
      <c r="N324" s="61"/>
      <c r="O324" s="66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spans="2:25" ht="14.25" customHeight="1" x14ac:dyDescent="0.25">
      <c r="B325" s="14"/>
      <c r="C325" s="71"/>
      <c r="D325" s="71"/>
      <c r="E325" s="71"/>
      <c r="F325" s="71"/>
      <c r="G325" s="71"/>
      <c r="H325" s="71"/>
      <c r="I325" s="61"/>
      <c r="J325" s="61"/>
      <c r="K325" s="61"/>
      <c r="L325" s="57"/>
      <c r="M325" s="352"/>
      <c r="N325" s="61"/>
      <c r="O325" s="66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spans="2:25" ht="14.25" customHeight="1" x14ac:dyDescent="0.25">
      <c r="B326" s="14"/>
      <c r="C326" s="71"/>
      <c r="D326" s="71"/>
      <c r="E326" s="71"/>
      <c r="F326" s="71"/>
      <c r="G326" s="71"/>
      <c r="H326" s="71"/>
      <c r="I326" s="61"/>
      <c r="J326" s="61"/>
      <c r="K326" s="61"/>
      <c r="L326" s="57"/>
      <c r="M326" s="352"/>
      <c r="N326" s="61"/>
      <c r="O326" s="66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spans="2:25" ht="14.25" customHeight="1" x14ac:dyDescent="0.25">
      <c r="B327" s="14"/>
      <c r="C327" s="71"/>
      <c r="D327" s="71"/>
      <c r="E327" s="71"/>
      <c r="F327" s="71"/>
      <c r="G327" s="71"/>
      <c r="H327" s="71"/>
      <c r="I327" s="61"/>
      <c r="J327" s="61"/>
      <c r="K327" s="61"/>
      <c r="L327" s="57"/>
      <c r="M327" s="352"/>
      <c r="N327" s="61"/>
      <c r="O327" s="66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spans="2:25" ht="14.25" customHeight="1" x14ac:dyDescent="0.25">
      <c r="B328" s="14"/>
      <c r="C328" s="71"/>
      <c r="D328" s="71"/>
      <c r="E328" s="71"/>
      <c r="F328" s="71"/>
      <c r="G328" s="71"/>
      <c r="H328" s="71"/>
      <c r="I328" s="61"/>
      <c r="J328" s="61"/>
      <c r="K328" s="61"/>
      <c r="L328" s="57"/>
      <c r="M328" s="352"/>
      <c r="N328" s="61"/>
      <c r="O328" s="66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spans="2:25" ht="14.25" customHeight="1" x14ac:dyDescent="0.25">
      <c r="B329" s="14"/>
      <c r="C329" s="71"/>
      <c r="D329" s="71"/>
      <c r="E329" s="71"/>
      <c r="F329" s="71"/>
      <c r="G329" s="71"/>
      <c r="H329" s="71"/>
      <c r="I329" s="61"/>
      <c r="J329" s="61"/>
      <c r="K329" s="61"/>
      <c r="L329" s="57"/>
      <c r="M329" s="352"/>
      <c r="N329" s="61"/>
      <c r="O329" s="66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spans="2:25" ht="14.25" customHeight="1" x14ac:dyDescent="0.25">
      <c r="B330" s="14"/>
      <c r="C330" s="71"/>
      <c r="D330" s="71"/>
      <c r="E330" s="71"/>
      <c r="F330" s="71"/>
      <c r="G330" s="71"/>
      <c r="H330" s="71"/>
      <c r="I330" s="61"/>
      <c r="J330" s="61"/>
      <c r="K330" s="61"/>
      <c r="L330" s="57"/>
      <c r="M330" s="352"/>
      <c r="N330" s="61"/>
      <c r="O330" s="66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spans="2:25" ht="14.25" customHeight="1" x14ac:dyDescent="0.25">
      <c r="B331" s="14"/>
      <c r="C331" s="71"/>
      <c r="D331" s="71"/>
      <c r="E331" s="71"/>
      <c r="F331" s="71"/>
      <c r="G331" s="71"/>
      <c r="H331" s="71"/>
      <c r="I331" s="61"/>
      <c r="J331" s="61"/>
      <c r="K331" s="61"/>
      <c r="L331" s="57"/>
      <c r="M331" s="352"/>
      <c r="N331" s="61"/>
      <c r="O331" s="66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2:25" ht="14.25" customHeight="1" x14ac:dyDescent="0.25">
      <c r="B332" s="14"/>
      <c r="C332" s="71"/>
      <c r="D332" s="71"/>
      <c r="E332" s="71"/>
      <c r="F332" s="71"/>
      <c r="G332" s="71"/>
      <c r="H332" s="71"/>
      <c r="I332" s="61"/>
      <c r="J332" s="61"/>
      <c r="K332" s="61"/>
      <c r="L332" s="57"/>
      <c r="M332" s="352"/>
      <c r="N332" s="61"/>
      <c r="O332" s="66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spans="2:25" ht="14.25" customHeight="1" x14ac:dyDescent="0.25">
      <c r="B333" s="14"/>
      <c r="C333" s="71"/>
      <c r="D333" s="71"/>
      <c r="E333" s="71"/>
      <c r="F333" s="71"/>
      <c r="G333" s="71"/>
      <c r="H333" s="71"/>
      <c r="I333" s="61"/>
      <c r="J333" s="61"/>
      <c r="K333" s="61"/>
      <c r="L333" s="57"/>
      <c r="M333" s="352"/>
      <c r="N333" s="61"/>
      <c r="O333" s="66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spans="2:25" ht="14.25" customHeight="1" x14ac:dyDescent="0.25">
      <c r="B334" s="14"/>
      <c r="C334" s="71"/>
      <c r="D334" s="71"/>
      <c r="E334" s="71"/>
      <c r="F334" s="71"/>
      <c r="G334" s="71"/>
      <c r="H334" s="71"/>
      <c r="I334" s="61"/>
      <c r="J334" s="61"/>
      <c r="K334" s="61"/>
      <c r="L334" s="57"/>
      <c r="M334" s="352"/>
      <c r="N334" s="61"/>
      <c r="O334" s="66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spans="2:25" ht="14.25" customHeight="1" x14ac:dyDescent="0.25">
      <c r="B335" s="14"/>
      <c r="C335" s="14"/>
      <c r="D335" s="25"/>
      <c r="E335" s="25"/>
      <c r="F335" s="14"/>
      <c r="G335" s="14"/>
      <c r="H335" s="14"/>
      <c r="I335" s="7"/>
      <c r="J335" s="7"/>
      <c r="K335" s="7"/>
      <c r="L335" s="14"/>
      <c r="M335" s="354"/>
      <c r="N335" s="7"/>
      <c r="O335" s="13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spans="2:25" ht="14.25" customHeight="1" x14ac:dyDescent="0.25">
      <c r="B336" s="14"/>
      <c r="C336" s="14"/>
      <c r="D336" s="25"/>
      <c r="E336" s="25"/>
      <c r="F336" s="14"/>
      <c r="G336" s="14"/>
      <c r="H336" s="14"/>
      <c r="I336" s="7"/>
      <c r="J336" s="7"/>
      <c r="K336" s="7"/>
      <c r="L336" s="14"/>
      <c r="M336" s="354"/>
      <c r="N336" s="7"/>
      <c r="O336" s="13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spans="2:25" ht="14.25" customHeight="1" x14ac:dyDescent="0.25">
      <c r="B337" s="14"/>
      <c r="C337" s="14"/>
      <c r="D337" s="25"/>
      <c r="E337" s="25"/>
      <c r="F337" s="14"/>
      <c r="G337" s="14"/>
      <c r="H337" s="14"/>
      <c r="I337" s="7"/>
      <c r="J337" s="7"/>
      <c r="K337" s="7"/>
      <c r="L337" s="14"/>
      <c r="M337" s="354"/>
      <c r="N337" s="7"/>
      <c r="O337" s="13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spans="2:25" ht="14.25" customHeight="1" x14ac:dyDescent="0.25">
      <c r="B338" s="14"/>
      <c r="C338" s="14"/>
      <c r="D338" s="25"/>
      <c r="E338" s="25"/>
      <c r="F338" s="14"/>
      <c r="G338" s="14"/>
      <c r="H338" s="14"/>
      <c r="I338" s="7"/>
      <c r="J338" s="7"/>
      <c r="K338" s="7"/>
      <c r="L338" s="14"/>
      <c r="M338" s="354"/>
      <c r="N338" s="7"/>
      <c r="O338" s="13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spans="2:25" ht="14.25" customHeight="1" x14ac:dyDescent="0.25">
      <c r="B339" s="14"/>
      <c r="C339" s="14"/>
      <c r="D339" s="25"/>
      <c r="E339" s="25"/>
      <c r="F339" s="14"/>
      <c r="G339" s="14"/>
      <c r="H339" s="14"/>
      <c r="I339" s="7"/>
      <c r="J339" s="7"/>
      <c r="K339" s="7"/>
      <c r="L339" s="14"/>
      <c r="M339" s="354"/>
      <c r="N339" s="7"/>
      <c r="O339" s="13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spans="2:25" ht="14.25" customHeight="1" x14ac:dyDescent="0.25">
      <c r="B340" s="14"/>
      <c r="C340" s="14"/>
      <c r="D340" s="25"/>
      <c r="E340" s="25"/>
      <c r="F340" s="14"/>
      <c r="G340" s="14"/>
      <c r="H340" s="14"/>
      <c r="I340" s="7"/>
      <c r="J340" s="7"/>
      <c r="K340" s="7"/>
      <c r="L340" s="14"/>
      <c r="M340" s="354"/>
      <c r="N340" s="7"/>
      <c r="O340" s="13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spans="2:25" ht="14.25" customHeight="1" x14ac:dyDescent="0.25">
      <c r="B341" s="14"/>
      <c r="C341" s="14"/>
      <c r="D341" s="25"/>
      <c r="E341" s="25"/>
      <c r="F341" s="14"/>
      <c r="G341" s="14"/>
      <c r="H341" s="14"/>
      <c r="I341" s="7"/>
      <c r="J341" s="7"/>
      <c r="K341" s="7"/>
      <c r="L341" s="14"/>
      <c r="M341" s="354"/>
      <c r="N341" s="7"/>
      <c r="O341" s="13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spans="2:25" ht="14.25" customHeight="1" x14ac:dyDescent="0.25">
      <c r="B342" s="14"/>
      <c r="C342" s="14"/>
      <c r="D342" s="25"/>
      <c r="E342" s="25"/>
      <c r="F342" s="14"/>
      <c r="G342" s="14"/>
      <c r="H342" s="14"/>
      <c r="I342" s="7"/>
      <c r="J342" s="7"/>
      <c r="K342" s="7"/>
      <c r="L342" s="14"/>
      <c r="M342" s="354"/>
      <c r="N342" s="7"/>
      <c r="O342" s="13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spans="2:25" ht="14.25" customHeight="1" x14ac:dyDescent="0.25">
      <c r="B343" s="14"/>
      <c r="C343" s="14"/>
      <c r="D343" s="25"/>
      <c r="E343" s="25"/>
      <c r="F343" s="14"/>
      <c r="G343" s="14"/>
      <c r="H343" s="14"/>
      <c r="I343" s="7"/>
      <c r="J343" s="7"/>
      <c r="K343" s="7"/>
      <c r="L343" s="14"/>
      <c r="M343" s="354"/>
      <c r="N343" s="7"/>
      <c r="O343" s="13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spans="2:25" ht="14.25" customHeight="1" x14ac:dyDescent="0.25">
      <c r="B344" s="14"/>
      <c r="C344" s="14"/>
      <c r="D344" s="25"/>
      <c r="E344" s="25"/>
      <c r="F344" s="14"/>
      <c r="G344" s="14"/>
      <c r="H344" s="14"/>
      <c r="I344" s="7"/>
      <c r="J344" s="7"/>
      <c r="K344" s="7"/>
      <c r="L344" s="14"/>
      <c r="M344" s="354"/>
      <c r="N344" s="7"/>
      <c r="O344" s="13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spans="2:25" ht="14.25" customHeight="1" x14ac:dyDescent="0.25">
      <c r="B345" s="14"/>
      <c r="C345" s="14"/>
      <c r="D345" s="25"/>
      <c r="E345" s="25"/>
      <c r="F345" s="14"/>
      <c r="G345" s="14"/>
      <c r="H345" s="14"/>
      <c r="I345" s="7"/>
      <c r="J345" s="7"/>
      <c r="K345" s="7"/>
      <c r="L345" s="14"/>
      <c r="M345" s="354"/>
      <c r="N345" s="7"/>
      <c r="O345" s="13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spans="2:25" ht="14.25" customHeight="1" x14ac:dyDescent="0.25">
      <c r="B346" s="14"/>
      <c r="C346" s="14"/>
      <c r="D346" s="25"/>
      <c r="E346" s="25"/>
      <c r="F346" s="14"/>
      <c r="G346" s="14"/>
      <c r="H346" s="14"/>
      <c r="I346" s="7"/>
      <c r="J346" s="7"/>
      <c r="K346" s="7"/>
      <c r="L346" s="14"/>
      <c r="M346" s="354"/>
      <c r="N346" s="7"/>
      <c r="O346" s="13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spans="2:25" ht="14.25" customHeight="1" x14ac:dyDescent="0.25">
      <c r="B347" s="14"/>
      <c r="C347" s="14"/>
      <c r="D347" s="25"/>
      <c r="E347" s="25"/>
      <c r="F347" s="14"/>
      <c r="G347" s="14"/>
      <c r="H347" s="14"/>
      <c r="I347" s="7"/>
      <c r="J347" s="7"/>
      <c r="K347" s="7"/>
      <c r="L347" s="14"/>
      <c r="M347" s="354"/>
      <c r="N347" s="7"/>
      <c r="O347" s="13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spans="2:25" ht="14.25" customHeight="1" x14ac:dyDescent="0.25">
      <c r="B348" s="14"/>
      <c r="C348" s="14"/>
      <c r="D348" s="25"/>
      <c r="E348" s="25"/>
      <c r="F348" s="14"/>
      <c r="G348" s="14"/>
      <c r="H348" s="14"/>
      <c r="I348" s="7"/>
      <c r="J348" s="7"/>
      <c r="K348" s="7"/>
      <c r="L348" s="14"/>
      <c r="M348" s="354"/>
      <c r="N348" s="7"/>
      <c r="O348" s="13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spans="2:25" ht="14.25" customHeight="1" x14ac:dyDescent="0.25">
      <c r="B349" s="14"/>
      <c r="C349" s="14"/>
      <c r="D349" s="25"/>
      <c r="E349" s="25"/>
      <c r="F349" s="14"/>
      <c r="G349" s="14"/>
      <c r="H349" s="14"/>
      <c r="I349" s="7"/>
      <c r="J349" s="7"/>
      <c r="K349" s="7"/>
      <c r="L349" s="14"/>
      <c r="M349" s="354"/>
      <c r="N349" s="7"/>
      <c r="O349" s="13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spans="2:25" ht="14.25" customHeight="1" x14ac:dyDescent="0.25">
      <c r="B350" s="14"/>
      <c r="C350" s="14"/>
      <c r="D350" s="25"/>
      <c r="E350" s="25"/>
      <c r="F350" s="14"/>
      <c r="G350" s="14"/>
      <c r="H350" s="14"/>
      <c r="I350" s="7"/>
      <c r="J350" s="7"/>
      <c r="K350" s="7"/>
      <c r="L350" s="14"/>
      <c r="M350" s="354"/>
      <c r="N350" s="7"/>
      <c r="O350" s="13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spans="2:25" ht="14.25" customHeight="1" x14ac:dyDescent="0.25">
      <c r="B351" s="14"/>
      <c r="C351" s="14"/>
      <c r="D351" s="25"/>
      <c r="E351" s="25"/>
      <c r="F351" s="14"/>
      <c r="G351" s="14"/>
      <c r="H351" s="14"/>
      <c r="I351" s="7"/>
      <c r="J351" s="7"/>
      <c r="K351" s="7"/>
      <c r="L351" s="14"/>
      <c r="M351" s="354"/>
      <c r="N351" s="7"/>
      <c r="O351" s="13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2:25" ht="14.25" customHeight="1" x14ac:dyDescent="0.25">
      <c r="B352" s="14"/>
      <c r="C352" s="14"/>
      <c r="D352" s="25"/>
      <c r="E352" s="25"/>
      <c r="F352" s="14"/>
      <c r="G352" s="14"/>
      <c r="H352" s="14"/>
      <c r="I352" s="7"/>
      <c r="J352" s="7"/>
      <c r="K352" s="7"/>
      <c r="L352" s="14"/>
      <c r="M352" s="354"/>
      <c r="N352" s="7"/>
      <c r="O352" s="13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2:25" ht="14.25" customHeight="1" x14ac:dyDescent="0.25">
      <c r="B353" s="14"/>
      <c r="C353" s="14"/>
      <c r="D353" s="25"/>
      <c r="E353" s="25"/>
      <c r="F353" s="14"/>
      <c r="G353" s="14"/>
      <c r="H353" s="14"/>
      <c r="I353" s="7"/>
      <c r="J353" s="7"/>
      <c r="K353" s="7"/>
      <c r="L353" s="14"/>
      <c r="M353" s="354"/>
      <c r="N353" s="7"/>
      <c r="O353" s="13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spans="2:25" ht="14.25" customHeight="1" x14ac:dyDescent="0.25">
      <c r="B354" s="14"/>
      <c r="C354" s="14"/>
      <c r="D354" s="25"/>
      <c r="E354" s="25"/>
      <c r="F354" s="14"/>
      <c r="G354" s="14"/>
      <c r="H354" s="14"/>
      <c r="I354" s="7"/>
      <c r="J354" s="7"/>
      <c r="K354" s="7"/>
      <c r="L354" s="14"/>
      <c r="M354" s="354"/>
      <c r="N354" s="7"/>
      <c r="O354" s="13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spans="2:25" ht="14.25" customHeight="1" x14ac:dyDescent="0.25">
      <c r="B355" s="14"/>
      <c r="C355" s="14"/>
      <c r="D355" s="25"/>
      <c r="E355" s="25"/>
      <c r="F355" s="14"/>
      <c r="G355" s="14"/>
      <c r="H355" s="14"/>
      <c r="I355" s="7"/>
      <c r="J355" s="7"/>
      <c r="K355" s="7"/>
      <c r="L355" s="14"/>
      <c r="M355" s="354"/>
      <c r="N355" s="7"/>
      <c r="O355" s="13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spans="2:25" ht="14.25" customHeight="1" x14ac:dyDescent="0.25">
      <c r="B356" s="14"/>
      <c r="C356" s="14"/>
      <c r="D356" s="25"/>
      <c r="E356" s="25"/>
      <c r="F356" s="14"/>
      <c r="G356" s="14"/>
      <c r="H356" s="14"/>
      <c r="I356" s="7"/>
      <c r="J356" s="7"/>
      <c r="K356" s="7"/>
      <c r="L356" s="14"/>
      <c r="M356" s="354"/>
      <c r="N356" s="7"/>
      <c r="O356" s="13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spans="2:25" ht="14.25" customHeight="1" x14ac:dyDescent="0.25">
      <c r="B357" s="14"/>
      <c r="C357" s="14"/>
      <c r="D357" s="25"/>
      <c r="E357" s="25"/>
      <c r="F357" s="14"/>
      <c r="G357" s="14"/>
      <c r="H357" s="14"/>
      <c r="I357" s="7"/>
      <c r="J357" s="7"/>
      <c r="K357" s="7"/>
      <c r="L357" s="14"/>
      <c r="M357" s="354"/>
      <c r="N357" s="7"/>
      <c r="O357" s="13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spans="2:25" ht="14.25" customHeight="1" x14ac:dyDescent="0.25">
      <c r="B358" s="14"/>
      <c r="C358" s="14"/>
      <c r="D358" s="25"/>
      <c r="E358" s="25"/>
      <c r="F358" s="14"/>
      <c r="G358" s="14"/>
      <c r="H358" s="14"/>
      <c r="I358" s="7"/>
      <c r="J358" s="7"/>
      <c r="K358" s="7"/>
      <c r="L358" s="14"/>
      <c r="M358" s="354"/>
      <c r="N358" s="7"/>
      <c r="O358" s="13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spans="2:25" ht="14.25" customHeight="1" x14ac:dyDescent="0.25">
      <c r="B359" s="14"/>
      <c r="C359" s="14"/>
      <c r="D359" s="25"/>
      <c r="E359" s="25"/>
      <c r="F359" s="14"/>
      <c r="G359" s="14"/>
      <c r="H359" s="14"/>
      <c r="I359" s="7"/>
      <c r="J359" s="7"/>
      <c r="K359" s="7"/>
      <c r="L359" s="14"/>
      <c r="M359" s="354"/>
      <c r="N359" s="7"/>
      <c r="O359" s="13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spans="2:25" ht="14.25" customHeight="1" x14ac:dyDescent="0.25">
      <c r="B360" s="14"/>
      <c r="C360" s="14"/>
      <c r="D360" s="25"/>
      <c r="E360" s="25"/>
      <c r="F360" s="14"/>
      <c r="G360" s="14"/>
      <c r="H360" s="14"/>
      <c r="I360" s="7"/>
      <c r="J360" s="7"/>
      <c r="K360" s="7"/>
      <c r="L360" s="14"/>
      <c r="M360" s="354"/>
      <c r="N360" s="7"/>
      <c r="O360" s="13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spans="2:25" ht="14.25" customHeight="1" x14ac:dyDescent="0.25">
      <c r="B361" s="14"/>
      <c r="C361" s="14"/>
      <c r="D361" s="25"/>
      <c r="E361" s="25"/>
      <c r="F361" s="14"/>
      <c r="G361" s="14"/>
      <c r="H361" s="14"/>
      <c r="I361" s="7"/>
      <c r="J361" s="7"/>
      <c r="K361" s="7"/>
      <c r="L361" s="14"/>
      <c r="M361" s="354"/>
      <c r="N361" s="7"/>
      <c r="O361" s="13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spans="2:25" ht="14.25" customHeight="1" x14ac:dyDescent="0.25">
      <c r="B362" s="14"/>
      <c r="C362" s="14"/>
      <c r="D362" s="25"/>
      <c r="E362" s="25"/>
      <c r="F362" s="14"/>
      <c r="G362" s="14"/>
      <c r="H362" s="14"/>
      <c r="I362" s="7"/>
      <c r="J362" s="7"/>
      <c r="K362" s="7"/>
      <c r="L362" s="14"/>
      <c r="M362" s="354"/>
      <c r="N362" s="7"/>
      <c r="O362" s="13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spans="2:25" ht="14.25" customHeight="1" x14ac:dyDescent="0.25">
      <c r="B363" s="14"/>
      <c r="C363" s="14"/>
      <c r="D363" s="25"/>
      <c r="E363" s="25"/>
      <c r="F363" s="14"/>
      <c r="G363" s="14"/>
      <c r="H363" s="14"/>
      <c r="I363" s="7"/>
      <c r="J363" s="7"/>
      <c r="K363" s="7"/>
      <c r="L363" s="14"/>
      <c r="M363" s="354"/>
      <c r="N363" s="7"/>
      <c r="O363" s="13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spans="2:25" ht="14.25" customHeight="1" x14ac:dyDescent="0.25">
      <c r="B364" s="14"/>
      <c r="C364" s="14"/>
      <c r="D364" s="25"/>
      <c r="E364" s="25"/>
      <c r="F364" s="14"/>
      <c r="G364" s="14"/>
      <c r="H364" s="14"/>
      <c r="I364" s="7"/>
      <c r="J364" s="7"/>
      <c r="K364" s="7"/>
      <c r="L364" s="14"/>
      <c r="M364" s="354"/>
      <c r="N364" s="7"/>
      <c r="O364" s="13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spans="2:25" ht="14.25" customHeight="1" x14ac:dyDescent="0.25">
      <c r="B365" s="14"/>
      <c r="C365" s="14"/>
      <c r="D365" s="25"/>
      <c r="E365" s="25"/>
      <c r="F365" s="14"/>
      <c r="G365" s="14"/>
      <c r="H365" s="14"/>
      <c r="I365" s="7"/>
      <c r="J365" s="7"/>
      <c r="K365" s="7"/>
      <c r="L365" s="14"/>
      <c r="M365" s="354"/>
      <c r="N365" s="7"/>
      <c r="O365" s="13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spans="2:25" ht="14.25" customHeight="1" x14ac:dyDescent="0.25">
      <c r="B366" s="14"/>
      <c r="C366" s="14"/>
      <c r="D366" s="25"/>
      <c r="E366" s="25"/>
      <c r="F366" s="14"/>
      <c r="G366" s="14"/>
      <c r="H366" s="14"/>
      <c r="I366" s="7"/>
      <c r="J366" s="7"/>
      <c r="K366" s="7"/>
      <c r="L366" s="14"/>
      <c r="M366" s="354"/>
      <c r="N366" s="7"/>
      <c r="O366" s="13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spans="2:25" ht="14.25" customHeight="1" x14ac:dyDescent="0.25">
      <c r="B367" s="14"/>
      <c r="C367" s="14"/>
      <c r="D367" s="25"/>
      <c r="E367" s="25"/>
      <c r="F367" s="14"/>
      <c r="G367" s="14"/>
      <c r="H367" s="14"/>
      <c r="I367" s="7"/>
      <c r="J367" s="7"/>
      <c r="K367" s="7"/>
      <c r="L367" s="14"/>
      <c r="M367" s="354"/>
      <c r="N367" s="7"/>
      <c r="O367" s="13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spans="2:25" ht="14.25" customHeight="1" x14ac:dyDescent="0.25">
      <c r="B368" s="14"/>
      <c r="C368" s="14"/>
      <c r="D368" s="25"/>
      <c r="E368" s="25"/>
      <c r="F368" s="14"/>
      <c r="G368" s="14"/>
      <c r="H368" s="14"/>
      <c r="I368" s="7"/>
      <c r="J368" s="7"/>
      <c r="K368" s="7"/>
      <c r="L368" s="14"/>
      <c r="M368" s="354"/>
      <c r="N368" s="7"/>
      <c r="O368" s="13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spans="2:25" ht="14.25" customHeight="1" x14ac:dyDescent="0.25">
      <c r="B369" s="14"/>
      <c r="C369" s="14"/>
      <c r="D369" s="25"/>
      <c r="E369" s="25"/>
      <c r="F369" s="14"/>
      <c r="G369" s="14"/>
      <c r="H369" s="14"/>
      <c r="I369" s="7"/>
      <c r="J369" s="7"/>
      <c r="K369" s="7"/>
      <c r="L369" s="14"/>
      <c r="M369" s="354"/>
      <c r="N369" s="7"/>
      <c r="O369" s="13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spans="2:25" ht="14.25" customHeight="1" x14ac:dyDescent="0.25">
      <c r="B370" s="14"/>
      <c r="C370" s="14"/>
      <c r="D370" s="25"/>
      <c r="E370" s="25"/>
      <c r="F370" s="14"/>
      <c r="G370" s="14"/>
      <c r="H370" s="14"/>
      <c r="I370" s="7"/>
      <c r="J370" s="7"/>
      <c r="K370" s="7"/>
      <c r="L370" s="14"/>
      <c r="M370" s="354"/>
      <c r="N370" s="7"/>
      <c r="O370" s="13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2:25" ht="14.25" customHeight="1" x14ac:dyDescent="0.25">
      <c r="B371" s="14"/>
      <c r="C371" s="14"/>
      <c r="D371" s="25"/>
      <c r="E371" s="25"/>
      <c r="F371" s="14"/>
      <c r="G371" s="14"/>
      <c r="H371" s="14"/>
      <c r="I371" s="7"/>
      <c r="J371" s="7"/>
      <c r="K371" s="7"/>
      <c r="L371" s="14"/>
      <c r="M371" s="354"/>
      <c r="N371" s="7"/>
      <c r="O371" s="13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spans="2:25" ht="14.25" customHeight="1" x14ac:dyDescent="0.25">
      <c r="B372" s="14"/>
      <c r="C372" s="14"/>
      <c r="D372" s="25"/>
      <c r="E372" s="25"/>
      <c r="F372" s="14"/>
      <c r="G372" s="14"/>
      <c r="H372" s="14"/>
      <c r="I372" s="7"/>
      <c r="J372" s="7"/>
      <c r="K372" s="7"/>
      <c r="L372" s="14"/>
      <c r="M372" s="354"/>
      <c r="N372" s="7"/>
      <c r="O372" s="13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spans="2:25" ht="14.25" customHeight="1" x14ac:dyDescent="0.25">
      <c r="B373" s="14"/>
      <c r="C373" s="14"/>
      <c r="D373" s="25"/>
      <c r="E373" s="25"/>
      <c r="F373" s="14"/>
      <c r="G373" s="14"/>
      <c r="H373" s="14"/>
      <c r="I373" s="7"/>
      <c r="J373" s="7"/>
      <c r="K373" s="7"/>
      <c r="L373" s="14"/>
      <c r="M373" s="354"/>
      <c r="N373" s="7"/>
      <c r="O373" s="13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spans="2:25" ht="14.25" customHeight="1" x14ac:dyDescent="0.25">
      <c r="B374" s="14"/>
      <c r="C374" s="14"/>
      <c r="D374" s="25"/>
      <c r="E374" s="25"/>
      <c r="F374" s="14"/>
      <c r="G374" s="14"/>
      <c r="H374" s="14"/>
      <c r="I374" s="7"/>
      <c r="J374" s="7"/>
      <c r="K374" s="7"/>
      <c r="L374" s="14"/>
      <c r="M374" s="354"/>
      <c r="N374" s="7"/>
      <c r="O374" s="13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2:25" ht="14.25" customHeight="1" x14ac:dyDescent="0.25">
      <c r="B375" s="14"/>
      <c r="C375" s="14"/>
      <c r="D375" s="25"/>
      <c r="E375" s="25"/>
      <c r="F375" s="14"/>
      <c r="G375" s="14"/>
      <c r="H375" s="14"/>
      <c r="I375" s="7"/>
      <c r="J375" s="7"/>
      <c r="K375" s="7"/>
      <c r="L375" s="14"/>
      <c r="M375" s="354"/>
      <c r="N375" s="7"/>
      <c r="O375" s="13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2:25" ht="14.25" customHeight="1" x14ac:dyDescent="0.25">
      <c r="B376" s="14"/>
      <c r="C376" s="14"/>
      <c r="D376" s="25"/>
      <c r="E376" s="25"/>
      <c r="F376" s="14"/>
      <c r="G376" s="14"/>
      <c r="H376" s="14"/>
      <c r="I376" s="7"/>
      <c r="J376" s="7"/>
      <c r="K376" s="7"/>
      <c r="L376" s="14"/>
      <c r="M376" s="354"/>
      <c r="N376" s="7"/>
      <c r="O376" s="13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spans="2:25" ht="14.25" customHeight="1" x14ac:dyDescent="0.25">
      <c r="B377" s="14"/>
      <c r="C377" s="14"/>
      <c r="D377" s="25"/>
      <c r="E377" s="25"/>
      <c r="F377" s="14"/>
      <c r="G377" s="14"/>
      <c r="H377" s="14"/>
      <c r="I377" s="7"/>
      <c r="J377" s="7"/>
      <c r="K377" s="7"/>
      <c r="L377" s="14"/>
      <c r="M377" s="354"/>
      <c r="N377" s="7"/>
      <c r="O377" s="13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spans="2:25" ht="14.25" customHeight="1" x14ac:dyDescent="0.25">
      <c r="B378" s="14"/>
      <c r="C378" s="14"/>
      <c r="D378" s="25"/>
      <c r="E378" s="25"/>
      <c r="F378" s="14"/>
      <c r="G378" s="14"/>
      <c r="H378" s="14"/>
      <c r="I378" s="7"/>
      <c r="J378" s="7"/>
      <c r="K378" s="7"/>
      <c r="L378" s="14"/>
      <c r="M378" s="354"/>
      <c r="N378" s="7"/>
      <c r="O378" s="13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spans="2:25" ht="14.25" customHeight="1" x14ac:dyDescent="0.25">
      <c r="B379" s="14"/>
      <c r="C379" s="14"/>
      <c r="D379" s="25"/>
      <c r="E379" s="25"/>
      <c r="F379" s="14"/>
      <c r="G379" s="14"/>
      <c r="H379" s="14"/>
      <c r="I379" s="7"/>
      <c r="J379" s="7"/>
      <c r="K379" s="7"/>
      <c r="L379" s="14"/>
      <c r="M379" s="354"/>
      <c r="N379" s="7"/>
      <c r="O379" s="13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spans="2:25" ht="14.25" customHeight="1" x14ac:dyDescent="0.25">
      <c r="B380" s="14"/>
      <c r="C380" s="14"/>
      <c r="D380" s="25"/>
      <c r="E380" s="25"/>
      <c r="F380" s="14"/>
      <c r="G380" s="14"/>
      <c r="H380" s="14"/>
      <c r="I380" s="7"/>
      <c r="J380" s="7"/>
      <c r="K380" s="7"/>
      <c r="L380" s="14"/>
      <c r="M380" s="354"/>
      <c r="N380" s="7"/>
      <c r="O380" s="13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spans="2:25" ht="14.25" customHeight="1" x14ac:dyDescent="0.25">
      <c r="B381" s="14"/>
      <c r="C381" s="14"/>
      <c r="D381" s="25"/>
      <c r="E381" s="25"/>
      <c r="F381" s="14"/>
      <c r="G381" s="14"/>
      <c r="H381" s="14"/>
      <c r="I381" s="7"/>
      <c r="J381" s="7"/>
      <c r="K381" s="7"/>
      <c r="L381" s="14"/>
      <c r="M381" s="354"/>
      <c r="N381" s="7"/>
      <c r="O381" s="13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spans="2:25" ht="14.25" customHeight="1" x14ac:dyDescent="0.25">
      <c r="B382" s="14"/>
      <c r="C382" s="14"/>
      <c r="D382" s="25"/>
      <c r="E382" s="25"/>
      <c r="F382" s="14"/>
      <c r="G382" s="14"/>
      <c r="H382" s="14"/>
      <c r="I382" s="7"/>
      <c r="J382" s="7"/>
      <c r="K382" s="7"/>
      <c r="L382" s="14"/>
      <c r="M382" s="354"/>
      <c r="N382" s="7"/>
      <c r="O382" s="13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spans="2:25" ht="14.25" customHeight="1" x14ac:dyDescent="0.25">
      <c r="B383" s="14"/>
      <c r="C383" s="14"/>
      <c r="D383" s="25"/>
      <c r="E383" s="25"/>
      <c r="F383" s="14"/>
      <c r="G383" s="14"/>
      <c r="H383" s="14"/>
      <c r="I383" s="7"/>
      <c r="J383" s="7"/>
      <c r="K383" s="7"/>
      <c r="L383" s="14"/>
      <c r="M383" s="354"/>
      <c r="N383" s="7"/>
      <c r="O383" s="13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spans="2:25" ht="14.25" customHeight="1" x14ac:dyDescent="0.25">
      <c r="B384" s="14"/>
      <c r="C384" s="14"/>
      <c r="D384" s="25"/>
      <c r="E384" s="25"/>
      <c r="F384" s="14"/>
      <c r="G384" s="14"/>
      <c r="H384" s="14"/>
      <c r="I384" s="7"/>
      <c r="J384" s="7"/>
      <c r="K384" s="7"/>
      <c r="L384" s="14"/>
      <c r="M384" s="354"/>
      <c r="N384" s="7"/>
      <c r="O384" s="13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spans="2:25" ht="14.25" customHeight="1" x14ac:dyDescent="0.25">
      <c r="B385" s="14"/>
      <c r="C385" s="14"/>
      <c r="D385" s="25"/>
      <c r="E385" s="25"/>
      <c r="F385" s="14"/>
      <c r="G385" s="14"/>
      <c r="H385" s="14"/>
      <c r="I385" s="7"/>
      <c r="J385" s="7"/>
      <c r="K385" s="7"/>
      <c r="L385" s="14"/>
      <c r="M385" s="354"/>
      <c r="N385" s="7"/>
      <c r="O385" s="13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spans="2:25" ht="14.25" customHeight="1" x14ac:dyDescent="0.25">
      <c r="B386" s="14"/>
      <c r="C386" s="14"/>
      <c r="D386" s="25"/>
      <c r="E386" s="25"/>
      <c r="F386" s="14"/>
      <c r="G386" s="14"/>
      <c r="H386" s="14"/>
      <c r="I386" s="7"/>
      <c r="J386" s="7"/>
      <c r="K386" s="7"/>
      <c r="L386" s="14"/>
      <c r="M386" s="354"/>
      <c r="N386" s="7"/>
      <c r="O386" s="13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spans="2:25" ht="14.25" customHeight="1" x14ac:dyDescent="0.25">
      <c r="B387" s="14"/>
      <c r="C387" s="14"/>
      <c r="D387" s="25"/>
      <c r="E387" s="25"/>
      <c r="F387" s="14"/>
      <c r="G387" s="14"/>
      <c r="H387" s="14"/>
      <c r="I387" s="7"/>
      <c r="J387" s="7"/>
      <c r="K387" s="7"/>
      <c r="L387" s="14"/>
      <c r="M387" s="354"/>
      <c r="N387" s="7"/>
      <c r="O387" s="13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spans="2:25" ht="14.25" customHeight="1" x14ac:dyDescent="0.25">
      <c r="B388" s="14"/>
      <c r="C388" s="14"/>
      <c r="D388" s="25"/>
      <c r="E388" s="25"/>
      <c r="F388" s="14"/>
      <c r="G388" s="14"/>
      <c r="H388" s="14"/>
      <c r="I388" s="7"/>
      <c r="J388" s="7"/>
      <c r="K388" s="7"/>
      <c r="L388" s="14"/>
      <c r="M388" s="354"/>
      <c r="N388" s="7"/>
      <c r="O388" s="13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spans="2:25" ht="14.25" customHeight="1" x14ac:dyDescent="0.25">
      <c r="B389" s="14"/>
      <c r="C389" s="14"/>
      <c r="D389" s="25"/>
      <c r="E389" s="25"/>
      <c r="F389" s="14"/>
      <c r="G389" s="14"/>
      <c r="H389" s="14"/>
      <c r="I389" s="7"/>
      <c r="J389" s="7"/>
      <c r="K389" s="7"/>
      <c r="L389" s="14"/>
      <c r="M389" s="354"/>
      <c r="N389" s="7"/>
      <c r="O389" s="13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spans="2:25" ht="14.25" customHeight="1" x14ac:dyDescent="0.25">
      <c r="B390" s="14"/>
      <c r="C390" s="14"/>
      <c r="D390" s="25"/>
      <c r="E390" s="25"/>
      <c r="F390" s="14"/>
      <c r="G390" s="14"/>
      <c r="H390" s="14"/>
      <c r="I390" s="7"/>
      <c r="J390" s="7"/>
      <c r="K390" s="7"/>
      <c r="L390" s="14"/>
      <c r="M390" s="354"/>
      <c r="N390" s="7"/>
      <c r="O390" s="13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spans="2:25" ht="14.25" customHeight="1" x14ac:dyDescent="0.25">
      <c r="B391" s="14"/>
      <c r="C391" s="14"/>
      <c r="D391" s="25"/>
      <c r="E391" s="25"/>
      <c r="F391" s="14"/>
      <c r="G391" s="14"/>
      <c r="H391" s="14"/>
      <c r="I391" s="7"/>
      <c r="J391" s="7"/>
      <c r="K391" s="7"/>
      <c r="L391" s="14"/>
      <c r="M391" s="354"/>
      <c r="N391" s="7"/>
      <c r="O391" s="13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spans="2:25" ht="14.25" customHeight="1" x14ac:dyDescent="0.25">
      <c r="B392" s="14"/>
      <c r="C392" s="14"/>
      <c r="D392" s="25"/>
      <c r="E392" s="25"/>
      <c r="F392" s="14"/>
      <c r="G392" s="14"/>
      <c r="H392" s="14"/>
      <c r="I392" s="7"/>
      <c r="J392" s="7"/>
      <c r="K392" s="7"/>
      <c r="L392" s="14"/>
      <c r="M392" s="354"/>
      <c r="N392" s="7"/>
      <c r="O392" s="13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spans="2:25" ht="14.25" customHeight="1" x14ac:dyDescent="0.25">
      <c r="B393" s="14"/>
      <c r="C393" s="14"/>
      <c r="D393" s="25"/>
      <c r="E393" s="25"/>
      <c r="F393" s="14"/>
      <c r="G393" s="14"/>
      <c r="H393" s="14"/>
      <c r="I393" s="7"/>
      <c r="J393" s="7"/>
      <c r="K393" s="7"/>
      <c r="L393" s="14"/>
      <c r="M393" s="354"/>
      <c r="N393" s="7"/>
      <c r="O393" s="13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spans="2:25" ht="14.25" customHeight="1" x14ac:dyDescent="0.25">
      <c r="B394" s="14"/>
      <c r="C394" s="14"/>
      <c r="D394" s="25"/>
      <c r="E394" s="25"/>
      <c r="F394" s="14"/>
      <c r="G394" s="14"/>
      <c r="H394" s="14"/>
      <c r="I394" s="7"/>
      <c r="J394" s="7"/>
      <c r="K394" s="7"/>
      <c r="L394" s="14"/>
      <c r="M394" s="354"/>
      <c r="N394" s="7"/>
      <c r="O394" s="13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spans="2:25" ht="14.25" customHeight="1" x14ac:dyDescent="0.25">
      <c r="B395" s="14"/>
      <c r="C395" s="14"/>
      <c r="D395" s="25"/>
      <c r="E395" s="25"/>
      <c r="F395" s="14"/>
      <c r="G395" s="14"/>
      <c r="H395" s="14"/>
      <c r="I395" s="7"/>
      <c r="J395" s="7"/>
      <c r="K395" s="7"/>
      <c r="L395" s="14"/>
      <c r="M395" s="354"/>
      <c r="N395" s="7"/>
      <c r="O395" s="13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spans="2:25" ht="14.25" customHeight="1" x14ac:dyDescent="0.25">
      <c r="B396" s="14"/>
      <c r="C396" s="14"/>
      <c r="D396" s="25"/>
      <c r="E396" s="25"/>
      <c r="F396" s="14"/>
      <c r="G396" s="14"/>
      <c r="H396" s="14"/>
      <c r="I396" s="7"/>
      <c r="J396" s="7"/>
      <c r="K396" s="7"/>
      <c r="L396" s="14"/>
      <c r="M396" s="354"/>
      <c r="N396" s="7"/>
      <c r="O396" s="13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spans="2:25" ht="14.25" customHeight="1" x14ac:dyDescent="0.25">
      <c r="B397" s="14"/>
      <c r="C397" s="14"/>
      <c r="D397" s="25"/>
      <c r="E397" s="25"/>
      <c r="F397" s="14"/>
      <c r="G397" s="14"/>
      <c r="H397" s="14"/>
      <c r="I397" s="7"/>
      <c r="J397" s="7"/>
      <c r="K397" s="7"/>
      <c r="L397" s="14"/>
      <c r="M397" s="354"/>
      <c r="N397" s="7"/>
      <c r="O397" s="13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spans="2:25" ht="14.25" customHeight="1" x14ac:dyDescent="0.25">
      <c r="B398" s="14"/>
      <c r="C398" s="14"/>
      <c r="D398" s="25"/>
      <c r="E398" s="25"/>
      <c r="F398" s="14"/>
      <c r="G398" s="14"/>
      <c r="H398" s="14"/>
      <c r="I398" s="7"/>
      <c r="J398" s="7"/>
      <c r="K398" s="7"/>
      <c r="L398" s="14"/>
      <c r="M398" s="354"/>
      <c r="N398" s="7"/>
      <c r="O398" s="13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spans="2:25" ht="14.25" customHeight="1" x14ac:dyDescent="0.25">
      <c r="B399" s="14"/>
      <c r="C399" s="14"/>
      <c r="D399" s="25"/>
      <c r="E399" s="25"/>
      <c r="F399" s="14"/>
      <c r="G399" s="14"/>
      <c r="H399" s="14"/>
      <c r="I399" s="7"/>
      <c r="J399" s="7"/>
      <c r="K399" s="7"/>
      <c r="L399" s="14"/>
      <c r="M399" s="354"/>
      <c r="N399" s="7"/>
      <c r="O399" s="13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spans="2:25" ht="14.25" customHeight="1" x14ac:dyDescent="0.25">
      <c r="B400" s="14"/>
      <c r="C400" s="14"/>
      <c r="D400" s="25"/>
      <c r="E400" s="25"/>
      <c r="F400" s="14"/>
      <c r="G400" s="14"/>
      <c r="H400" s="14"/>
      <c r="I400" s="7"/>
      <c r="J400" s="7"/>
      <c r="K400" s="7"/>
      <c r="L400" s="14"/>
      <c r="M400" s="354"/>
      <c r="N400" s="7"/>
      <c r="O400" s="13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spans="2:25" ht="14.25" customHeight="1" x14ac:dyDescent="0.25">
      <c r="B401" s="14"/>
      <c r="C401" s="14"/>
      <c r="D401" s="25"/>
      <c r="E401" s="25"/>
      <c r="F401" s="14"/>
      <c r="G401" s="14"/>
      <c r="H401" s="14"/>
      <c r="I401" s="7"/>
      <c r="J401" s="7"/>
      <c r="K401" s="7"/>
      <c r="L401" s="14"/>
      <c r="M401" s="354"/>
      <c r="N401" s="7"/>
      <c r="O401" s="13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spans="2:25" ht="14.25" customHeight="1" x14ac:dyDescent="0.25">
      <c r="B402" s="14"/>
      <c r="C402" s="14"/>
      <c r="D402" s="25"/>
      <c r="E402" s="25"/>
      <c r="F402" s="14"/>
      <c r="G402" s="14"/>
      <c r="H402" s="14"/>
      <c r="I402" s="7"/>
      <c r="J402" s="7"/>
      <c r="K402" s="7"/>
      <c r="L402" s="14"/>
      <c r="M402" s="354"/>
      <c r="N402" s="7"/>
      <c r="O402" s="13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spans="2:25" ht="14.25" customHeight="1" x14ac:dyDescent="0.25">
      <c r="B403" s="14"/>
      <c r="C403" s="14"/>
      <c r="D403" s="25"/>
      <c r="E403" s="25"/>
      <c r="F403" s="14"/>
      <c r="G403" s="14"/>
      <c r="H403" s="14"/>
      <c r="I403" s="7"/>
      <c r="J403" s="7"/>
      <c r="K403" s="7"/>
      <c r="L403" s="14"/>
      <c r="M403" s="354"/>
      <c r="N403" s="7"/>
      <c r="O403" s="13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spans="2:25" ht="14.25" customHeight="1" x14ac:dyDescent="0.25">
      <c r="B404" s="14"/>
      <c r="C404" s="14"/>
      <c r="D404" s="25"/>
      <c r="E404" s="25"/>
      <c r="F404" s="14"/>
      <c r="G404" s="14"/>
      <c r="H404" s="14"/>
      <c r="I404" s="7"/>
      <c r="J404" s="7"/>
      <c r="K404" s="7"/>
      <c r="L404" s="14"/>
      <c r="M404" s="354"/>
      <c r="N404" s="7"/>
      <c r="O404" s="13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spans="2:25" ht="14.25" customHeight="1" x14ac:dyDescent="0.25">
      <c r="B405" s="14"/>
      <c r="C405" s="14"/>
      <c r="D405" s="25"/>
      <c r="E405" s="25"/>
      <c r="F405" s="14"/>
      <c r="G405" s="14"/>
      <c r="H405" s="14"/>
      <c r="I405" s="7"/>
      <c r="J405" s="7"/>
      <c r="K405" s="7"/>
      <c r="L405" s="14"/>
      <c r="M405" s="354"/>
      <c r="N405" s="7"/>
      <c r="O405" s="13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spans="2:25" ht="14.25" customHeight="1" x14ac:dyDescent="0.25">
      <c r="B406" s="14"/>
      <c r="C406" s="14"/>
      <c r="D406" s="25"/>
      <c r="E406" s="25"/>
      <c r="F406" s="14"/>
      <c r="G406" s="14"/>
      <c r="H406" s="14"/>
      <c r="I406" s="7"/>
      <c r="J406" s="7"/>
      <c r="K406" s="7"/>
      <c r="L406" s="14"/>
      <c r="M406" s="354"/>
      <c r="N406" s="7"/>
      <c r="O406" s="13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spans="2:25" ht="14.25" customHeight="1" x14ac:dyDescent="0.25">
      <c r="B407" s="14"/>
      <c r="C407" s="14"/>
      <c r="D407" s="25"/>
      <c r="E407" s="25"/>
      <c r="F407" s="14"/>
      <c r="G407" s="14"/>
      <c r="H407" s="14"/>
      <c r="I407" s="7"/>
      <c r="J407" s="7"/>
      <c r="K407" s="7"/>
      <c r="L407" s="14"/>
      <c r="M407" s="354"/>
      <c r="N407" s="7"/>
      <c r="O407" s="13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spans="2:25" ht="14.25" customHeight="1" x14ac:dyDescent="0.25">
      <c r="B408" s="14"/>
      <c r="C408" s="14"/>
      <c r="D408" s="25"/>
      <c r="E408" s="25"/>
      <c r="F408" s="14"/>
      <c r="G408" s="14"/>
      <c r="H408" s="14"/>
      <c r="I408" s="7"/>
      <c r="J408" s="7"/>
      <c r="K408" s="7"/>
      <c r="L408" s="14"/>
      <c r="M408" s="354"/>
      <c r="N408" s="7"/>
      <c r="O408" s="13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spans="2:25" ht="14.25" customHeight="1" x14ac:dyDescent="0.25">
      <c r="B409" s="14"/>
      <c r="C409" s="14"/>
      <c r="D409" s="25"/>
      <c r="E409" s="25"/>
      <c r="F409" s="14"/>
      <c r="G409" s="14"/>
      <c r="H409" s="14"/>
      <c r="I409" s="7"/>
      <c r="J409" s="7"/>
      <c r="K409" s="7"/>
      <c r="L409" s="14"/>
      <c r="M409" s="354"/>
      <c r="N409" s="7"/>
      <c r="O409" s="13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spans="2:25" ht="14.25" customHeight="1" x14ac:dyDescent="0.25">
      <c r="B410" s="14"/>
      <c r="C410" s="14"/>
      <c r="D410" s="25"/>
      <c r="E410" s="25"/>
      <c r="F410" s="14"/>
      <c r="G410" s="14"/>
      <c r="H410" s="14"/>
      <c r="I410" s="7"/>
      <c r="J410" s="7"/>
      <c r="K410" s="7"/>
      <c r="L410" s="14"/>
      <c r="M410" s="354"/>
      <c r="N410" s="7"/>
      <c r="O410" s="13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spans="2:25" ht="14.25" customHeight="1" x14ac:dyDescent="0.25">
      <c r="B411" s="14"/>
      <c r="C411" s="14"/>
      <c r="D411" s="25"/>
      <c r="E411" s="25"/>
      <c r="F411" s="14"/>
      <c r="G411" s="14"/>
      <c r="H411" s="14"/>
      <c r="I411" s="7"/>
      <c r="J411" s="7"/>
      <c r="K411" s="7"/>
      <c r="L411" s="14"/>
      <c r="M411" s="354"/>
      <c r="N411" s="7"/>
      <c r="O411" s="13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spans="2:25" ht="14.25" customHeight="1" x14ac:dyDescent="0.25">
      <c r="B412" s="14"/>
      <c r="C412" s="14"/>
      <c r="D412" s="25"/>
      <c r="E412" s="25"/>
      <c r="F412" s="14"/>
      <c r="G412" s="14"/>
      <c r="H412" s="14"/>
      <c r="I412" s="7"/>
      <c r="J412" s="7"/>
      <c r="K412" s="7"/>
      <c r="L412" s="14"/>
      <c r="M412" s="354"/>
      <c r="N412" s="7"/>
      <c r="O412" s="13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spans="2:25" ht="14.25" customHeight="1" x14ac:dyDescent="0.25">
      <c r="B413" s="14"/>
      <c r="C413" s="14"/>
      <c r="D413" s="25"/>
      <c r="E413" s="25"/>
      <c r="F413" s="14"/>
      <c r="G413" s="14"/>
      <c r="H413" s="14"/>
      <c r="I413" s="7"/>
      <c r="J413" s="7"/>
      <c r="K413" s="7"/>
      <c r="L413" s="14"/>
      <c r="M413" s="354"/>
      <c r="N413" s="7"/>
      <c r="O413" s="13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spans="2:25" ht="14.25" customHeight="1" x14ac:dyDescent="0.25">
      <c r="B414" s="14"/>
      <c r="C414" s="14"/>
      <c r="D414" s="25"/>
      <c r="E414" s="25"/>
      <c r="F414" s="14"/>
      <c r="G414" s="14"/>
      <c r="H414" s="14"/>
      <c r="I414" s="7"/>
      <c r="J414" s="7"/>
      <c r="K414" s="7"/>
      <c r="L414" s="14"/>
      <c r="M414" s="354"/>
      <c r="N414" s="7"/>
      <c r="O414" s="13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spans="2:25" ht="14.25" customHeight="1" x14ac:dyDescent="0.25">
      <c r="B415" s="14"/>
      <c r="C415" s="14"/>
      <c r="D415" s="25"/>
      <c r="E415" s="25"/>
      <c r="F415" s="14"/>
      <c r="G415" s="14"/>
      <c r="H415" s="14"/>
      <c r="I415" s="7"/>
      <c r="J415" s="7"/>
      <c r="K415" s="7"/>
      <c r="L415" s="14"/>
      <c r="M415" s="354"/>
      <c r="N415" s="7"/>
      <c r="O415" s="13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spans="2:25" ht="14.25" customHeight="1" x14ac:dyDescent="0.25">
      <c r="B416" s="14"/>
      <c r="C416" s="14"/>
      <c r="D416" s="25"/>
      <c r="E416" s="25"/>
      <c r="F416" s="14"/>
      <c r="G416" s="14"/>
      <c r="H416" s="14"/>
      <c r="I416" s="7"/>
      <c r="J416" s="7"/>
      <c r="K416" s="7"/>
      <c r="L416" s="14"/>
      <c r="M416" s="354"/>
      <c r="N416" s="7"/>
      <c r="O416" s="13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spans="2:25" ht="14.25" customHeight="1" x14ac:dyDescent="0.25">
      <c r="B417" s="14"/>
      <c r="C417" s="14"/>
      <c r="D417" s="25"/>
      <c r="E417" s="25"/>
      <c r="F417" s="14"/>
      <c r="G417" s="14"/>
      <c r="H417" s="14"/>
      <c r="I417" s="7"/>
      <c r="J417" s="7"/>
      <c r="K417" s="7"/>
      <c r="L417" s="14"/>
      <c r="M417" s="354"/>
      <c r="N417" s="7"/>
      <c r="O417" s="13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spans="2:25" ht="14.25" customHeight="1" x14ac:dyDescent="0.25">
      <c r="B418" s="14"/>
      <c r="C418" s="14"/>
      <c r="D418" s="25"/>
      <c r="E418" s="25"/>
      <c r="F418" s="14"/>
      <c r="G418" s="14"/>
      <c r="H418" s="14"/>
      <c r="I418" s="7"/>
      <c r="J418" s="7"/>
      <c r="K418" s="7"/>
      <c r="L418" s="14"/>
      <c r="M418" s="354"/>
      <c r="N418" s="7"/>
      <c r="O418" s="13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spans="2:25" ht="14.25" customHeight="1" x14ac:dyDescent="0.25">
      <c r="B419" s="14"/>
      <c r="C419" s="14"/>
      <c r="D419" s="25"/>
      <c r="E419" s="25"/>
      <c r="F419" s="14"/>
      <c r="G419" s="14"/>
      <c r="H419" s="14"/>
      <c r="I419" s="7"/>
      <c r="J419" s="7"/>
      <c r="K419" s="7"/>
      <c r="L419" s="14"/>
      <c r="M419" s="354"/>
      <c r="N419" s="7"/>
      <c r="O419" s="13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spans="2:25" ht="14.25" customHeight="1" x14ac:dyDescent="0.25">
      <c r="B420" s="14"/>
      <c r="C420" s="14"/>
      <c r="D420" s="25"/>
      <c r="E420" s="25"/>
      <c r="F420" s="14"/>
      <c r="G420" s="14"/>
      <c r="H420" s="14"/>
      <c r="I420" s="7"/>
      <c r="J420" s="7"/>
      <c r="K420" s="7"/>
      <c r="L420" s="14"/>
      <c r="M420" s="354"/>
      <c r="N420" s="7"/>
      <c r="O420" s="13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spans="2:25" ht="14.25" customHeight="1" x14ac:dyDescent="0.25">
      <c r="B421" s="14"/>
      <c r="C421" s="14"/>
      <c r="D421" s="25"/>
      <c r="E421" s="25"/>
      <c r="F421" s="14"/>
      <c r="G421" s="14"/>
      <c r="H421" s="14"/>
      <c r="I421" s="7"/>
      <c r="J421" s="7"/>
      <c r="K421" s="7"/>
      <c r="L421" s="14"/>
      <c r="M421" s="354"/>
      <c r="N421" s="7"/>
      <c r="O421" s="13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spans="2:25" ht="14.25" customHeight="1" x14ac:dyDescent="0.25">
      <c r="B422" s="14"/>
      <c r="C422" s="14"/>
      <c r="D422" s="25"/>
      <c r="E422" s="25"/>
      <c r="F422" s="14"/>
      <c r="G422" s="14"/>
      <c r="H422" s="14"/>
      <c r="I422" s="7"/>
      <c r="J422" s="7"/>
      <c r="K422" s="7"/>
      <c r="L422" s="14"/>
      <c r="M422" s="354"/>
      <c r="N422" s="7"/>
      <c r="O422" s="13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spans="2:25" ht="14.25" customHeight="1" x14ac:dyDescent="0.25">
      <c r="B423" s="14"/>
      <c r="C423" s="14"/>
      <c r="D423" s="25"/>
      <c r="E423" s="25"/>
      <c r="F423" s="14"/>
      <c r="G423" s="14"/>
      <c r="H423" s="14"/>
      <c r="I423" s="7"/>
      <c r="J423" s="7"/>
      <c r="K423" s="7"/>
      <c r="L423" s="14"/>
      <c r="M423" s="354"/>
      <c r="N423" s="7"/>
      <c r="O423" s="13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spans="2:25" ht="14.25" customHeight="1" x14ac:dyDescent="0.25">
      <c r="B424" s="14"/>
      <c r="C424" s="14"/>
      <c r="D424" s="25"/>
      <c r="E424" s="25"/>
      <c r="F424" s="14"/>
      <c r="G424" s="14"/>
      <c r="H424" s="14"/>
      <c r="I424" s="7"/>
      <c r="J424" s="7"/>
      <c r="K424" s="7"/>
      <c r="L424" s="14"/>
      <c r="M424" s="354"/>
      <c r="N424" s="7"/>
      <c r="O424" s="13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spans="2:25" ht="14.25" customHeight="1" x14ac:dyDescent="0.25">
      <c r="B425" s="14"/>
      <c r="C425" s="14"/>
      <c r="D425" s="25"/>
      <c r="E425" s="25"/>
      <c r="F425" s="14"/>
      <c r="G425" s="14"/>
      <c r="H425" s="14"/>
      <c r="I425" s="7"/>
      <c r="J425" s="7"/>
      <c r="K425" s="7"/>
      <c r="L425" s="14"/>
      <c r="M425" s="354"/>
      <c r="N425" s="7"/>
      <c r="O425" s="13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spans="2:25" ht="14.25" customHeight="1" x14ac:dyDescent="0.25">
      <c r="B426" s="14"/>
      <c r="C426" s="14"/>
      <c r="D426" s="25"/>
      <c r="E426" s="25"/>
      <c r="F426" s="14"/>
      <c r="G426" s="14"/>
      <c r="H426" s="14"/>
      <c r="I426" s="7"/>
      <c r="J426" s="7"/>
      <c r="K426" s="7"/>
      <c r="L426" s="14"/>
      <c r="M426" s="354"/>
      <c r="N426" s="7"/>
      <c r="O426" s="13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spans="2:25" ht="14.25" customHeight="1" x14ac:dyDescent="0.25">
      <c r="B427" s="14"/>
      <c r="C427" s="14"/>
      <c r="D427" s="25"/>
      <c r="E427" s="25"/>
      <c r="F427" s="14"/>
      <c r="G427" s="14"/>
      <c r="H427" s="14"/>
      <c r="I427" s="7"/>
      <c r="J427" s="7"/>
      <c r="K427" s="7"/>
      <c r="L427" s="14"/>
      <c r="M427" s="354"/>
      <c r="N427" s="7"/>
      <c r="O427" s="13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spans="2:25" ht="14.25" customHeight="1" x14ac:dyDescent="0.25">
      <c r="B428" s="14"/>
      <c r="C428" s="14"/>
      <c r="D428" s="25"/>
      <c r="E428" s="25"/>
      <c r="F428" s="14"/>
      <c r="G428" s="14"/>
      <c r="H428" s="14"/>
      <c r="I428" s="7"/>
      <c r="J428" s="7"/>
      <c r="K428" s="7"/>
      <c r="L428" s="14"/>
      <c r="M428" s="354"/>
      <c r="N428" s="7"/>
      <c r="O428" s="13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spans="2:25" ht="14.25" customHeight="1" x14ac:dyDescent="0.25">
      <c r="B429" s="14"/>
      <c r="C429" s="14"/>
      <c r="D429" s="25"/>
      <c r="E429" s="25"/>
      <c r="F429" s="14"/>
      <c r="G429" s="14"/>
      <c r="H429" s="14"/>
      <c r="I429" s="7"/>
      <c r="J429" s="7"/>
      <c r="K429" s="7"/>
      <c r="L429" s="14"/>
      <c r="M429" s="354"/>
      <c r="N429" s="7"/>
      <c r="O429" s="13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spans="2:25" ht="14.25" customHeight="1" x14ac:dyDescent="0.25">
      <c r="B430" s="14"/>
      <c r="C430" s="14"/>
      <c r="D430" s="25"/>
      <c r="E430" s="25"/>
      <c r="F430" s="14"/>
      <c r="G430" s="14"/>
      <c r="H430" s="14"/>
      <c r="I430" s="7"/>
      <c r="J430" s="7"/>
      <c r="K430" s="7"/>
      <c r="L430" s="14"/>
      <c r="M430" s="354"/>
      <c r="N430" s="7"/>
      <c r="O430" s="13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spans="2:25" ht="14.25" customHeight="1" x14ac:dyDescent="0.25">
      <c r="B431" s="14"/>
      <c r="C431" s="14"/>
      <c r="D431" s="25"/>
      <c r="E431" s="25"/>
      <c r="F431" s="14"/>
      <c r="G431" s="14"/>
      <c r="H431" s="14"/>
      <c r="I431" s="7"/>
      <c r="J431" s="7"/>
      <c r="K431" s="7"/>
      <c r="L431" s="14"/>
      <c r="M431" s="354"/>
      <c r="N431" s="7"/>
      <c r="O431" s="13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spans="2:25" ht="14.25" customHeight="1" x14ac:dyDescent="0.25">
      <c r="B432" s="14"/>
      <c r="C432" s="14"/>
      <c r="D432" s="25"/>
      <c r="E432" s="25"/>
      <c r="F432" s="14"/>
      <c r="G432" s="14"/>
      <c r="H432" s="14"/>
      <c r="I432" s="7"/>
      <c r="J432" s="7"/>
      <c r="K432" s="7"/>
      <c r="L432" s="14"/>
      <c r="M432" s="354"/>
      <c r="N432" s="7"/>
      <c r="O432" s="13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spans="2:25" ht="14.25" customHeight="1" x14ac:dyDescent="0.25">
      <c r="B433" s="14"/>
      <c r="C433" s="14"/>
      <c r="D433" s="25"/>
      <c r="E433" s="25"/>
      <c r="F433" s="14"/>
      <c r="G433" s="14"/>
      <c r="H433" s="14"/>
      <c r="I433" s="7"/>
      <c r="J433" s="7"/>
      <c r="K433" s="7"/>
      <c r="L433" s="14"/>
      <c r="M433" s="354"/>
      <c r="N433" s="7"/>
      <c r="O433" s="13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spans="2:25" ht="14.25" customHeight="1" x14ac:dyDescent="0.25">
      <c r="B434" s="14"/>
      <c r="C434" s="14"/>
      <c r="D434" s="25"/>
      <c r="E434" s="25"/>
      <c r="F434" s="14"/>
      <c r="G434" s="14"/>
      <c r="H434" s="14"/>
      <c r="I434" s="7"/>
      <c r="J434" s="7"/>
      <c r="K434" s="7"/>
      <c r="L434" s="14"/>
      <c r="M434" s="354"/>
      <c r="N434" s="7"/>
      <c r="O434" s="13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spans="2:25" ht="14.25" customHeight="1" x14ac:dyDescent="0.25">
      <c r="B435" s="14"/>
      <c r="C435" s="14"/>
      <c r="D435" s="25"/>
      <c r="E435" s="25"/>
      <c r="F435" s="14"/>
      <c r="G435" s="14"/>
      <c r="H435" s="14"/>
      <c r="I435" s="7"/>
      <c r="J435" s="7"/>
      <c r="K435" s="7"/>
      <c r="L435" s="14"/>
      <c r="M435" s="354"/>
      <c r="N435" s="7"/>
      <c r="O435" s="13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spans="2:25" ht="14.25" customHeight="1" x14ac:dyDescent="0.25">
      <c r="B436" s="14"/>
      <c r="C436" s="14"/>
      <c r="D436" s="25"/>
      <c r="E436" s="25"/>
      <c r="F436" s="14"/>
      <c r="G436" s="14"/>
      <c r="H436" s="14"/>
      <c r="I436" s="7"/>
      <c r="J436" s="7"/>
      <c r="K436" s="7"/>
      <c r="L436" s="14"/>
      <c r="M436" s="354"/>
      <c r="N436" s="7"/>
      <c r="O436" s="13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spans="2:25" ht="14.25" customHeight="1" x14ac:dyDescent="0.25">
      <c r="B437" s="14"/>
      <c r="C437" s="14"/>
      <c r="D437" s="25"/>
      <c r="E437" s="25"/>
      <c r="F437" s="14"/>
      <c r="G437" s="14"/>
      <c r="H437" s="14"/>
      <c r="I437" s="7"/>
      <c r="J437" s="7"/>
      <c r="K437" s="7"/>
      <c r="L437" s="14"/>
      <c r="M437" s="354"/>
      <c r="N437" s="7"/>
      <c r="O437" s="13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spans="2:25" ht="14.25" customHeight="1" x14ac:dyDescent="0.25">
      <c r="B438" s="14"/>
      <c r="C438" s="14"/>
      <c r="D438" s="25"/>
      <c r="E438" s="25"/>
      <c r="F438" s="14"/>
      <c r="G438" s="14"/>
      <c r="H438" s="14"/>
      <c r="I438" s="7"/>
      <c r="J438" s="7"/>
      <c r="K438" s="7"/>
      <c r="L438" s="14"/>
      <c r="M438" s="354"/>
      <c r="N438" s="7"/>
      <c r="O438" s="13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spans="2:25" ht="14.25" customHeight="1" x14ac:dyDescent="0.25">
      <c r="B439" s="14"/>
      <c r="C439" s="14"/>
      <c r="D439" s="25"/>
      <c r="E439" s="25"/>
      <c r="F439" s="14"/>
      <c r="G439" s="14"/>
      <c r="H439" s="14"/>
      <c r="I439" s="7"/>
      <c r="J439" s="7"/>
      <c r="K439" s="7"/>
      <c r="L439" s="14"/>
      <c r="M439" s="354"/>
      <c r="N439" s="7"/>
      <c r="O439" s="13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spans="2:25" ht="14.25" customHeight="1" x14ac:dyDescent="0.25">
      <c r="B440" s="14"/>
      <c r="C440" s="14"/>
      <c r="D440" s="25"/>
      <c r="E440" s="25"/>
      <c r="F440" s="14"/>
      <c r="G440" s="14"/>
      <c r="H440" s="14"/>
      <c r="I440" s="7"/>
      <c r="J440" s="7"/>
      <c r="K440" s="7"/>
      <c r="L440" s="14"/>
      <c r="M440" s="354"/>
      <c r="N440" s="7"/>
      <c r="O440" s="13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spans="2:25" ht="14.25" customHeight="1" x14ac:dyDescent="0.25">
      <c r="B441" s="14"/>
      <c r="C441" s="14"/>
      <c r="D441" s="25"/>
      <c r="E441" s="25"/>
      <c r="F441" s="14"/>
      <c r="G441" s="14"/>
      <c r="H441" s="14"/>
      <c r="I441" s="7"/>
      <c r="J441" s="7"/>
      <c r="K441" s="7"/>
      <c r="L441" s="14"/>
      <c r="M441" s="354"/>
      <c r="N441" s="7"/>
      <c r="O441" s="13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spans="2:25" ht="14.25" customHeight="1" x14ac:dyDescent="0.25">
      <c r="B442" s="14"/>
      <c r="C442" s="14"/>
      <c r="D442" s="25"/>
      <c r="E442" s="25"/>
      <c r="F442" s="14"/>
      <c r="G442" s="14"/>
      <c r="H442" s="14"/>
      <c r="I442" s="7"/>
      <c r="J442" s="7"/>
      <c r="K442" s="7"/>
      <c r="L442" s="14"/>
      <c r="M442" s="354"/>
      <c r="N442" s="7"/>
      <c r="O442" s="13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spans="2:25" ht="14.25" customHeight="1" x14ac:dyDescent="0.25">
      <c r="B443" s="14"/>
      <c r="C443" s="14"/>
      <c r="D443" s="25"/>
      <c r="E443" s="25"/>
      <c r="F443" s="14"/>
      <c r="G443" s="14"/>
      <c r="H443" s="14"/>
      <c r="I443" s="7"/>
      <c r="J443" s="7"/>
      <c r="K443" s="7"/>
      <c r="L443" s="14"/>
      <c r="M443" s="354"/>
      <c r="N443" s="7"/>
      <c r="O443" s="13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spans="2:25" ht="14.25" customHeight="1" x14ac:dyDescent="0.25">
      <c r="B444" s="14"/>
      <c r="C444" s="14"/>
      <c r="D444" s="25"/>
      <c r="E444" s="25"/>
      <c r="F444" s="14"/>
      <c r="G444" s="14"/>
      <c r="H444" s="14"/>
      <c r="I444" s="7"/>
      <c r="J444" s="7"/>
      <c r="K444" s="7"/>
      <c r="L444" s="14"/>
      <c r="M444" s="354"/>
      <c r="N444" s="7"/>
      <c r="O444" s="13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spans="2:25" ht="14.25" customHeight="1" x14ac:dyDescent="0.25">
      <c r="B445" s="14"/>
      <c r="C445" s="14"/>
      <c r="D445" s="25"/>
      <c r="E445" s="25"/>
      <c r="F445" s="14"/>
      <c r="G445" s="14"/>
      <c r="H445" s="14"/>
      <c r="I445" s="7"/>
      <c r="J445" s="7"/>
      <c r="K445" s="7"/>
      <c r="L445" s="14"/>
      <c r="M445" s="354"/>
      <c r="N445" s="7"/>
      <c r="O445" s="13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spans="2:25" ht="14.25" customHeight="1" x14ac:dyDescent="0.25">
      <c r="B446" s="14"/>
      <c r="C446" s="14"/>
      <c r="D446" s="25"/>
      <c r="E446" s="25"/>
      <c r="F446" s="14"/>
      <c r="G446" s="14"/>
      <c r="H446" s="14"/>
      <c r="I446" s="7"/>
      <c r="J446" s="7"/>
      <c r="K446" s="7"/>
      <c r="L446" s="14"/>
      <c r="M446" s="354"/>
      <c r="N446" s="7"/>
      <c r="O446" s="13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spans="2:25" ht="14.25" customHeight="1" x14ac:dyDescent="0.25">
      <c r="B447" s="14"/>
      <c r="C447" s="14"/>
      <c r="D447" s="25"/>
      <c r="E447" s="25"/>
      <c r="F447" s="14"/>
      <c r="G447" s="14"/>
      <c r="H447" s="14"/>
      <c r="I447" s="7"/>
      <c r="J447" s="7"/>
      <c r="K447" s="7"/>
      <c r="L447" s="14"/>
      <c r="M447" s="354"/>
      <c r="N447" s="7"/>
      <c r="O447" s="13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spans="2:25" ht="14.25" customHeight="1" x14ac:dyDescent="0.25">
      <c r="B448" s="14"/>
      <c r="C448" s="14"/>
      <c r="D448" s="25"/>
      <c r="E448" s="25"/>
      <c r="F448" s="14"/>
      <c r="G448" s="14"/>
      <c r="H448" s="14"/>
      <c r="I448" s="7"/>
      <c r="J448" s="7"/>
      <c r="K448" s="7"/>
      <c r="L448" s="14"/>
      <c r="M448" s="354"/>
      <c r="N448" s="7"/>
      <c r="O448" s="13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spans="2:25" ht="14.25" customHeight="1" x14ac:dyDescent="0.25">
      <c r="B449" s="14"/>
      <c r="C449" s="14"/>
      <c r="D449" s="25"/>
      <c r="E449" s="25"/>
      <c r="F449" s="14"/>
      <c r="G449" s="14"/>
      <c r="H449" s="14"/>
      <c r="I449" s="7"/>
      <c r="J449" s="7"/>
      <c r="K449" s="7"/>
      <c r="L449" s="14"/>
      <c r="M449" s="354"/>
      <c r="N449" s="7"/>
      <c r="O449" s="13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spans="2:25" ht="14.25" customHeight="1" x14ac:dyDescent="0.25">
      <c r="B450" s="14"/>
      <c r="C450" s="14"/>
      <c r="D450" s="25"/>
      <c r="E450" s="25"/>
      <c r="F450" s="14"/>
      <c r="G450" s="14"/>
      <c r="H450" s="14"/>
      <c r="I450" s="7"/>
      <c r="J450" s="7"/>
      <c r="K450" s="7"/>
      <c r="L450" s="14"/>
      <c r="M450" s="354"/>
      <c r="N450" s="7"/>
      <c r="O450" s="13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spans="2:25" ht="14.25" customHeight="1" x14ac:dyDescent="0.25">
      <c r="B451" s="14"/>
      <c r="C451" s="14"/>
      <c r="D451" s="25"/>
      <c r="E451" s="25"/>
      <c r="F451" s="14"/>
      <c r="G451" s="14"/>
      <c r="H451" s="14"/>
      <c r="I451" s="7"/>
      <c r="J451" s="7"/>
      <c r="K451" s="7"/>
      <c r="L451" s="14"/>
      <c r="M451" s="354"/>
      <c r="N451" s="7"/>
      <c r="O451" s="13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spans="2:25" ht="14.25" customHeight="1" x14ac:dyDescent="0.25">
      <c r="B452" s="14"/>
      <c r="C452" s="14"/>
      <c r="D452" s="25"/>
      <c r="E452" s="25"/>
      <c r="F452" s="14"/>
      <c r="G452" s="14"/>
      <c r="H452" s="14"/>
      <c r="I452" s="7"/>
      <c r="J452" s="7"/>
      <c r="K452" s="7"/>
      <c r="L452" s="14"/>
      <c r="M452" s="354"/>
      <c r="N452" s="7"/>
      <c r="O452" s="13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spans="2:25" ht="14.25" customHeight="1" x14ac:dyDescent="0.25">
      <c r="B453" s="14"/>
      <c r="C453" s="14"/>
      <c r="D453" s="25"/>
      <c r="E453" s="25"/>
      <c r="F453" s="14"/>
      <c r="G453" s="14"/>
      <c r="H453" s="14"/>
      <c r="I453" s="7"/>
      <c r="J453" s="7"/>
      <c r="K453" s="7"/>
      <c r="L453" s="14"/>
      <c r="M453" s="354"/>
      <c r="N453" s="7"/>
      <c r="O453" s="13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spans="2:25" ht="14.25" customHeight="1" x14ac:dyDescent="0.25">
      <c r="B454" s="14"/>
      <c r="C454" s="14"/>
      <c r="D454" s="25"/>
      <c r="E454" s="25"/>
      <c r="F454" s="14"/>
      <c r="G454" s="14"/>
      <c r="H454" s="14"/>
      <c r="I454" s="7"/>
      <c r="J454" s="7"/>
      <c r="K454" s="7"/>
      <c r="L454" s="14"/>
      <c r="M454" s="354"/>
      <c r="N454" s="7"/>
      <c r="O454" s="13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spans="2:25" ht="14.25" customHeight="1" x14ac:dyDescent="0.25">
      <c r="B455" s="14"/>
      <c r="C455" s="14"/>
      <c r="D455" s="25"/>
      <c r="E455" s="25"/>
      <c r="F455" s="14"/>
      <c r="G455" s="14"/>
      <c r="H455" s="14"/>
      <c r="I455" s="7"/>
      <c r="J455" s="7"/>
      <c r="K455" s="7"/>
      <c r="L455" s="14"/>
      <c r="M455" s="354"/>
      <c r="N455" s="7"/>
      <c r="O455" s="13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spans="2:25" ht="14.25" customHeight="1" x14ac:dyDescent="0.25">
      <c r="B456" s="14"/>
      <c r="C456" s="14"/>
      <c r="D456" s="25"/>
      <c r="E456" s="25"/>
      <c r="F456" s="14"/>
      <c r="G456" s="14"/>
      <c r="H456" s="14"/>
      <c r="I456" s="7"/>
      <c r="J456" s="7"/>
      <c r="K456" s="7"/>
      <c r="L456" s="14"/>
      <c r="M456" s="354"/>
      <c r="N456" s="7"/>
      <c r="O456" s="13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spans="2:25" ht="14.25" customHeight="1" x14ac:dyDescent="0.25">
      <c r="B457" s="14"/>
      <c r="C457" s="14"/>
      <c r="D457" s="25"/>
      <c r="E457" s="25"/>
      <c r="F457" s="14"/>
      <c r="G457" s="14"/>
      <c r="H457" s="14"/>
      <c r="I457" s="7"/>
      <c r="J457" s="7"/>
      <c r="K457" s="7"/>
      <c r="L457" s="14"/>
      <c r="M457" s="354"/>
      <c r="N457" s="7"/>
      <c r="O457" s="13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spans="2:25" ht="14.25" customHeight="1" x14ac:dyDescent="0.25">
      <c r="B458" s="14"/>
      <c r="C458" s="14"/>
      <c r="D458" s="25"/>
      <c r="E458" s="25"/>
      <c r="F458" s="14"/>
      <c r="G458" s="14"/>
      <c r="H458" s="14"/>
      <c r="I458" s="7"/>
      <c r="J458" s="7"/>
      <c r="K458" s="7"/>
      <c r="L458" s="14"/>
      <c r="M458" s="354"/>
      <c r="N458" s="7"/>
      <c r="O458" s="13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spans="2:25" ht="14.25" customHeight="1" x14ac:dyDescent="0.25">
      <c r="B459" s="14"/>
      <c r="C459" s="14"/>
      <c r="D459" s="25"/>
      <c r="E459" s="25"/>
      <c r="F459" s="14"/>
      <c r="G459" s="14"/>
      <c r="H459" s="14"/>
      <c r="I459" s="7"/>
      <c r="J459" s="7"/>
      <c r="K459" s="7"/>
      <c r="L459" s="14"/>
      <c r="M459" s="354"/>
      <c r="N459" s="7"/>
      <c r="O459" s="13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spans="2:25" ht="14.25" customHeight="1" x14ac:dyDescent="0.25">
      <c r="B460" s="14"/>
      <c r="C460" s="14"/>
      <c r="D460" s="25"/>
      <c r="E460" s="25"/>
      <c r="F460" s="14"/>
      <c r="G460" s="14"/>
      <c r="H460" s="14"/>
      <c r="I460" s="7"/>
      <c r="J460" s="7"/>
      <c r="K460" s="7"/>
      <c r="L460" s="14"/>
      <c r="M460" s="354"/>
      <c r="N460" s="7"/>
      <c r="O460" s="13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spans="2:25" ht="14.25" customHeight="1" x14ac:dyDescent="0.25">
      <c r="B461" s="14"/>
      <c r="C461" s="14"/>
      <c r="D461" s="25"/>
      <c r="E461" s="25"/>
      <c r="F461" s="14"/>
      <c r="G461" s="14"/>
      <c r="H461" s="14"/>
      <c r="I461" s="7"/>
      <c r="J461" s="7"/>
      <c r="K461" s="7"/>
      <c r="L461" s="14"/>
      <c r="M461" s="354"/>
      <c r="N461" s="7"/>
      <c r="O461" s="13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spans="2:25" ht="14.25" customHeight="1" x14ac:dyDescent="0.25">
      <c r="B462" s="14"/>
      <c r="C462" s="14"/>
      <c r="D462" s="25"/>
      <c r="E462" s="25"/>
      <c r="F462" s="14"/>
      <c r="G462" s="14"/>
      <c r="H462" s="14"/>
      <c r="I462" s="7"/>
      <c r="J462" s="7"/>
      <c r="K462" s="7"/>
      <c r="L462" s="14"/>
      <c r="M462" s="354"/>
      <c r="N462" s="7"/>
      <c r="O462" s="13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spans="2:25" ht="14.25" customHeight="1" x14ac:dyDescent="0.25">
      <c r="B463" s="14"/>
      <c r="C463" s="14"/>
      <c r="D463" s="25"/>
      <c r="E463" s="25"/>
      <c r="F463" s="14"/>
      <c r="G463" s="14"/>
      <c r="H463" s="14"/>
      <c r="I463" s="7"/>
      <c r="J463" s="7"/>
      <c r="K463" s="7"/>
      <c r="L463" s="14"/>
      <c r="M463" s="354"/>
      <c r="N463" s="7"/>
      <c r="O463" s="13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spans="2:25" ht="14.25" customHeight="1" x14ac:dyDescent="0.25">
      <c r="B464" s="14"/>
      <c r="C464" s="14"/>
      <c r="D464" s="25"/>
      <c r="E464" s="25"/>
      <c r="F464" s="14"/>
      <c r="G464" s="14"/>
      <c r="H464" s="14"/>
      <c r="I464" s="7"/>
      <c r="J464" s="7"/>
      <c r="K464" s="7"/>
      <c r="L464" s="14"/>
      <c r="M464" s="354"/>
      <c r="N464" s="7"/>
      <c r="O464" s="13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spans="2:25" ht="14.25" customHeight="1" x14ac:dyDescent="0.25">
      <c r="B465" s="14"/>
      <c r="C465" s="14"/>
      <c r="D465" s="25"/>
      <c r="E465" s="25"/>
      <c r="F465" s="14"/>
      <c r="G465" s="14"/>
      <c r="H465" s="14"/>
      <c r="I465" s="7"/>
      <c r="J465" s="7"/>
      <c r="K465" s="7"/>
      <c r="L465" s="14"/>
      <c r="M465" s="354"/>
      <c r="N465" s="7"/>
      <c r="O465" s="13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spans="2:25" ht="14.25" customHeight="1" x14ac:dyDescent="0.25">
      <c r="B466" s="14"/>
      <c r="C466" s="14"/>
      <c r="D466" s="25"/>
      <c r="E466" s="25"/>
      <c r="F466" s="14"/>
      <c r="G466" s="14"/>
      <c r="H466" s="14"/>
      <c r="I466" s="7"/>
      <c r="J466" s="7"/>
      <c r="K466" s="7"/>
      <c r="L466" s="14"/>
      <c r="M466" s="354"/>
      <c r="N466" s="7"/>
      <c r="O466" s="13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spans="2:25" ht="14.25" customHeight="1" x14ac:dyDescent="0.25">
      <c r="B467" s="14"/>
      <c r="C467" s="14"/>
      <c r="D467" s="25"/>
      <c r="E467" s="25"/>
      <c r="F467" s="14"/>
      <c r="G467" s="14"/>
      <c r="H467" s="14"/>
      <c r="I467" s="7"/>
      <c r="J467" s="7"/>
      <c r="K467" s="7"/>
      <c r="L467" s="14"/>
      <c r="M467" s="354"/>
      <c r="N467" s="7"/>
      <c r="O467" s="13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spans="2:25" ht="14.25" customHeight="1" x14ac:dyDescent="0.25">
      <c r="B468" s="14"/>
      <c r="C468" s="14"/>
      <c r="D468" s="25"/>
      <c r="E468" s="25"/>
      <c r="F468" s="14"/>
      <c r="G468" s="14"/>
      <c r="H468" s="14"/>
      <c r="I468" s="7"/>
      <c r="J468" s="7"/>
      <c r="K468" s="7"/>
      <c r="L468" s="14"/>
      <c r="M468" s="354"/>
      <c r="N468" s="7"/>
      <c r="O468" s="13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spans="2:25" ht="14.25" customHeight="1" x14ac:dyDescent="0.25">
      <c r="B469" s="14"/>
      <c r="C469" s="14"/>
      <c r="D469" s="25"/>
      <c r="E469" s="25"/>
      <c r="F469" s="14"/>
      <c r="G469" s="14"/>
      <c r="H469" s="14"/>
      <c r="I469" s="7"/>
      <c r="J469" s="7"/>
      <c r="K469" s="7"/>
      <c r="L469" s="14"/>
      <c r="M469" s="354"/>
      <c r="N469" s="7"/>
      <c r="O469" s="13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spans="2:25" ht="14.25" customHeight="1" x14ac:dyDescent="0.25">
      <c r="B470" s="14"/>
      <c r="C470" s="14"/>
      <c r="D470" s="25"/>
      <c r="E470" s="25"/>
      <c r="F470" s="14"/>
      <c r="G470" s="14"/>
      <c r="H470" s="14"/>
      <c r="I470" s="7"/>
      <c r="J470" s="7"/>
      <c r="K470" s="7"/>
      <c r="L470" s="14"/>
      <c r="M470" s="354"/>
      <c r="N470" s="7"/>
      <c r="O470" s="13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spans="2:25" ht="14.25" customHeight="1" x14ac:dyDescent="0.25">
      <c r="B471" s="14"/>
      <c r="C471" s="14"/>
      <c r="D471" s="25"/>
      <c r="E471" s="25"/>
      <c r="F471" s="14"/>
      <c r="G471" s="14"/>
      <c r="H471" s="14"/>
      <c r="I471" s="7"/>
      <c r="J471" s="7"/>
      <c r="K471" s="7"/>
      <c r="L471" s="14"/>
      <c r="M471" s="354"/>
      <c r="N471" s="7"/>
      <c r="O471" s="13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spans="2:25" ht="14.25" customHeight="1" x14ac:dyDescent="0.25">
      <c r="B472" s="14"/>
      <c r="C472" s="14"/>
      <c r="D472" s="25"/>
      <c r="E472" s="25"/>
      <c r="F472" s="14"/>
      <c r="G472" s="14"/>
      <c r="H472" s="14"/>
      <c r="I472" s="7"/>
      <c r="J472" s="7"/>
      <c r="K472" s="7"/>
      <c r="L472" s="14"/>
      <c r="M472" s="354"/>
      <c r="N472" s="7"/>
      <c r="O472" s="13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spans="2:25" ht="14.25" customHeight="1" x14ac:dyDescent="0.25">
      <c r="B473" s="14"/>
      <c r="C473" s="14"/>
      <c r="D473" s="25"/>
      <c r="E473" s="25"/>
      <c r="F473" s="14"/>
      <c r="G473" s="14"/>
      <c r="H473" s="14"/>
      <c r="I473" s="7"/>
      <c r="J473" s="7"/>
      <c r="K473" s="7"/>
      <c r="L473" s="14"/>
      <c r="M473" s="354"/>
      <c r="N473" s="7"/>
      <c r="O473" s="13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spans="2:25" ht="14.25" customHeight="1" x14ac:dyDescent="0.25">
      <c r="B474" s="14"/>
      <c r="C474" s="14"/>
      <c r="D474" s="25"/>
      <c r="E474" s="25"/>
      <c r="F474" s="14"/>
      <c r="G474" s="14"/>
      <c r="H474" s="14"/>
      <c r="I474" s="7"/>
      <c r="J474" s="7"/>
      <c r="K474" s="7"/>
      <c r="L474" s="14"/>
      <c r="M474" s="354"/>
      <c r="N474" s="7"/>
      <c r="O474" s="13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spans="2:25" ht="14.25" customHeight="1" x14ac:dyDescent="0.25">
      <c r="B475" s="14"/>
      <c r="C475" s="14"/>
      <c r="D475" s="25"/>
      <c r="E475" s="25"/>
      <c r="F475" s="14"/>
      <c r="G475" s="14"/>
      <c r="H475" s="14"/>
      <c r="I475" s="7"/>
      <c r="J475" s="7"/>
      <c r="K475" s="7"/>
      <c r="L475" s="14"/>
      <c r="M475" s="354"/>
      <c r="N475" s="7"/>
      <c r="O475" s="13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spans="2:25" ht="14.25" customHeight="1" x14ac:dyDescent="0.25">
      <c r="B476" s="14"/>
      <c r="C476" s="14"/>
      <c r="D476" s="25"/>
      <c r="E476" s="25"/>
      <c r="F476" s="14"/>
      <c r="G476" s="14"/>
      <c r="H476" s="14"/>
      <c r="I476" s="7"/>
      <c r="J476" s="7"/>
      <c r="K476" s="7"/>
      <c r="L476" s="14"/>
      <c r="M476" s="354"/>
      <c r="N476" s="7"/>
      <c r="O476" s="13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spans="2:25" ht="14.25" customHeight="1" x14ac:dyDescent="0.25">
      <c r="B477" s="14"/>
      <c r="C477" s="14"/>
      <c r="D477" s="25"/>
      <c r="E477" s="25"/>
      <c r="F477" s="14"/>
      <c r="G477" s="14"/>
      <c r="H477" s="14"/>
      <c r="I477" s="7"/>
      <c r="J477" s="7"/>
      <c r="K477" s="7"/>
      <c r="L477" s="14"/>
      <c r="M477" s="354"/>
      <c r="N477" s="7"/>
      <c r="O477" s="13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spans="2:25" ht="14.25" customHeight="1" x14ac:dyDescent="0.25">
      <c r="B478" s="14"/>
      <c r="C478" s="14"/>
      <c r="D478" s="25"/>
      <c r="E478" s="25"/>
      <c r="F478" s="14"/>
      <c r="G478" s="14"/>
      <c r="H478" s="14"/>
      <c r="I478" s="7"/>
      <c r="J478" s="7"/>
      <c r="K478" s="7"/>
      <c r="L478" s="14"/>
      <c r="M478" s="354"/>
      <c r="N478" s="7"/>
      <c r="O478" s="13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spans="2:25" ht="14.25" customHeight="1" x14ac:dyDescent="0.25">
      <c r="B479" s="14"/>
      <c r="C479" s="14"/>
      <c r="D479" s="25"/>
      <c r="E479" s="25"/>
      <c r="F479" s="14"/>
      <c r="G479" s="14"/>
      <c r="H479" s="14"/>
      <c r="I479" s="7"/>
      <c r="J479" s="7"/>
      <c r="K479" s="7"/>
      <c r="L479" s="14"/>
      <c r="M479" s="354"/>
      <c r="N479" s="7"/>
      <c r="O479" s="13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spans="2:25" ht="14.25" customHeight="1" x14ac:dyDescent="0.25">
      <c r="B480" s="14"/>
      <c r="C480" s="14"/>
      <c r="D480" s="25"/>
      <c r="E480" s="25"/>
      <c r="F480" s="14"/>
      <c r="G480" s="14"/>
      <c r="H480" s="14"/>
      <c r="I480" s="7"/>
      <c r="J480" s="7"/>
      <c r="K480" s="7"/>
      <c r="L480" s="14"/>
      <c r="M480" s="354"/>
      <c r="N480" s="7"/>
      <c r="O480" s="13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spans="2:25" ht="14.25" customHeight="1" x14ac:dyDescent="0.25">
      <c r="B481" s="14"/>
      <c r="C481" s="14"/>
      <c r="D481" s="25"/>
      <c r="E481" s="25"/>
      <c r="F481" s="14"/>
      <c r="G481" s="14"/>
      <c r="H481" s="14"/>
      <c r="I481" s="7"/>
      <c r="J481" s="7"/>
      <c r="K481" s="7"/>
      <c r="L481" s="14"/>
      <c r="M481" s="354"/>
      <c r="N481" s="7"/>
      <c r="O481" s="13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spans="2:25" ht="14.25" customHeight="1" x14ac:dyDescent="0.25">
      <c r="B482" s="14"/>
      <c r="C482" s="14"/>
      <c r="D482" s="25"/>
      <c r="E482" s="25"/>
      <c r="F482" s="14"/>
      <c r="G482" s="14"/>
      <c r="H482" s="14"/>
      <c r="I482" s="7"/>
      <c r="J482" s="7"/>
      <c r="K482" s="7"/>
      <c r="L482" s="14"/>
      <c r="M482" s="354"/>
      <c r="N482" s="7"/>
      <c r="O482" s="13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spans="2:25" ht="14.25" customHeight="1" x14ac:dyDescent="0.25">
      <c r="B483" s="14"/>
      <c r="C483" s="14"/>
      <c r="D483" s="25"/>
      <c r="E483" s="25"/>
      <c r="F483" s="14"/>
      <c r="G483" s="14"/>
      <c r="H483" s="14"/>
      <c r="I483" s="7"/>
      <c r="J483" s="7"/>
      <c r="K483" s="7"/>
      <c r="L483" s="14"/>
      <c r="M483" s="354"/>
      <c r="N483" s="7"/>
      <c r="O483" s="13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spans="2:25" ht="14.25" customHeight="1" x14ac:dyDescent="0.25">
      <c r="B484" s="14"/>
      <c r="C484" s="14"/>
      <c r="D484" s="25"/>
      <c r="E484" s="25"/>
      <c r="F484" s="14"/>
      <c r="G484" s="14"/>
      <c r="H484" s="14"/>
      <c r="I484" s="7"/>
      <c r="J484" s="7"/>
      <c r="K484" s="7"/>
      <c r="L484" s="14"/>
      <c r="M484" s="354"/>
      <c r="N484" s="7"/>
      <c r="O484" s="13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spans="2:25" ht="14.25" customHeight="1" x14ac:dyDescent="0.25">
      <c r="B485" s="14"/>
      <c r="C485" s="14"/>
      <c r="D485" s="25"/>
      <c r="E485" s="25"/>
      <c r="F485" s="14"/>
      <c r="G485" s="14"/>
      <c r="H485" s="14"/>
      <c r="I485" s="7"/>
      <c r="J485" s="7"/>
      <c r="K485" s="7"/>
      <c r="L485" s="14"/>
      <c r="M485" s="354"/>
      <c r="N485" s="7"/>
      <c r="O485" s="13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spans="2:25" ht="14.25" customHeight="1" x14ac:dyDescent="0.25">
      <c r="B486" s="14"/>
      <c r="C486" s="14"/>
      <c r="D486" s="25"/>
      <c r="E486" s="25"/>
      <c r="F486" s="14"/>
      <c r="G486" s="14"/>
      <c r="H486" s="14"/>
      <c r="I486" s="7"/>
      <c r="J486" s="7"/>
      <c r="K486" s="7"/>
      <c r="L486" s="14"/>
      <c r="M486" s="354"/>
      <c r="N486" s="7"/>
      <c r="O486" s="13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spans="2:25" ht="14.25" customHeight="1" x14ac:dyDescent="0.25">
      <c r="B487" s="14"/>
      <c r="C487" s="14"/>
      <c r="D487" s="25"/>
      <c r="E487" s="25"/>
      <c r="F487" s="14"/>
      <c r="G487" s="14"/>
      <c r="H487" s="14"/>
      <c r="I487" s="7"/>
      <c r="J487" s="7"/>
      <c r="K487" s="7"/>
      <c r="L487" s="14"/>
      <c r="M487" s="354"/>
      <c r="N487" s="7"/>
      <c r="O487" s="13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spans="2:25" ht="14.25" customHeight="1" x14ac:dyDescent="0.25">
      <c r="B488" s="14"/>
      <c r="C488" s="14"/>
      <c r="D488" s="25"/>
      <c r="E488" s="25"/>
      <c r="F488" s="14"/>
      <c r="G488" s="14"/>
      <c r="H488" s="14"/>
      <c r="I488" s="7"/>
      <c r="J488" s="7"/>
      <c r="K488" s="7"/>
      <c r="L488" s="14"/>
      <c r="M488" s="354"/>
      <c r="N488" s="7"/>
      <c r="O488" s="13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spans="2:25" ht="14.25" customHeight="1" x14ac:dyDescent="0.25">
      <c r="B489" s="14"/>
      <c r="C489" s="14"/>
      <c r="D489" s="25"/>
      <c r="E489" s="25"/>
      <c r="F489" s="14"/>
      <c r="G489" s="14"/>
      <c r="H489" s="14"/>
      <c r="I489" s="7"/>
      <c r="J489" s="7"/>
      <c r="K489" s="7"/>
      <c r="L489" s="14"/>
      <c r="M489" s="354"/>
      <c r="N489" s="7"/>
      <c r="O489" s="13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spans="2:25" ht="14.25" customHeight="1" x14ac:dyDescent="0.25">
      <c r="B490" s="14"/>
      <c r="C490" s="14"/>
      <c r="D490" s="25"/>
      <c r="E490" s="25"/>
      <c r="F490" s="14"/>
      <c r="G490" s="14"/>
      <c r="H490" s="14"/>
      <c r="I490" s="7"/>
      <c r="J490" s="7"/>
      <c r="K490" s="7"/>
      <c r="L490" s="14"/>
      <c r="M490" s="354"/>
      <c r="N490" s="7"/>
      <c r="O490" s="13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spans="2:25" ht="14.25" customHeight="1" x14ac:dyDescent="0.25">
      <c r="B491" s="14"/>
      <c r="C491" s="14"/>
      <c r="D491" s="25"/>
      <c r="E491" s="25"/>
      <c r="F491" s="14"/>
      <c r="G491" s="14"/>
      <c r="H491" s="14"/>
      <c r="I491" s="7"/>
      <c r="J491" s="7"/>
      <c r="K491" s="7"/>
      <c r="L491" s="14"/>
      <c r="M491" s="354"/>
      <c r="N491" s="7"/>
      <c r="O491" s="13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spans="2:25" ht="14.25" customHeight="1" x14ac:dyDescent="0.25">
      <c r="B492" s="14"/>
      <c r="C492" s="14"/>
      <c r="D492" s="25"/>
      <c r="E492" s="25"/>
      <c r="F492" s="14"/>
      <c r="G492" s="14"/>
      <c r="H492" s="14"/>
      <c r="I492" s="7"/>
      <c r="J492" s="7"/>
      <c r="K492" s="7"/>
      <c r="L492" s="14"/>
      <c r="M492" s="354"/>
      <c r="N492" s="7"/>
      <c r="O492" s="13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spans="2:25" ht="14.25" customHeight="1" x14ac:dyDescent="0.25">
      <c r="B493" s="14"/>
      <c r="C493" s="14"/>
      <c r="D493" s="25"/>
      <c r="E493" s="25"/>
      <c r="F493" s="14"/>
      <c r="G493" s="14"/>
      <c r="H493" s="14"/>
      <c r="I493" s="7"/>
      <c r="J493" s="7"/>
      <c r="K493" s="7"/>
      <c r="L493" s="14"/>
      <c r="M493" s="354"/>
      <c r="N493" s="7"/>
      <c r="O493" s="13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spans="2:25" ht="14.25" customHeight="1" x14ac:dyDescent="0.25">
      <c r="B494" s="14"/>
      <c r="C494" s="14"/>
      <c r="D494" s="25"/>
      <c r="E494" s="25"/>
      <c r="F494" s="14"/>
      <c r="G494" s="14"/>
      <c r="H494" s="14"/>
      <c r="I494" s="7"/>
      <c r="J494" s="7"/>
      <c r="K494" s="7"/>
      <c r="L494" s="14"/>
      <c r="M494" s="354"/>
      <c r="N494" s="7"/>
      <c r="O494" s="13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spans="2:25" ht="14.25" customHeight="1" x14ac:dyDescent="0.25">
      <c r="B495" s="14"/>
      <c r="C495" s="14"/>
      <c r="D495" s="25"/>
      <c r="E495" s="25"/>
      <c r="F495" s="14"/>
      <c r="G495" s="14"/>
      <c r="H495" s="14"/>
      <c r="I495" s="7"/>
      <c r="J495" s="7"/>
      <c r="K495" s="7"/>
      <c r="L495" s="14"/>
      <c r="M495" s="354"/>
      <c r="N495" s="7"/>
      <c r="O495" s="13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spans="2:25" ht="14.25" customHeight="1" x14ac:dyDescent="0.25">
      <c r="B496" s="14"/>
      <c r="C496" s="14"/>
      <c r="D496" s="25"/>
      <c r="E496" s="25"/>
      <c r="F496" s="14"/>
      <c r="G496" s="14"/>
      <c r="H496" s="14"/>
      <c r="I496" s="7"/>
      <c r="J496" s="7"/>
      <c r="K496" s="7"/>
      <c r="L496" s="14"/>
      <c r="M496" s="354"/>
      <c r="N496" s="7"/>
      <c r="O496" s="13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spans="2:25" ht="14.25" customHeight="1" x14ac:dyDescent="0.25">
      <c r="B497" s="14"/>
      <c r="C497" s="14"/>
      <c r="D497" s="25"/>
      <c r="E497" s="25"/>
      <c r="F497" s="14"/>
      <c r="G497" s="14"/>
      <c r="H497" s="14"/>
      <c r="I497" s="7"/>
      <c r="J497" s="7"/>
      <c r="K497" s="7"/>
      <c r="L497" s="14"/>
      <c r="M497" s="354"/>
      <c r="N497" s="7"/>
      <c r="O497" s="13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spans="2:25" ht="14.25" customHeight="1" x14ac:dyDescent="0.25">
      <c r="B498" s="14"/>
      <c r="C498" s="14"/>
      <c r="D498" s="25"/>
      <c r="E498" s="25"/>
      <c r="F498" s="14"/>
      <c r="G498" s="14"/>
      <c r="H498" s="14"/>
      <c r="I498" s="7"/>
      <c r="J498" s="7"/>
      <c r="K498" s="7"/>
      <c r="L498" s="14"/>
      <c r="M498" s="354"/>
      <c r="N498" s="7"/>
      <c r="O498" s="13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spans="2:25" ht="14.25" customHeight="1" x14ac:dyDescent="0.25">
      <c r="B499" s="14"/>
      <c r="C499" s="14"/>
      <c r="D499" s="25"/>
      <c r="E499" s="25"/>
      <c r="F499" s="14"/>
      <c r="G499" s="14"/>
      <c r="H499" s="14"/>
      <c r="I499" s="7"/>
      <c r="J499" s="7"/>
      <c r="K499" s="7"/>
      <c r="L499" s="14"/>
      <c r="M499" s="354"/>
      <c r="N499" s="7"/>
      <c r="O499" s="13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spans="2:25" ht="14.25" customHeight="1" x14ac:dyDescent="0.25">
      <c r="B500" s="14"/>
      <c r="C500" s="14"/>
      <c r="D500" s="25"/>
      <c r="E500" s="25"/>
      <c r="F500" s="14"/>
      <c r="G500" s="14"/>
      <c r="H500" s="14"/>
      <c r="I500" s="7"/>
      <c r="J500" s="7"/>
      <c r="K500" s="7"/>
      <c r="L500" s="14"/>
      <c r="M500" s="354"/>
      <c r="N500" s="7"/>
      <c r="O500" s="13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spans="2:25" ht="14.25" customHeight="1" x14ac:dyDescent="0.25">
      <c r="B501" s="14"/>
      <c r="C501" s="14"/>
      <c r="D501" s="25"/>
      <c r="E501" s="25"/>
      <c r="F501" s="14"/>
      <c r="G501" s="14"/>
      <c r="H501" s="14"/>
      <c r="I501" s="7"/>
      <c r="J501" s="7"/>
      <c r="K501" s="7"/>
      <c r="L501" s="14"/>
      <c r="M501" s="354"/>
      <c r="N501" s="7"/>
      <c r="O501" s="13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spans="2:25" ht="14.25" customHeight="1" x14ac:dyDescent="0.25">
      <c r="B502" s="14"/>
      <c r="C502" s="14"/>
      <c r="D502" s="25"/>
      <c r="E502" s="25"/>
      <c r="F502" s="14"/>
      <c r="G502" s="14"/>
      <c r="H502" s="14"/>
      <c r="I502" s="7"/>
      <c r="J502" s="7"/>
      <c r="K502" s="7"/>
      <c r="L502" s="14"/>
      <c r="M502" s="354"/>
      <c r="N502" s="7"/>
      <c r="O502" s="13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spans="2:25" ht="14.25" customHeight="1" x14ac:dyDescent="0.25">
      <c r="B503" s="14"/>
      <c r="C503" s="14"/>
      <c r="D503" s="25"/>
      <c r="E503" s="25"/>
      <c r="F503" s="14"/>
      <c r="G503" s="14"/>
      <c r="H503" s="14"/>
      <c r="I503" s="7"/>
      <c r="J503" s="7"/>
      <c r="K503" s="7"/>
      <c r="L503" s="14"/>
      <c r="M503" s="354"/>
      <c r="N503" s="7"/>
      <c r="O503" s="13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spans="2:25" ht="14.25" customHeight="1" x14ac:dyDescent="0.25">
      <c r="B504" s="14"/>
      <c r="C504" s="14"/>
      <c r="D504" s="25"/>
      <c r="E504" s="25"/>
      <c r="F504" s="14"/>
      <c r="G504" s="14"/>
      <c r="H504" s="14"/>
      <c r="I504" s="7"/>
      <c r="J504" s="7"/>
      <c r="K504" s="7"/>
      <c r="L504" s="14"/>
      <c r="M504" s="354"/>
      <c r="N504" s="7"/>
      <c r="O504" s="13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spans="2:25" ht="14.25" customHeight="1" x14ac:dyDescent="0.25">
      <c r="B505" s="14"/>
      <c r="C505" s="14"/>
      <c r="D505" s="25"/>
      <c r="E505" s="25"/>
      <c r="F505" s="14"/>
      <c r="G505" s="14"/>
      <c r="H505" s="14"/>
      <c r="I505" s="7"/>
      <c r="J505" s="7"/>
      <c r="K505" s="7"/>
      <c r="L505" s="14"/>
      <c r="M505" s="354"/>
      <c r="N505" s="7"/>
      <c r="O505" s="13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spans="2:25" ht="14.25" customHeight="1" x14ac:dyDescent="0.25">
      <c r="B506" s="14"/>
      <c r="C506" s="14"/>
      <c r="D506" s="25"/>
      <c r="E506" s="25"/>
      <c r="F506" s="14"/>
      <c r="G506" s="14"/>
      <c r="H506" s="14"/>
      <c r="I506" s="7"/>
      <c r="J506" s="7"/>
      <c r="K506" s="7"/>
      <c r="L506" s="14"/>
      <c r="M506" s="354"/>
      <c r="N506" s="7"/>
      <c r="O506" s="13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spans="2:25" ht="14.25" customHeight="1" x14ac:dyDescent="0.25">
      <c r="B507" s="14"/>
      <c r="C507" s="14"/>
      <c r="D507" s="25"/>
      <c r="E507" s="25"/>
      <c r="F507" s="14"/>
      <c r="G507" s="14"/>
      <c r="H507" s="14"/>
      <c r="I507" s="7"/>
      <c r="J507" s="7"/>
      <c r="K507" s="7"/>
      <c r="L507" s="14"/>
      <c r="M507" s="354"/>
      <c r="N507" s="7"/>
      <c r="O507" s="13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spans="2:25" ht="14.25" customHeight="1" x14ac:dyDescent="0.25">
      <c r="B508" s="14"/>
      <c r="C508" s="14"/>
      <c r="D508" s="25"/>
      <c r="E508" s="25"/>
      <c r="F508" s="14"/>
      <c r="G508" s="14"/>
      <c r="H508" s="14"/>
      <c r="I508" s="7"/>
      <c r="J508" s="7"/>
      <c r="K508" s="7"/>
      <c r="L508" s="14"/>
      <c r="M508" s="354"/>
      <c r="N508" s="7"/>
      <c r="O508" s="13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spans="2:25" ht="14.25" customHeight="1" x14ac:dyDescent="0.25">
      <c r="B509" s="14"/>
      <c r="C509" s="14"/>
      <c r="D509" s="25"/>
      <c r="E509" s="25"/>
      <c r="F509" s="14"/>
      <c r="G509" s="14"/>
      <c r="H509" s="14"/>
      <c r="I509" s="7"/>
      <c r="J509" s="7"/>
      <c r="K509" s="7"/>
      <c r="L509" s="14"/>
      <c r="M509" s="354"/>
      <c r="N509" s="7"/>
      <c r="O509" s="13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spans="2:25" ht="14.25" customHeight="1" x14ac:dyDescent="0.25">
      <c r="B510" s="14"/>
      <c r="C510" s="14"/>
      <c r="D510" s="25"/>
      <c r="E510" s="25"/>
      <c r="F510" s="14"/>
      <c r="G510" s="14"/>
      <c r="H510" s="14"/>
      <c r="I510" s="7"/>
      <c r="J510" s="7"/>
      <c r="K510" s="7"/>
      <c r="L510" s="14"/>
      <c r="M510" s="354"/>
      <c r="N510" s="7"/>
      <c r="O510" s="13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spans="2:25" ht="14.25" customHeight="1" x14ac:dyDescent="0.25">
      <c r="B511" s="14"/>
      <c r="C511" s="14"/>
      <c r="D511" s="25"/>
      <c r="E511" s="25"/>
      <c r="F511" s="14"/>
      <c r="G511" s="14"/>
      <c r="H511" s="14"/>
      <c r="I511" s="7"/>
      <c r="J511" s="7"/>
      <c r="K511" s="7"/>
      <c r="L511" s="14"/>
      <c r="M511" s="354"/>
      <c r="N511" s="7"/>
      <c r="O511" s="13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spans="2:25" ht="14.25" customHeight="1" x14ac:dyDescent="0.25">
      <c r="B512" s="14"/>
      <c r="C512" s="14"/>
      <c r="D512" s="25"/>
      <c r="E512" s="25"/>
      <c r="F512" s="14"/>
      <c r="G512" s="14"/>
      <c r="H512" s="14"/>
      <c r="I512" s="7"/>
      <c r="J512" s="7"/>
      <c r="K512" s="7"/>
      <c r="L512" s="14"/>
      <c r="M512" s="354"/>
      <c r="N512" s="7"/>
      <c r="O512" s="13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spans="2:25" ht="14.25" customHeight="1" x14ac:dyDescent="0.25">
      <c r="B513" s="14"/>
      <c r="C513" s="14"/>
      <c r="D513" s="25"/>
      <c r="E513" s="25"/>
      <c r="F513" s="14"/>
      <c r="G513" s="14"/>
      <c r="H513" s="14"/>
      <c r="I513" s="7"/>
      <c r="J513" s="7"/>
      <c r="K513" s="7"/>
      <c r="L513" s="14"/>
      <c r="M513" s="354"/>
      <c r="N513" s="7"/>
      <c r="O513" s="13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spans="2:25" ht="14.25" customHeight="1" x14ac:dyDescent="0.25">
      <c r="B514" s="14"/>
      <c r="C514" s="14"/>
      <c r="D514" s="25"/>
      <c r="E514" s="25"/>
      <c r="F514" s="14"/>
      <c r="G514" s="14"/>
      <c r="H514" s="14"/>
      <c r="I514" s="7"/>
      <c r="J514" s="7"/>
      <c r="K514" s="7"/>
      <c r="L514" s="14"/>
      <c r="M514" s="354"/>
      <c r="N514" s="7"/>
      <c r="O514" s="13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spans="2:25" ht="14.25" customHeight="1" x14ac:dyDescent="0.25">
      <c r="B515" s="14"/>
      <c r="C515" s="14"/>
      <c r="D515" s="25"/>
      <c r="E515" s="25"/>
      <c r="F515" s="14"/>
      <c r="G515" s="14"/>
      <c r="H515" s="14"/>
      <c r="I515" s="7"/>
      <c r="J515" s="7"/>
      <c r="K515" s="7"/>
      <c r="L515" s="14"/>
      <c r="M515" s="354"/>
      <c r="N515" s="7"/>
      <c r="O515" s="13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spans="2:25" ht="14.25" customHeight="1" x14ac:dyDescent="0.25">
      <c r="B516" s="14"/>
      <c r="C516" s="14"/>
      <c r="D516" s="25"/>
      <c r="E516" s="25"/>
      <c r="F516" s="14"/>
      <c r="G516" s="14"/>
      <c r="H516" s="14"/>
      <c r="I516" s="7"/>
      <c r="J516" s="7"/>
      <c r="K516" s="7"/>
      <c r="L516" s="14"/>
      <c r="M516" s="354"/>
      <c r="N516" s="7"/>
      <c r="O516" s="13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spans="2:25" ht="14.25" customHeight="1" x14ac:dyDescent="0.25">
      <c r="B517" s="14"/>
      <c r="C517" s="14"/>
      <c r="D517" s="25"/>
      <c r="E517" s="25"/>
      <c r="F517" s="14"/>
      <c r="G517" s="14"/>
      <c r="H517" s="14"/>
      <c r="I517" s="7"/>
      <c r="J517" s="7"/>
      <c r="K517" s="7"/>
      <c r="L517" s="14"/>
      <c r="M517" s="354"/>
      <c r="N517" s="7"/>
      <c r="O517" s="13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spans="2:25" ht="14.25" customHeight="1" x14ac:dyDescent="0.25">
      <c r="B518" s="14"/>
      <c r="C518" s="14"/>
      <c r="D518" s="25"/>
      <c r="E518" s="25"/>
      <c r="F518" s="14"/>
      <c r="G518" s="14"/>
      <c r="H518" s="14"/>
      <c r="I518" s="7"/>
      <c r="J518" s="7"/>
      <c r="K518" s="7"/>
      <c r="L518" s="14"/>
      <c r="M518" s="354"/>
      <c r="N518" s="7"/>
      <c r="O518" s="13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spans="2:25" ht="14.25" customHeight="1" x14ac:dyDescent="0.25">
      <c r="B519" s="14"/>
      <c r="C519" s="14"/>
      <c r="D519" s="25"/>
      <c r="E519" s="25"/>
      <c r="F519" s="14"/>
      <c r="G519" s="14"/>
      <c r="H519" s="14"/>
      <c r="I519" s="7"/>
      <c r="J519" s="7"/>
      <c r="K519" s="7"/>
      <c r="L519" s="14"/>
      <c r="M519" s="354"/>
      <c r="N519" s="7"/>
      <c r="O519" s="13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spans="2:25" ht="14.25" customHeight="1" x14ac:dyDescent="0.25">
      <c r="B520" s="14"/>
      <c r="C520" s="14"/>
      <c r="D520" s="25"/>
      <c r="E520" s="25"/>
      <c r="F520" s="14"/>
      <c r="G520" s="14"/>
      <c r="H520" s="14"/>
      <c r="I520" s="7"/>
      <c r="J520" s="7"/>
      <c r="K520" s="7"/>
      <c r="L520" s="14"/>
      <c r="M520" s="354"/>
      <c r="N520" s="7"/>
      <c r="O520" s="13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spans="2:25" ht="14.25" customHeight="1" x14ac:dyDescent="0.25">
      <c r="B521" s="14"/>
      <c r="C521" s="14"/>
      <c r="D521" s="25"/>
      <c r="E521" s="25"/>
      <c r="F521" s="14"/>
      <c r="G521" s="14"/>
      <c r="H521" s="14"/>
      <c r="I521" s="7"/>
      <c r="J521" s="7"/>
      <c r="K521" s="7"/>
      <c r="L521" s="14"/>
      <c r="M521" s="354"/>
      <c r="N521" s="7"/>
      <c r="O521" s="13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spans="2:25" ht="14.25" customHeight="1" x14ac:dyDescent="0.25">
      <c r="B522" s="14"/>
      <c r="C522" s="14"/>
      <c r="D522" s="25"/>
      <c r="E522" s="25"/>
      <c r="F522" s="14"/>
      <c r="G522" s="14"/>
      <c r="H522" s="14"/>
      <c r="I522" s="7"/>
      <c r="J522" s="7"/>
      <c r="K522" s="7"/>
      <c r="L522" s="14"/>
      <c r="M522" s="354"/>
      <c r="N522" s="7"/>
      <c r="O522" s="13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spans="2:25" ht="14.25" customHeight="1" x14ac:dyDescent="0.25">
      <c r="B523" s="14"/>
      <c r="C523" s="14"/>
      <c r="D523" s="25"/>
      <c r="E523" s="25"/>
      <c r="F523" s="14"/>
      <c r="G523" s="14"/>
      <c r="H523" s="14"/>
      <c r="I523" s="7"/>
      <c r="J523" s="7"/>
      <c r="K523" s="7"/>
      <c r="L523" s="14"/>
      <c r="M523" s="354"/>
      <c r="N523" s="7"/>
      <c r="O523" s="13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spans="2:25" ht="14.25" customHeight="1" x14ac:dyDescent="0.25">
      <c r="B524" s="14"/>
      <c r="C524" s="14"/>
      <c r="D524" s="25"/>
      <c r="E524" s="25"/>
      <c r="F524" s="14"/>
      <c r="G524" s="14"/>
      <c r="H524" s="14"/>
      <c r="I524" s="7"/>
      <c r="J524" s="7"/>
      <c r="K524" s="7"/>
      <c r="L524" s="14"/>
      <c r="M524" s="354"/>
      <c r="N524" s="7"/>
      <c r="O524" s="13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spans="2:25" ht="14.25" customHeight="1" x14ac:dyDescent="0.25">
      <c r="B525" s="14"/>
      <c r="C525" s="14"/>
      <c r="D525" s="25"/>
      <c r="E525" s="25"/>
      <c r="F525" s="14"/>
      <c r="G525" s="14"/>
      <c r="H525" s="14"/>
      <c r="I525" s="7"/>
      <c r="J525" s="7"/>
      <c r="K525" s="7"/>
      <c r="L525" s="14"/>
      <c r="M525" s="354"/>
      <c r="N525" s="7"/>
      <c r="O525" s="13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spans="2:25" ht="14.25" customHeight="1" x14ac:dyDescent="0.25">
      <c r="B526" s="14"/>
      <c r="C526" s="14"/>
      <c r="D526" s="25"/>
      <c r="E526" s="25"/>
      <c r="F526" s="14"/>
      <c r="G526" s="14"/>
      <c r="H526" s="14"/>
      <c r="I526" s="7"/>
      <c r="J526" s="7"/>
      <c r="K526" s="7"/>
      <c r="L526" s="14"/>
      <c r="M526" s="354"/>
      <c r="N526" s="7"/>
      <c r="O526" s="13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spans="2:25" ht="14.25" customHeight="1" x14ac:dyDescent="0.25">
      <c r="B527" s="14"/>
      <c r="C527" s="14"/>
      <c r="D527" s="25"/>
      <c r="E527" s="25"/>
      <c r="F527" s="14"/>
      <c r="G527" s="14"/>
      <c r="H527" s="14"/>
      <c r="I527" s="7"/>
      <c r="J527" s="7"/>
      <c r="K527" s="7"/>
      <c r="L527" s="14"/>
      <c r="M527" s="354"/>
      <c r="N527" s="7"/>
      <c r="O527" s="13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spans="2:25" ht="14.25" customHeight="1" x14ac:dyDescent="0.25">
      <c r="B528" s="14"/>
      <c r="C528" s="14"/>
      <c r="D528" s="25"/>
      <c r="E528" s="25"/>
      <c r="F528" s="14"/>
      <c r="G528" s="14"/>
      <c r="H528" s="14"/>
      <c r="I528" s="7"/>
      <c r="J528" s="7"/>
      <c r="K528" s="7"/>
      <c r="L528" s="14"/>
      <c r="M528" s="354"/>
      <c r="N528" s="7"/>
      <c r="O528" s="13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spans="2:25" ht="14.25" customHeight="1" x14ac:dyDescent="0.25">
      <c r="B529" s="14"/>
      <c r="C529" s="14"/>
      <c r="D529" s="25"/>
      <c r="E529" s="25"/>
      <c r="F529" s="14"/>
      <c r="G529" s="14"/>
      <c r="H529" s="14"/>
      <c r="I529" s="7"/>
      <c r="J529" s="7"/>
      <c r="K529" s="7"/>
      <c r="L529" s="14"/>
      <c r="M529" s="354"/>
      <c r="N529" s="7"/>
      <c r="O529" s="13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spans="2:25" ht="14.25" customHeight="1" x14ac:dyDescent="0.25">
      <c r="B530" s="14"/>
      <c r="C530" s="14"/>
      <c r="D530" s="25"/>
      <c r="E530" s="25"/>
      <c r="F530" s="14"/>
      <c r="G530" s="14"/>
      <c r="H530" s="14"/>
      <c r="I530" s="7"/>
      <c r="J530" s="7"/>
      <c r="K530" s="7"/>
      <c r="L530" s="14"/>
      <c r="M530" s="354"/>
      <c r="N530" s="7"/>
      <c r="O530" s="13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spans="2:25" ht="14.25" customHeight="1" x14ac:dyDescent="0.25">
      <c r="B531" s="14"/>
      <c r="C531" s="14"/>
      <c r="D531" s="25"/>
      <c r="E531" s="25"/>
      <c r="F531" s="14"/>
      <c r="G531" s="14"/>
      <c r="H531" s="14"/>
      <c r="I531" s="7"/>
      <c r="J531" s="7"/>
      <c r="K531" s="7"/>
      <c r="L531" s="14"/>
      <c r="M531" s="354"/>
      <c r="N531" s="7"/>
      <c r="O531" s="13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spans="2:25" ht="14.25" customHeight="1" x14ac:dyDescent="0.25">
      <c r="B532" s="14"/>
      <c r="C532" s="14"/>
      <c r="D532" s="25"/>
      <c r="E532" s="25"/>
      <c r="F532" s="14"/>
      <c r="G532" s="14"/>
      <c r="H532" s="14"/>
      <c r="I532" s="7"/>
      <c r="J532" s="7"/>
      <c r="K532" s="7"/>
      <c r="L532" s="14"/>
      <c r="M532" s="354"/>
      <c r="N532" s="7"/>
      <c r="O532" s="13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spans="2:25" ht="14.25" customHeight="1" x14ac:dyDescent="0.25">
      <c r="B533" s="14"/>
      <c r="C533" s="14"/>
      <c r="D533" s="25"/>
      <c r="E533" s="25"/>
      <c r="F533" s="14"/>
      <c r="G533" s="14"/>
      <c r="H533" s="14"/>
      <c r="I533" s="7"/>
      <c r="J533" s="7"/>
      <c r="K533" s="7"/>
      <c r="L533" s="14"/>
      <c r="M533" s="354"/>
      <c r="N533" s="7"/>
      <c r="O533" s="13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spans="2:25" ht="14.25" customHeight="1" x14ac:dyDescent="0.25">
      <c r="B534" s="14"/>
      <c r="C534" s="14"/>
      <c r="D534" s="25"/>
      <c r="E534" s="25"/>
      <c r="F534" s="14"/>
      <c r="G534" s="14"/>
      <c r="H534" s="14"/>
      <c r="I534" s="7"/>
      <c r="J534" s="7"/>
      <c r="K534" s="7"/>
      <c r="L534" s="14"/>
      <c r="M534" s="354"/>
      <c r="N534" s="7"/>
      <c r="O534" s="13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spans="2:25" ht="14.25" customHeight="1" x14ac:dyDescent="0.25">
      <c r="B535" s="14"/>
      <c r="C535" s="14"/>
      <c r="D535" s="25"/>
      <c r="E535" s="25"/>
      <c r="F535" s="14"/>
      <c r="G535" s="14"/>
      <c r="H535" s="14"/>
      <c r="I535" s="7"/>
      <c r="J535" s="7"/>
      <c r="K535" s="7"/>
      <c r="L535" s="14"/>
      <c r="M535" s="354"/>
      <c r="N535" s="7"/>
      <c r="O535" s="13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spans="2:25" ht="14.25" customHeight="1" x14ac:dyDescent="0.25">
      <c r="B536" s="14"/>
      <c r="C536" s="14"/>
      <c r="D536" s="25"/>
      <c r="E536" s="25"/>
      <c r="F536" s="14"/>
      <c r="G536" s="14"/>
      <c r="H536" s="14"/>
      <c r="I536" s="7"/>
      <c r="J536" s="7"/>
      <c r="K536" s="7"/>
      <c r="L536" s="14"/>
      <c r="M536" s="354"/>
      <c r="N536" s="7"/>
      <c r="O536" s="13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spans="2:25" ht="14.25" customHeight="1" x14ac:dyDescent="0.25">
      <c r="B537" s="14"/>
      <c r="C537" s="14"/>
      <c r="D537" s="25"/>
      <c r="E537" s="25"/>
      <c r="F537" s="14"/>
      <c r="G537" s="14"/>
      <c r="H537" s="14"/>
      <c r="I537" s="7"/>
      <c r="J537" s="7"/>
      <c r="K537" s="7"/>
      <c r="L537" s="14"/>
      <c r="M537" s="354"/>
      <c r="N537" s="7"/>
      <c r="O537" s="13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spans="2:25" ht="14.25" customHeight="1" x14ac:dyDescent="0.25">
      <c r="B538" s="14"/>
      <c r="C538" s="14"/>
      <c r="D538" s="25"/>
      <c r="E538" s="25"/>
      <c r="F538" s="14"/>
      <c r="G538" s="14"/>
      <c r="H538" s="14"/>
      <c r="I538" s="7"/>
      <c r="J538" s="7"/>
      <c r="K538" s="7"/>
      <c r="L538" s="14"/>
      <c r="M538" s="354"/>
      <c r="N538" s="7"/>
      <c r="O538" s="13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spans="2:25" ht="14.25" customHeight="1" x14ac:dyDescent="0.25">
      <c r="B539" s="14"/>
      <c r="C539" s="14"/>
      <c r="D539" s="25"/>
      <c r="E539" s="25"/>
      <c r="F539" s="14"/>
      <c r="G539" s="14"/>
      <c r="H539" s="14"/>
      <c r="I539" s="7"/>
      <c r="J539" s="7"/>
      <c r="K539" s="7"/>
      <c r="L539" s="14"/>
      <c r="M539" s="354"/>
      <c r="N539" s="7"/>
      <c r="O539" s="13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spans="2:25" ht="14.25" customHeight="1" x14ac:dyDescent="0.25">
      <c r="B540" s="14"/>
      <c r="C540" s="14"/>
      <c r="D540" s="25"/>
      <c r="E540" s="25"/>
      <c r="F540" s="14"/>
      <c r="G540" s="14"/>
      <c r="H540" s="14"/>
      <c r="I540" s="7"/>
      <c r="J540" s="7"/>
      <c r="K540" s="7"/>
      <c r="L540" s="14"/>
      <c r="M540" s="354"/>
      <c r="N540" s="7"/>
      <c r="O540" s="13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spans="2:25" ht="14.25" customHeight="1" x14ac:dyDescent="0.25">
      <c r="B541" s="14"/>
      <c r="C541" s="14"/>
      <c r="D541" s="25"/>
      <c r="E541" s="25"/>
      <c r="F541" s="14"/>
      <c r="G541" s="14"/>
      <c r="H541" s="14"/>
      <c r="I541" s="7"/>
      <c r="J541" s="7"/>
      <c r="K541" s="7"/>
      <c r="L541" s="14"/>
      <c r="M541" s="354"/>
      <c r="N541" s="7"/>
      <c r="O541" s="13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spans="2:25" ht="14.25" customHeight="1" x14ac:dyDescent="0.25">
      <c r="B542" s="14"/>
      <c r="C542" s="14"/>
      <c r="D542" s="25"/>
      <c r="E542" s="25"/>
      <c r="F542" s="14"/>
      <c r="G542" s="14"/>
      <c r="H542" s="14"/>
      <c r="I542" s="7"/>
      <c r="J542" s="7"/>
      <c r="K542" s="7"/>
      <c r="L542" s="14"/>
      <c r="M542" s="354"/>
      <c r="N542" s="7"/>
      <c r="O542" s="13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spans="2:25" ht="14.25" customHeight="1" x14ac:dyDescent="0.25">
      <c r="B543" s="14"/>
      <c r="C543" s="14"/>
      <c r="D543" s="25"/>
      <c r="E543" s="25"/>
      <c r="F543" s="14"/>
      <c r="G543" s="14"/>
      <c r="H543" s="14"/>
      <c r="I543" s="7"/>
      <c r="J543" s="7"/>
      <c r="K543" s="7"/>
      <c r="L543" s="14"/>
      <c r="M543" s="354"/>
      <c r="N543" s="7"/>
      <c r="O543" s="13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spans="2:25" ht="14.25" customHeight="1" x14ac:dyDescent="0.25">
      <c r="B544" s="14"/>
      <c r="C544" s="14"/>
      <c r="D544" s="25"/>
      <c r="E544" s="25"/>
      <c r="F544" s="14"/>
      <c r="G544" s="14"/>
      <c r="H544" s="14"/>
      <c r="I544" s="7"/>
      <c r="J544" s="7"/>
      <c r="K544" s="7"/>
      <c r="L544" s="14"/>
      <c r="M544" s="354"/>
      <c r="N544" s="7"/>
      <c r="O544" s="13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spans="2:25" ht="14.25" customHeight="1" x14ac:dyDescent="0.25">
      <c r="B545" s="14"/>
      <c r="C545" s="14"/>
      <c r="D545" s="25"/>
      <c r="E545" s="25"/>
      <c r="F545" s="14"/>
      <c r="G545" s="14"/>
      <c r="H545" s="14"/>
      <c r="I545" s="7"/>
      <c r="J545" s="7"/>
      <c r="K545" s="7"/>
      <c r="L545" s="14"/>
      <c r="M545" s="354"/>
      <c r="N545" s="7"/>
      <c r="O545" s="13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spans="2:25" ht="14.25" customHeight="1" x14ac:dyDescent="0.25">
      <c r="B546" s="14"/>
      <c r="C546" s="14"/>
      <c r="D546" s="25"/>
      <c r="E546" s="25"/>
      <c r="F546" s="14"/>
      <c r="G546" s="14"/>
      <c r="H546" s="14"/>
      <c r="I546" s="7"/>
      <c r="J546" s="7"/>
      <c r="K546" s="7"/>
      <c r="L546" s="14"/>
      <c r="M546" s="354"/>
      <c r="N546" s="7"/>
      <c r="O546" s="13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spans="2:25" ht="14.25" customHeight="1" x14ac:dyDescent="0.25">
      <c r="B547" s="14"/>
      <c r="C547" s="14"/>
      <c r="D547" s="25"/>
      <c r="E547" s="25"/>
      <c r="F547" s="14"/>
      <c r="G547" s="14"/>
      <c r="H547" s="14"/>
      <c r="I547" s="7"/>
      <c r="J547" s="7"/>
      <c r="K547" s="7"/>
      <c r="L547" s="14"/>
      <c r="M547" s="354"/>
      <c r="N547" s="7"/>
      <c r="O547" s="13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spans="2:25" ht="14.25" customHeight="1" x14ac:dyDescent="0.25">
      <c r="B548" s="14"/>
      <c r="C548" s="14"/>
      <c r="D548" s="25"/>
      <c r="E548" s="25"/>
      <c r="F548" s="14"/>
      <c r="G548" s="14"/>
      <c r="H548" s="14"/>
      <c r="I548" s="7"/>
      <c r="J548" s="7"/>
      <c r="K548" s="7"/>
      <c r="L548" s="14"/>
      <c r="M548" s="354"/>
      <c r="N548" s="7"/>
      <c r="O548" s="13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spans="2:25" ht="14.25" customHeight="1" x14ac:dyDescent="0.25">
      <c r="B549" s="14"/>
      <c r="C549" s="14"/>
      <c r="D549" s="25"/>
      <c r="E549" s="25"/>
      <c r="F549" s="14"/>
      <c r="G549" s="14"/>
      <c r="H549" s="14"/>
      <c r="I549" s="7"/>
      <c r="J549" s="7"/>
      <c r="K549" s="7"/>
      <c r="L549" s="14"/>
      <c r="M549" s="354"/>
      <c r="N549" s="7"/>
      <c r="O549" s="13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spans="2:25" ht="14.25" customHeight="1" x14ac:dyDescent="0.25">
      <c r="B550" s="14"/>
      <c r="C550" s="14"/>
      <c r="D550" s="25"/>
      <c r="E550" s="25"/>
      <c r="F550" s="14"/>
      <c r="G550" s="14"/>
      <c r="H550" s="14"/>
      <c r="I550" s="7"/>
      <c r="J550" s="7"/>
      <c r="K550" s="7"/>
      <c r="L550" s="14"/>
      <c r="M550" s="354"/>
      <c r="N550" s="7"/>
      <c r="O550" s="13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spans="2:25" ht="14.25" customHeight="1" x14ac:dyDescent="0.25">
      <c r="B551" s="14"/>
      <c r="C551" s="14"/>
      <c r="D551" s="25"/>
      <c r="E551" s="25"/>
      <c r="F551" s="14"/>
      <c r="G551" s="14"/>
      <c r="H551" s="14"/>
      <c r="I551" s="7"/>
      <c r="J551" s="7"/>
      <c r="K551" s="7"/>
      <c r="L551" s="14"/>
      <c r="M551" s="354"/>
      <c r="N551" s="7"/>
      <c r="O551" s="13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spans="2:25" ht="14.25" customHeight="1" x14ac:dyDescent="0.25">
      <c r="B552" s="14"/>
      <c r="C552" s="14"/>
      <c r="D552" s="25"/>
      <c r="E552" s="25"/>
      <c r="F552" s="14"/>
      <c r="G552" s="14"/>
      <c r="H552" s="14"/>
      <c r="I552" s="7"/>
      <c r="J552" s="7"/>
      <c r="K552" s="7"/>
      <c r="L552" s="14"/>
      <c r="M552" s="354"/>
      <c r="N552" s="7"/>
      <c r="O552" s="13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spans="2:25" ht="14.25" customHeight="1" x14ac:dyDescent="0.25">
      <c r="B553" s="14"/>
      <c r="C553" s="14"/>
      <c r="D553" s="25"/>
      <c r="E553" s="25"/>
      <c r="F553" s="14"/>
      <c r="G553" s="14"/>
      <c r="H553" s="14"/>
      <c r="I553" s="7"/>
      <c r="J553" s="7"/>
      <c r="K553" s="7"/>
      <c r="L553" s="14"/>
      <c r="M553" s="354"/>
      <c r="N553" s="7"/>
      <c r="O553" s="13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spans="2:25" ht="14.25" customHeight="1" x14ac:dyDescent="0.25">
      <c r="B554" s="14"/>
      <c r="C554" s="14"/>
      <c r="D554" s="25"/>
      <c r="E554" s="25"/>
      <c r="F554" s="14"/>
      <c r="G554" s="14"/>
      <c r="H554" s="14"/>
      <c r="I554" s="7"/>
      <c r="J554" s="7"/>
      <c r="K554" s="7"/>
      <c r="L554" s="14"/>
      <c r="M554" s="354"/>
      <c r="N554" s="7"/>
      <c r="O554" s="13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spans="2:25" ht="14.25" customHeight="1" x14ac:dyDescent="0.25">
      <c r="B555" s="14"/>
      <c r="C555" s="14"/>
      <c r="D555" s="25"/>
      <c r="E555" s="25"/>
      <c r="F555" s="14"/>
      <c r="G555" s="14"/>
      <c r="H555" s="14"/>
      <c r="I555" s="7"/>
      <c r="J555" s="7"/>
      <c r="K555" s="7"/>
      <c r="L555" s="14"/>
      <c r="M555" s="354"/>
      <c r="N555" s="7"/>
      <c r="O555" s="13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spans="2:25" ht="14.25" customHeight="1" x14ac:dyDescent="0.25">
      <c r="B556" s="14"/>
      <c r="C556" s="14"/>
      <c r="D556" s="25"/>
      <c r="E556" s="25"/>
      <c r="F556" s="14"/>
      <c r="G556" s="14"/>
      <c r="H556" s="14"/>
      <c r="I556" s="7"/>
      <c r="J556" s="7"/>
      <c r="K556" s="7"/>
      <c r="L556" s="14"/>
      <c r="M556" s="354"/>
      <c r="N556" s="7"/>
      <c r="O556" s="13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spans="2:25" ht="14.25" customHeight="1" x14ac:dyDescent="0.25">
      <c r="B557" s="14"/>
      <c r="C557" s="14"/>
      <c r="D557" s="25"/>
      <c r="E557" s="25"/>
      <c r="F557" s="14"/>
      <c r="G557" s="14"/>
      <c r="H557" s="14"/>
      <c r="I557" s="7"/>
      <c r="J557" s="7"/>
      <c r="K557" s="7"/>
      <c r="L557" s="14"/>
      <c r="M557" s="354"/>
      <c r="N557" s="7"/>
      <c r="O557" s="13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spans="2:25" ht="14.25" customHeight="1" x14ac:dyDescent="0.25">
      <c r="B558" s="14"/>
      <c r="C558" s="14"/>
      <c r="D558" s="25"/>
      <c r="E558" s="25"/>
      <c r="F558" s="14"/>
      <c r="G558" s="14"/>
      <c r="H558" s="14"/>
      <c r="I558" s="7"/>
      <c r="J558" s="7"/>
      <c r="K558" s="7"/>
      <c r="L558" s="14"/>
      <c r="M558" s="354"/>
      <c r="N558" s="7"/>
      <c r="O558" s="13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spans="2:25" ht="14.25" customHeight="1" x14ac:dyDescent="0.25">
      <c r="B559" s="14"/>
      <c r="C559" s="14"/>
      <c r="D559" s="25"/>
      <c r="E559" s="25"/>
      <c r="F559" s="14"/>
      <c r="G559" s="14"/>
      <c r="H559" s="14"/>
      <c r="I559" s="7"/>
      <c r="J559" s="7"/>
      <c r="K559" s="7"/>
      <c r="L559" s="14"/>
      <c r="M559" s="354"/>
      <c r="N559" s="7"/>
      <c r="O559" s="13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spans="2:25" ht="14.25" customHeight="1" x14ac:dyDescent="0.25">
      <c r="B560" s="14"/>
      <c r="C560" s="14"/>
      <c r="D560" s="25"/>
      <c r="E560" s="25"/>
      <c r="F560" s="14"/>
      <c r="G560" s="14"/>
      <c r="H560" s="14"/>
      <c r="I560" s="7"/>
      <c r="J560" s="7"/>
      <c r="K560" s="7"/>
      <c r="L560" s="14"/>
      <c r="M560" s="354"/>
      <c r="N560" s="7"/>
      <c r="O560" s="13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spans="2:25" ht="14.25" customHeight="1" x14ac:dyDescent="0.25">
      <c r="B561" s="14"/>
      <c r="C561" s="14"/>
      <c r="D561" s="25"/>
      <c r="E561" s="25"/>
      <c r="F561" s="14"/>
      <c r="G561" s="14"/>
      <c r="H561" s="14"/>
      <c r="I561" s="7"/>
      <c r="J561" s="7"/>
      <c r="K561" s="7"/>
      <c r="L561" s="14"/>
      <c r="M561" s="354"/>
      <c r="N561" s="7"/>
      <c r="O561" s="13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spans="2:25" ht="14.25" customHeight="1" x14ac:dyDescent="0.25">
      <c r="B562" s="14"/>
      <c r="C562" s="14"/>
      <c r="D562" s="25"/>
      <c r="E562" s="25"/>
      <c r="F562" s="14"/>
      <c r="G562" s="14"/>
      <c r="H562" s="14"/>
      <c r="I562" s="7"/>
      <c r="J562" s="7"/>
      <c r="K562" s="7"/>
      <c r="L562" s="14"/>
      <c r="M562" s="354"/>
      <c r="N562" s="7"/>
      <c r="O562" s="13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spans="2:25" ht="14.25" customHeight="1" x14ac:dyDescent="0.25">
      <c r="B563" s="14"/>
      <c r="C563" s="14"/>
      <c r="D563" s="25"/>
      <c r="E563" s="25"/>
      <c r="F563" s="14"/>
      <c r="G563" s="14"/>
      <c r="H563" s="14"/>
      <c r="I563" s="7"/>
      <c r="J563" s="7"/>
      <c r="K563" s="7"/>
      <c r="L563" s="14"/>
      <c r="M563" s="354"/>
      <c r="N563" s="7"/>
      <c r="O563" s="13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spans="2:25" ht="14.25" customHeight="1" x14ac:dyDescent="0.25">
      <c r="B564" s="14"/>
      <c r="C564" s="14"/>
      <c r="D564" s="25"/>
      <c r="E564" s="25"/>
      <c r="F564" s="14"/>
      <c r="G564" s="14"/>
      <c r="H564" s="14"/>
      <c r="I564" s="7"/>
      <c r="J564" s="7"/>
      <c r="K564" s="7"/>
      <c r="L564" s="14"/>
      <c r="M564" s="354"/>
      <c r="N564" s="7"/>
      <c r="O564" s="13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spans="2:25" ht="14.25" customHeight="1" x14ac:dyDescent="0.25">
      <c r="B565" s="14"/>
      <c r="C565" s="14"/>
      <c r="D565" s="25"/>
      <c r="E565" s="25"/>
      <c r="F565" s="14"/>
      <c r="G565" s="14"/>
      <c r="H565" s="14"/>
      <c r="I565" s="7"/>
      <c r="J565" s="7"/>
      <c r="K565" s="7"/>
      <c r="L565" s="14"/>
      <c r="M565" s="354"/>
      <c r="N565" s="7"/>
      <c r="O565" s="13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spans="2:25" ht="14.25" customHeight="1" x14ac:dyDescent="0.25">
      <c r="B566" s="14"/>
      <c r="C566" s="14"/>
      <c r="D566" s="25"/>
      <c r="E566" s="25"/>
      <c r="F566" s="14"/>
      <c r="G566" s="14"/>
      <c r="H566" s="14"/>
      <c r="I566" s="7"/>
      <c r="J566" s="7"/>
      <c r="K566" s="7"/>
      <c r="L566" s="14"/>
      <c r="M566" s="354"/>
      <c r="N566" s="7"/>
      <c r="O566" s="13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spans="2:25" ht="14.25" customHeight="1" x14ac:dyDescent="0.25">
      <c r="B567" s="14"/>
      <c r="C567" s="14"/>
      <c r="D567" s="25"/>
      <c r="E567" s="25"/>
      <c r="F567" s="14"/>
      <c r="G567" s="14"/>
      <c r="H567" s="14"/>
      <c r="I567" s="7"/>
      <c r="J567" s="7"/>
      <c r="K567" s="7"/>
      <c r="L567" s="14"/>
      <c r="M567" s="354"/>
      <c r="N567" s="7"/>
      <c r="O567" s="13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spans="2:25" ht="14.25" customHeight="1" x14ac:dyDescent="0.25">
      <c r="B568" s="14"/>
      <c r="C568" s="14"/>
      <c r="D568" s="25"/>
      <c r="E568" s="25"/>
      <c r="F568" s="14"/>
      <c r="G568" s="14"/>
      <c r="H568" s="14"/>
      <c r="I568" s="7"/>
      <c r="J568" s="7"/>
      <c r="K568" s="7"/>
      <c r="L568" s="14"/>
      <c r="M568" s="354"/>
      <c r="N568" s="7"/>
      <c r="O568" s="13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spans="2:25" ht="14.25" customHeight="1" x14ac:dyDescent="0.25">
      <c r="B569" s="14"/>
      <c r="C569" s="14"/>
      <c r="D569" s="25"/>
      <c r="E569" s="25"/>
      <c r="F569" s="14"/>
      <c r="G569" s="14"/>
      <c r="H569" s="14"/>
      <c r="I569" s="7"/>
      <c r="J569" s="7"/>
      <c r="K569" s="7"/>
      <c r="L569" s="14"/>
      <c r="M569" s="354"/>
      <c r="N569" s="7"/>
      <c r="O569" s="13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spans="2:25" ht="14.25" customHeight="1" x14ac:dyDescent="0.25">
      <c r="B570" s="14"/>
      <c r="C570" s="14"/>
      <c r="D570" s="25"/>
      <c r="E570" s="25"/>
      <c r="F570" s="14"/>
      <c r="G570" s="14"/>
      <c r="H570" s="14"/>
      <c r="I570" s="7"/>
      <c r="J570" s="7"/>
      <c r="K570" s="7"/>
      <c r="L570" s="14"/>
      <c r="M570" s="354"/>
      <c r="N570" s="7"/>
      <c r="O570" s="13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spans="2:25" ht="14.25" customHeight="1" x14ac:dyDescent="0.25">
      <c r="B571" s="14"/>
      <c r="C571" s="14"/>
      <c r="D571" s="25"/>
      <c r="E571" s="25"/>
      <c r="F571" s="14"/>
      <c r="G571" s="14"/>
      <c r="H571" s="14"/>
      <c r="I571" s="7"/>
      <c r="J571" s="7"/>
      <c r="K571" s="7"/>
      <c r="L571" s="14"/>
      <c r="M571" s="354"/>
      <c r="N571" s="7"/>
      <c r="O571" s="13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spans="2:25" ht="14.25" customHeight="1" x14ac:dyDescent="0.25">
      <c r="B572" s="14"/>
      <c r="C572" s="14"/>
      <c r="D572" s="25"/>
      <c r="E572" s="25"/>
      <c r="F572" s="14"/>
      <c r="G572" s="14"/>
      <c r="H572" s="14"/>
      <c r="I572" s="7"/>
      <c r="J572" s="7"/>
      <c r="K572" s="7"/>
      <c r="L572" s="14"/>
      <c r="M572" s="354"/>
      <c r="N572" s="7"/>
      <c r="O572" s="13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spans="2:25" ht="14.25" customHeight="1" x14ac:dyDescent="0.25">
      <c r="B573" s="14"/>
      <c r="C573" s="14"/>
      <c r="D573" s="25"/>
      <c r="E573" s="25"/>
      <c r="F573" s="14"/>
      <c r="G573" s="14"/>
      <c r="H573" s="14"/>
      <c r="I573" s="7"/>
      <c r="J573" s="7"/>
      <c r="K573" s="7"/>
      <c r="L573" s="14"/>
      <c r="M573" s="354"/>
      <c r="N573" s="7"/>
      <c r="O573" s="13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spans="2:25" ht="14.25" customHeight="1" x14ac:dyDescent="0.25">
      <c r="B574" s="14"/>
      <c r="C574" s="14"/>
      <c r="D574" s="25"/>
      <c r="E574" s="25"/>
      <c r="F574" s="14"/>
      <c r="G574" s="14"/>
      <c r="H574" s="14"/>
      <c r="I574" s="7"/>
      <c r="J574" s="7"/>
      <c r="K574" s="7"/>
      <c r="L574" s="14"/>
      <c r="M574" s="354"/>
      <c r="N574" s="7"/>
      <c r="O574" s="13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spans="2:25" ht="14.25" customHeight="1" x14ac:dyDescent="0.25">
      <c r="B575" s="14"/>
      <c r="C575" s="14"/>
      <c r="D575" s="25"/>
      <c r="E575" s="25"/>
      <c r="F575" s="14"/>
      <c r="G575" s="14"/>
      <c r="H575" s="14"/>
      <c r="I575" s="7"/>
      <c r="J575" s="7"/>
      <c r="K575" s="7"/>
      <c r="L575" s="14"/>
      <c r="M575" s="354"/>
      <c r="N575" s="7"/>
      <c r="O575" s="13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spans="2:25" ht="14.25" customHeight="1" x14ac:dyDescent="0.25">
      <c r="B576" s="14"/>
      <c r="C576" s="14"/>
      <c r="D576" s="25"/>
      <c r="E576" s="25"/>
      <c r="F576" s="14"/>
      <c r="G576" s="14"/>
      <c r="H576" s="14"/>
      <c r="I576" s="7"/>
      <c r="J576" s="7"/>
      <c r="K576" s="7"/>
      <c r="L576" s="14"/>
      <c r="M576" s="354"/>
      <c r="N576" s="7"/>
      <c r="O576" s="13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spans="2:25" ht="14.25" customHeight="1" x14ac:dyDescent="0.25">
      <c r="B577" s="14"/>
      <c r="C577" s="14"/>
      <c r="D577" s="25"/>
      <c r="E577" s="25"/>
      <c r="F577" s="14"/>
      <c r="G577" s="14"/>
      <c r="H577" s="14"/>
      <c r="I577" s="7"/>
      <c r="J577" s="7"/>
      <c r="K577" s="7"/>
      <c r="L577" s="14"/>
      <c r="M577" s="354"/>
      <c r="N577" s="7"/>
      <c r="O577" s="13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spans="2:25" ht="14.25" customHeight="1" x14ac:dyDescent="0.25">
      <c r="B578" s="14"/>
      <c r="C578" s="14"/>
      <c r="D578" s="25"/>
      <c r="E578" s="25"/>
      <c r="F578" s="14"/>
      <c r="G578" s="14"/>
      <c r="H578" s="14"/>
      <c r="I578" s="7"/>
      <c r="J578" s="7"/>
      <c r="K578" s="7"/>
      <c r="L578" s="14"/>
      <c r="M578" s="354"/>
      <c r="N578" s="7"/>
      <c r="O578" s="13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spans="2:25" ht="14.25" customHeight="1" x14ac:dyDescent="0.25">
      <c r="B579" s="14"/>
      <c r="C579" s="14"/>
      <c r="D579" s="25"/>
      <c r="E579" s="25"/>
      <c r="F579" s="14"/>
      <c r="G579" s="14"/>
      <c r="H579" s="14"/>
      <c r="I579" s="7"/>
      <c r="J579" s="7"/>
      <c r="K579" s="7"/>
      <c r="L579" s="14"/>
      <c r="M579" s="354"/>
      <c r="N579" s="7"/>
      <c r="O579" s="13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spans="2:25" ht="14.25" customHeight="1" x14ac:dyDescent="0.25">
      <c r="B580" s="14"/>
      <c r="C580" s="14"/>
      <c r="D580" s="25"/>
      <c r="E580" s="25"/>
      <c r="F580" s="14"/>
      <c r="G580" s="14"/>
      <c r="H580" s="14"/>
      <c r="I580" s="7"/>
      <c r="J580" s="7"/>
      <c r="K580" s="7"/>
      <c r="L580" s="14"/>
      <c r="M580" s="354"/>
      <c r="N580" s="7"/>
      <c r="O580" s="13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spans="2:25" ht="14.25" customHeight="1" x14ac:dyDescent="0.25">
      <c r="B581" s="14"/>
      <c r="C581" s="14"/>
      <c r="D581" s="25"/>
      <c r="E581" s="25"/>
      <c r="F581" s="14"/>
      <c r="G581" s="14"/>
      <c r="H581" s="14"/>
      <c r="I581" s="7"/>
      <c r="J581" s="7"/>
      <c r="K581" s="7"/>
      <c r="L581" s="14"/>
      <c r="M581" s="354"/>
      <c r="N581" s="7"/>
      <c r="O581" s="13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spans="2:25" ht="14.25" customHeight="1" x14ac:dyDescent="0.25">
      <c r="B582" s="14"/>
      <c r="C582" s="14"/>
      <c r="D582" s="25"/>
      <c r="E582" s="25"/>
      <c r="F582" s="14"/>
      <c r="G582" s="14"/>
      <c r="H582" s="14"/>
      <c r="I582" s="7"/>
      <c r="J582" s="7"/>
      <c r="K582" s="7"/>
      <c r="L582" s="14"/>
      <c r="M582" s="354"/>
      <c r="N582" s="7"/>
      <c r="O582" s="13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spans="2:25" ht="14.25" customHeight="1" x14ac:dyDescent="0.25">
      <c r="B583" s="14"/>
      <c r="C583" s="14"/>
      <c r="D583" s="25"/>
      <c r="E583" s="25"/>
      <c r="F583" s="14"/>
      <c r="G583" s="14"/>
      <c r="H583" s="14"/>
      <c r="I583" s="7"/>
      <c r="J583" s="7"/>
      <c r="K583" s="7"/>
      <c r="L583" s="14"/>
      <c r="M583" s="354"/>
      <c r="N583" s="7"/>
      <c r="O583" s="13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spans="2:25" ht="14.25" customHeight="1" x14ac:dyDescent="0.25">
      <c r="B584" s="14"/>
      <c r="C584" s="14"/>
      <c r="D584" s="25"/>
      <c r="E584" s="25"/>
      <c r="F584" s="14"/>
      <c r="G584" s="14"/>
      <c r="H584" s="14"/>
      <c r="I584" s="7"/>
      <c r="J584" s="7"/>
      <c r="K584" s="7"/>
      <c r="L584" s="14"/>
      <c r="M584" s="354"/>
      <c r="N584" s="7"/>
      <c r="O584" s="13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spans="2:25" ht="14.25" customHeight="1" x14ac:dyDescent="0.25">
      <c r="B585" s="14"/>
      <c r="C585" s="14"/>
      <c r="D585" s="25"/>
      <c r="E585" s="25"/>
      <c r="F585" s="14"/>
      <c r="G585" s="14"/>
      <c r="H585" s="14"/>
      <c r="I585" s="7"/>
      <c r="J585" s="7"/>
      <c r="K585" s="7"/>
      <c r="L585" s="14"/>
      <c r="M585" s="354"/>
      <c r="N585" s="7"/>
      <c r="O585" s="13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spans="2:25" ht="14.25" customHeight="1" x14ac:dyDescent="0.25">
      <c r="B586" s="14"/>
      <c r="C586" s="14"/>
      <c r="D586" s="25"/>
      <c r="E586" s="25"/>
      <c r="F586" s="14"/>
      <c r="G586" s="14"/>
      <c r="H586" s="14"/>
      <c r="I586" s="7"/>
      <c r="J586" s="7"/>
      <c r="K586" s="7"/>
      <c r="L586" s="14"/>
      <c r="M586" s="354"/>
      <c r="N586" s="7"/>
      <c r="O586" s="13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spans="2:25" ht="14.25" customHeight="1" x14ac:dyDescent="0.25">
      <c r="B587" s="14"/>
      <c r="C587" s="14"/>
      <c r="D587" s="25"/>
      <c r="E587" s="25"/>
      <c r="F587" s="14"/>
      <c r="G587" s="14"/>
      <c r="H587" s="14"/>
      <c r="I587" s="7"/>
      <c r="J587" s="7"/>
      <c r="K587" s="7"/>
      <c r="L587" s="14"/>
      <c r="M587" s="354"/>
      <c r="N587" s="7"/>
      <c r="O587" s="13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spans="2:25" ht="14.25" customHeight="1" x14ac:dyDescent="0.25">
      <c r="B588" s="14"/>
      <c r="C588" s="14"/>
      <c r="D588" s="25"/>
      <c r="E588" s="25"/>
      <c r="F588" s="14"/>
      <c r="G588" s="14"/>
      <c r="H588" s="14"/>
      <c r="I588" s="7"/>
      <c r="J588" s="7"/>
      <c r="K588" s="7"/>
      <c r="L588" s="14"/>
      <c r="M588" s="354"/>
      <c r="N588" s="7"/>
      <c r="O588" s="13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spans="2:25" ht="14.25" customHeight="1" x14ac:dyDescent="0.25">
      <c r="B589" s="14"/>
      <c r="C589" s="14"/>
      <c r="D589" s="25"/>
      <c r="E589" s="25"/>
      <c r="F589" s="14"/>
      <c r="G589" s="14"/>
      <c r="H589" s="14"/>
      <c r="I589" s="7"/>
      <c r="J589" s="7"/>
      <c r="K589" s="7"/>
      <c r="L589" s="14"/>
      <c r="M589" s="354"/>
      <c r="N589" s="7"/>
      <c r="O589" s="13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spans="2:25" ht="14.25" customHeight="1" x14ac:dyDescent="0.25">
      <c r="B590" s="14"/>
      <c r="C590" s="14"/>
      <c r="D590" s="25"/>
      <c r="E590" s="25"/>
      <c r="F590" s="14"/>
      <c r="G590" s="14"/>
      <c r="H590" s="14"/>
      <c r="I590" s="7"/>
      <c r="J590" s="7"/>
      <c r="K590" s="7"/>
      <c r="L590" s="14"/>
      <c r="M590" s="354"/>
      <c r="N590" s="7"/>
      <c r="O590" s="13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spans="2:25" ht="14.25" customHeight="1" x14ac:dyDescent="0.25">
      <c r="B591" s="14"/>
      <c r="C591" s="14"/>
      <c r="D591" s="25"/>
      <c r="E591" s="25"/>
      <c r="F591" s="14"/>
      <c r="G591" s="14"/>
      <c r="H591" s="14"/>
      <c r="I591" s="7"/>
      <c r="J591" s="7"/>
      <c r="K591" s="7"/>
      <c r="L591" s="14"/>
      <c r="M591" s="354"/>
      <c r="N591" s="7"/>
      <c r="O591" s="13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spans="2:25" ht="14.25" customHeight="1" x14ac:dyDescent="0.25">
      <c r="B592" s="14"/>
      <c r="C592" s="14"/>
      <c r="D592" s="25"/>
      <c r="E592" s="25"/>
      <c r="F592" s="14"/>
      <c r="G592" s="14"/>
      <c r="H592" s="14"/>
      <c r="I592" s="7"/>
      <c r="J592" s="7"/>
      <c r="K592" s="7"/>
      <c r="L592" s="14"/>
      <c r="M592" s="354"/>
      <c r="N592" s="7"/>
      <c r="O592" s="13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spans="2:25" ht="14.25" customHeight="1" x14ac:dyDescent="0.25">
      <c r="B593" s="14"/>
      <c r="C593" s="14"/>
      <c r="D593" s="25"/>
      <c r="E593" s="25"/>
      <c r="F593" s="14"/>
      <c r="G593" s="14"/>
      <c r="H593" s="14"/>
      <c r="I593" s="7"/>
      <c r="J593" s="7"/>
      <c r="K593" s="7"/>
      <c r="L593" s="14"/>
      <c r="M593" s="354"/>
      <c r="N593" s="7"/>
      <c r="O593" s="13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spans="2:25" ht="14.25" customHeight="1" x14ac:dyDescent="0.25">
      <c r="B594" s="14"/>
      <c r="C594" s="14"/>
      <c r="D594" s="25"/>
      <c r="E594" s="25"/>
      <c r="F594" s="14"/>
      <c r="G594" s="14"/>
      <c r="H594" s="14"/>
      <c r="I594" s="7"/>
      <c r="J594" s="7"/>
      <c r="K594" s="7"/>
      <c r="L594" s="14"/>
      <c r="M594" s="354"/>
      <c r="N594" s="7"/>
      <c r="O594" s="13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spans="2:25" ht="14.25" customHeight="1" x14ac:dyDescent="0.25">
      <c r="B595" s="14"/>
      <c r="C595" s="14"/>
      <c r="D595" s="25"/>
      <c r="E595" s="25"/>
      <c r="F595" s="14"/>
      <c r="G595" s="14"/>
      <c r="H595" s="14"/>
      <c r="I595" s="7"/>
      <c r="J595" s="7"/>
      <c r="K595" s="7"/>
      <c r="L595" s="14"/>
      <c r="M595" s="354"/>
      <c r="N595" s="7"/>
      <c r="O595" s="13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spans="2:25" ht="14.25" customHeight="1" x14ac:dyDescent="0.25">
      <c r="B596" s="14"/>
      <c r="C596" s="14"/>
      <c r="D596" s="25"/>
      <c r="E596" s="25"/>
      <c r="F596" s="14"/>
      <c r="G596" s="14"/>
      <c r="H596" s="14"/>
      <c r="I596" s="7"/>
      <c r="J596" s="7"/>
      <c r="K596" s="7"/>
      <c r="L596" s="14"/>
      <c r="M596" s="354"/>
      <c r="N596" s="7"/>
      <c r="O596" s="13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spans="2:25" ht="14.25" customHeight="1" x14ac:dyDescent="0.25">
      <c r="B597" s="14"/>
      <c r="C597" s="14"/>
      <c r="D597" s="25"/>
      <c r="E597" s="25"/>
      <c r="F597" s="14"/>
      <c r="G597" s="14"/>
      <c r="H597" s="14"/>
      <c r="I597" s="7"/>
      <c r="J597" s="7"/>
      <c r="K597" s="7"/>
      <c r="L597" s="14"/>
      <c r="M597" s="354"/>
      <c r="N597" s="7"/>
      <c r="O597" s="13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spans="2:25" ht="14.25" customHeight="1" x14ac:dyDescent="0.25">
      <c r="B598" s="14"/>
      <c r="C598" s="14"/>
      <c r="D598" s="25"/>
      <c r="E598" s="25"/>
      <c r="F598" s="14"/>
      <c r="G598" s="14"/>
      <c r="H598" s="14"/>
      <c r="I598" s="7"/>
      <c r="J598" s="7"/>
      <c r="K598" s="7"/>
      <c r="L598" s="14"/>
      <c r="M598" s="354"/>
      <c r="N598" s="7"/>
      <c r="O598" s="13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spans="2:25" ht="14.25" customHeight="1" x14ac:dyDescent="0.25">
      <c r="B599" s="14"/>
      <c r="C599" s="14"/>
      <c r="D599" s="25"/>
      <c r="E599" s="25"/>
      <c r="F599" s="14"/>
      <c r="G599" s="14"/>
      <c r="H599" s="14"/>
      <c r="I599" s="7"/>
      <c r="J599" s="7"/>
      <c r="K599" s="7"/>
      <c r="L599" s="14"/>
      <c r="M599" s="354"/>
      <c r="N599" s="7"/>
      <c r="O599" s="13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spans="2:25" ht="14.25" customHeight="1" x14ac:dyDescent="0.25">
      <c r="B600" s="14"/>
      <c r="C600" s="14"/>
      <c r="D600" s="25"/>
      <c r="E600" s="25"/>
      <c r="F600" s="14"/>
      <c r="G600" s="14"/>
      <c r="H600" s="14"/>
      <c r="I600" s="7"/>
      <c r="J600" s="7"/>
      <c r="K600" s="7"/>
      <c r="L600" s="14"/>
      <c r="M600" s="354"/>
      <c r="N600" s="7"/>
      <c r="O600" s="13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spans="2:25" ht="14.25" customHeight="1" x14ac:dyDescent="0.25">
      <c r="B601" s="14"/>
      <c r="C601" s="14"/>
      <c r="D601" s="25"/>
      <c r="E601" s="25"/>
      <c r="F601" s="14"/>
      <c r="G601" s="14"/>
      <c r="H601" s="14"/>
      <c r="I601" s="7"/>
      <c r="J601" s="7"/>
      <c r="K601" s="7"/>
      <c r="L601" s="14"/>
      <c r="M601" s="354"/>
      <c r="N601" s="7"/>
      <c r="O601" s="13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spans="2:25" ht="14.25" customHeight="1" x14ac:dyDescent="0.25">
      <c r="B602" s="14"/>
      <c r="C602" s="14"/>
      <c r="D602" s="25"/>
      <c r="E602" s="25"/>
      <c r="F602" s="14"/>
      <c r="G602" s="14"/>
      <c r="H602" s="14"/>
      <c r="I602" s="7"/>
      <c r="J602" s="7"/>
      <c r="K602" s="7"/>
      <c r="L602" s="14"/>
      <c r="M602" s="354"/>
      <c r="N602" s="7"/>
      <c r="O602" s="13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spans="2:25" ht="14.25" customHeight="1" x14ac:dyDescent="0.25">
      <c r="B603" s="14"/>
      <c r="C603" s="14"/>
      <c r="D603" s="25"/>
      <c r="E603" s="25"/>
      <c r="F603" s="14"/>
      <c r="G603" s="14"/>
      <c r="H603" s="14"/>
      <c r="I603" s="7"/>
      <c r="J603" s="7"/>
      <c r="K603" s="7"/>
      <c r="L603" s="14"/>
      <c r="M603" s="354"/>
      <c r="N603" s="7"/>
      <c r="O603" s="13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spans="2:25" ht="14.25" customHeight="1" x14ac:dyDescent="0.25">
      <c r="B604" s="14"/>
      <c r="C604" s="14"/>
      <c r="D604" s="25"/>
      <c r="E604" s="25"/>
      <c r="F604" s="14"/>
      <c r="G604" s="14"/>
      <c r="H604" s="14"/>
      <c r="I604" s="7"/>
      <c r="J604" s="7"/>
      <c r="K604" s="7"/>
      <c r="L604" s="14"/>
      <c r="M604" s="354"/>
      <c r="N604" s="7"/>
      <c r="O604" s="13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spans="2:25" ht="14.25" customHeight="1" x14ac:dyDescent="0.25">
      <c r="B605" s="14"/>
      <c r="C605" s="14"/>
      <c r="D605" s="25"/>
      <c r="E605" s="25"/>
      <c r="F605" s="14"/>
      <c r="G605" s="14"/>
      <c r="H605" s="14"/>
      <c r="I605" s="7"/>
      <c r="J605" s="7"/>
      <c r="K605" s="7"/>
      <c r="L605" s="14"/>
      <c r="M605" s="354"/>
      <c r="N605" s="7"/>
      <c r="O605" s="13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spans="2:25" ht="14.25" customHeight="1" x14ac:dyDescent="0.25">
      <c r="B606" s="14"/>
      <c r="C606" s="14"/>
      <c r="D606" s="25"/>
      <c r="E606" s="25"/>
      <c r="F606" s="14"/>
      <c r="G606" s="14"/>
      <c r="H606" s="14"/>
      <c r="I606" s="7"/>
      <c r="J606" s="7"/>
      <c r="K606" s="7"/>
      <c r="L606" s="14"/>
      <c r="M606" s="354"/>
      <c r="N606" s="7"/>
      <c r="O606" s="13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spans="2:25" ht="14.25" customHeight="1" x14ac:dyDescent="0.25">
      <c r="B607" s="14"/>
      <c r="C607" s="14"/>
      <c r="D607" s="25"/>
      <c r="E607" s="25"/>
      <c r="F607" s="14"/>
      <c r="G607" s="14"/>
      <c r="H607" s="14"/>
      <c r="I607" s="7"/>
      <c r="J607" s="7"/>
      <c r="K607" s="7"/>
      <c r="L607" s="14"/>
      <c r="M607" s="354"/>
      <c r="N607" s="7"/>
      <c r="O607" s="13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spans="2:25" ht="14.25" customHeight="1" x14ac:dyDescent="0.25">
      <c r="B608" s="14"/>
      <c r="C608" s="14"/>
      <c r="D608" s="25"/>
      <c r="E608" s="25"/>
      <c r="F608" s="14"/>
      <c r="G608" s="14"/>
      <c r="H608" s="14"/>
      <c r="I608" s="7"/>
      <c r="J608" s="7"/>
      <c r="K608" s="7"/>
      <c r="L608" s="14"/>
      <c r="M608" s="354"/>
      <c r="N608" s="7"/>
      <c r="O608" s="13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spans="2:25" ht="14.25" customHeight="1" x14ac:dyDescent="0.25">
      <c r="B609" s="14"/>
      <c r="C609" s="14"/>
      <c r="D609" s="25"/>
      <c r="E609" s="25"/>
      <c r="F609" s="14"/>
      <c r="G609" s="14"/>
      <c r="H609" s="14"/>
      <c r="I609" s="7"/>
      <c r="J609" s="7"/>
      <c r="K609" s="7"/>
      <c r="L609" s="14"/>
      <c r="M609" s="354"/>
      <c r="N609" s="7"/>
      <c r="O609" s="13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spans="2:25" ht="14.25" customHeight="1" x14ac:dyDescent="0.25">
      <c r="B610" s="14"/>
      <c r="C610" s="14"/>
      <c r="D610" s="25"/>
      <c r="E610" s="25"/>
      <c r="F610" s="14"/>
      <c r="G610" s="14"/>
      <c r="H610" s="14"/>
      <c r="I610" s="7"/>
      <c r="J610" s="7"/>
      <c r="K610" s="7"/>
      <c r="L610" s="14"/>
      <c r="M610" s="354"/>
      <c r="N610" s="7"/>
      <c r="O610" s="13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spans="2:25" ht="14.25" customHeight="1" x14ac:dyDescent="0.25">
      <c r="B611" s="14"/>
      <c r="C611" s="14"/>
      <c r="D611" s="25"/>
      <c r="E611" s="25"/>
      <c r="F611" s="14"/>
      <c r="G611" s="14"/>
      <c r="H611" s="14"/>
      <c r="I611" s="7"/>
      <c r="J611" s="7"/>
      <c r="K611" s="7"/>
      <c r="L611" s="14"/>
      <c r="M611" s="354"/>
      <c r="N611" s="7"/>
      <c r="O611" s="13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spans="2:25" ht="14.25" customHeight="1" x14ac:dyDescent="0.25">
      <c r="B612" s="14"/>
      <c r="C612" s="14"/>
      <c r="D612" s="25"/>
      <c r="E612" s="25"/>
      <c r="F612" s="14"/>
      <c r="G612" s="14"/>
      <c r="H612" s="14"/>
      <c r="I612" s="7"/>
      <c r="J612" s="7"/>
      <c r="K612" s="7"/>
      <c r="L612" s="14"/>
      <c r="M612" s="354"/>
      <c r="N612" s="7"/>
      <c r="O612" s="13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spans="2:25" ht="14.25" customHeight="1" x14ac:dyDescent="0.25">
      <c r="B613" s="14"/>
      <c r="C613" s="14"/>
      <c r="D613" s="25"/>
      <c r="E613" s="25"/>
      <c r="F613" s="14"/>
      <c r="G613" s="14"/>
      <c r="H613" s="14"/>
      <c r="I613" s="7"/>
      <c r="J613" s="7"/>
      <c r="K613" s="7"/>
      <c r="L613" s="14"/>
      <c r="M613" s="354"/>
      <c r="N613" s="7"/>
      <c r="O613" s="13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spans="2:25" ht="14.25" customHeight="1" x14ac:dyDescent="0.25">
      <c r="B614" s="14"/>
      <c r="C614" s="14"/>
      <c r="D614" s="25"/>
      <c r="E614" s="25"/>
      <c r="F614" s="14"/>
      <c r="G614" s="14"/>
      <c r="H614" s="14"/>
      <c r="I614" s="7"/>
      <c r="J614" s="7"/>
      <c r="K614" s="7"/>
      <c r="L614" s="14"/>
      <c r="M614" s="354"/>
      <c r="N614" s="7"/>
      <c r="O614" s="13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spans="2:25" ht="14.25" customHeight="1" x14ac:dyDescent="0.25">
      <c r="B615" s="14"/>
      <c r="C615" s="14"/>
      <c r="D615" s="25"/>
      <c r="E615" s="25"/>
      <c r="F615" s="14"/>
      <c r="G615" s="14"/>
      <c r="H615" s="14"/>
      <c r="I615" s="7"/>
      <c r="J615" s="7"/>
      <c r="K615" s="7"/>
      <c r="L615" s="14"/>
      <c r="M615" s="354"/>
      <c r="N615" s="7"/>
      <c r="O615" s="13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spans="2:25" ht="14.25" customHeight="1" x14ac:dyDescent="0.25">
      <c r="B616" s="14"/>
      <c r="C616" s="14"/>
      <c r="D616" s="25"/>
      <c r="E616" s="25"/>
      <c r="F616" s="14"/>
      <c r="G616" s="14"/>
      <c r="H616" s="14"/>
      <c r="I616" s="7"/>
      <c r="J616" s="7"/>
      <c r="K616" s="7"/>
      <c r="L616" s="14"/>
      <c r="M616" s="354"/>
      <c r="N616" s="7"/>
      <c r="O616" s="13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spans="2:25" ht="14.25" customHeight="1" x14ac:dyDescent="0.25">
      <c r="B617" s="14"/>
      <c r="C617" s="14"/>
      <c r="D617" s="25"/>
      <c r="E617" s="25"/>
      <c r="F617" s="14"/>
      <c r="G617" s="14"/>
      <c r="H617" s="14"/>
      <c r="I617" s="7"/>
      <c r="J617" s="7"/>
      <c r="K617" s="7"/>
      <c r="L617" s="14"/>
      <c r="M617" s="354"/>
      <c r="N617" s="7"/>
      <c r="O617" s="13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spans="2:25" ht="14.25" customHeight="1" x14ac:dyDescent="0.25">
      <c r="B618" s="14"/>
      <c r="C618" s="14"/>
      <c r="D618" s="25"/>
      <c r="E618" s="25"/>
      <c r="F618" s="14"/>
      <c r="G618" s="14"/>
      <c r="H618" s="14"/>
      <c r="I618" s="7"/>
      <c r="J618" s="7"/>
      <c r="K618" s="7"/>
      <c r="L618" s="14"/>
      <c r="M618" s="354"/>
      <c r="N618" s="7"/>
      <c r="O618" s="13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spans="2:25" ht="14.25" customHeight="1" x14ac:dyDescent="0.25">
      <c r="B619" s="14"/>
      <c r="C619" s="14"/>
      <c r="D619" s="25"/>
      <c r="E619" s="25"/>
      <c r="F619" s="14"/>
      <c r="G619" s="14"/>
      <c r="H619" s="14"/>
      <c r="I619" s="7"/>
      <c r="J619" s="7"/>
      <c r="K619" s="7"/>
      <c r="L619" s="14"/>
      <c r="M619" s="354"/>
      <c r="N619" s="7"/>
      <c r="O619" s="13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spans="2:25" ht="14.25" customHeight="1" x14ac:dyDescent="0.25">
      <c r="B620" s="14"/>
      <c r="C620" s="14"/>
      <c r="D620" s="25"/>
      <c r="E620" s="25"/>
      <c r="F620" s="14"/>
      <c r="G620" s="14"/>
      <c r="H620" s="14"/>
      <c r="I620" s="7"/>
      <c r="J620" s="7"/>
      <c r="K620" s="7"/>
      <c r="L620" s="14"/>
      <c r="M620" s="354"/>
      <c r="N620" s="7"/>
      <c r="O620" s="13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spans="2:25" ht="14.25" customHeight="1" x14ac:dyDescent="0.25">
      <c r="B621" s="14"/>
      <c r="C621" s="14"/>
      <c r="D621" s="25"/>
      <c r="E621" s="25"/>
      <c r="F621" s="14"/>
      <c r="G621" s="14"/>
      <c r="H621" s="14"/>
      <c r="I621" s="7"/>
      <c r="J621" s="7"/>
      <c r="K621" s="7"/>
      <c r="L621" s="14"/>
      <c r="M621" s="354"/>
      <c r="N621" s="7"/>
      <c r="O621" s="13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spans="2:25" ht="14.25" customHeight="1" x14ac:dyDescent="0.25">
      <c r="B622" s="14"/>
      <c r="C622" s="14"/>
      <c r="D622" s="25"/>
      <c r="E622" s="25"/>
      <c r="F622" s="14"/>
      <c r="G622" s="14"/>
      <c r="H622" s="14"/>
      <c r="I622" s="7"/>
      <c r="J622" s="7"/>
      <c r="K622" s="7"/>
      <c r="L622" s="14"/>
      <c r="M622" s="354"/>
      <c r="N622" s="7"/>
      <c r="O622" s="13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spans="2:25" ht="14.25" customHeight="1" x14ac:dyDescent="0.25">
      <c r="B623" s="14"/>
      <c r="C623" s="14"/>
      <c r="D623" s="25"/>
      <c r="E623" s="25"/>
      <c r="F623" s="14"/>
      <c r="G623" s="14"/>
      <c r="H623" s="14"/>
      <c r="I623" s="7"/>
      <c r="J623" s="7"/>
      <c r="K623" s="7"/>
      <c r="L623" s="14"/>
      <c r="M623" s="354"/>
      <c r="N623" s="7"/>
      <c r="O623" s="13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spans="2:25" ht="14.25" customHeight="1" x14ac:dyDescent="0.25">
      <c r="B624" s="14"/>
      <c r="C624" s="14"/>
      <c r="D624" s="25"/>
      <c r="E624" s="25"/>
      <c r="F624" s="14"/>
      <c r="G624" s="14"/>
      <c r="H624" s="14"/>
      <c r="I624" s="7"/>
      <c r="J624" s="7"/>
      <c r="K624" s="7"/>
      <c r="L624" s="14"/>
      <c r="M624" s="354"/>
      <c r="N624" s="7"/>
      <c r="O624" s="13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spans="2:25" ht="14.25" customHeight="1" x14ac:dyDescent="0.25">
      <c r="B625" s="14"/>
      <c r="C625" s="14"/>
      <c r="D625" s="25"/>
      <c r="E625" s="25"/>
      <c r="F625" s="14"/>
      <c r="G625" s="14"/>
      <c r="H625" s="14"/>
      <c r="I625" s="7"/>
      <c r="J625" s="7"/>
      <c r="K625" s="7"/>
      <c r="L625" s="14"/>
      <c r="M625" s="354"/>
      <c r="N625" s="7"/>
      <c r="O625" s="13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spans="2:25" ht="14.25" customHeight="1" x14ac:dyDescent="0.25">
      <c r="B626" s="14"/>
      <c r="C626" s="14"/>
      <c r="D626" s="25"/>
      <c r="E626" s="25"/>
      <c r="F626" s="14"/>
      <c r="G626" s="14"/>
      <c r="H626" s="14"/>
      <c r="I626" s="7"/>
      <c r="J626" s="7"/>
      <c r="K626" s="7"/>
      <c r="L626" s="14"/>
      <c r="M626" s="354"/>
      <c r="N626" s="7"/>
      <c r="O626" s="13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spans="2:25" ht="14.25" customHeight="1" x14ac:dyDescent="0.25">
      <c r="B627" s="14"/>
      <c r="C627" s="14"/>
      <c r="D627" s="25"/>
      <c r="E627" s="25"/>
      <c r="F627" s="14"/>
      <c r="G627" s="14"/>
      <c r="H627" s="14"/>
      <c r="I627" s="7"/>
      <c r="J627" s="7"/>
      <c r="K627" s="7"/>
      <c r="L627" s="14"/>
      <c r="M627" s="354"/>
      <c r="N627" s="7"/>
      <c r="O627" s="13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spans="2:25" ht="14.25" customHeight="1" x14ac:dyDescent="0.25">
      <c r="B628" s="14"/>
      <c r="C628" s="14"/>
      <c r="D628" s="25"/>
      <c r="E628" s="25"/>
      <c r="F628" s="14"/>
      <c r="G628" s="14"/>
      <c r="H628" s="14"/>
      <c r="I628" s="7"/>
      <c r="J628" s="7"/>
      <c r="K628" s="7"/>
      <c r="L628" s="14"/>
      <c r="M628" s="354"/>
      <c r="N628" s="7"/>
      <c r="O628" s="13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spans="2:25" ht="14.25" customHeight="1" x14ac:dyDescent="0.25">
      <c r="B629" s="14"/>
      <c r="C629" s="14"/>
      <c r="D629" s="25"/>
      <c r="E629" s="25"/>
      <c r="F629" s="14"/>
      <c r="G629" s="14"/>
      <c r="H629" s="14"/>
      <c r="I629" s="7"/>
      <c r="J629" s="7"/>
      <c r="K629" s="7"/>
      <c r="L629" s="14"/>
      <c r="M629" s="354"/>
      <c r="N629" s="7"/>
      <c r="O629" s="13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spans="2:25" ht="14.25" customHeight="1" x14ac:dyDescent="0.25">
      <c r="B630" s="14"/>
      <c r="C630" s="14"/>
      <c r="D630" s="25"/>
      <c r="E630" s="25"/>
      <c r="F630" s="14"/>
      <c r="G630" s="14"/>
      <c r="H630" s="14"/>
      <c r="I630" s="7"/>
      <c r="J630" s="7"/>
      <c r="K630" s="7"/>
      <c r="L630" s="14"/>
      <c r="M630" s="354"/>
      <c r="N630" s="7"/>
      <c r="O630" s="13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spans="2:25" ht="14.25" customHeight="1" x14ac:dyDescent="0.25">
      <c r="B631" s="14"/>
      <c r="C631" s="14"/>
      <c r="D631" s="25"/>
      <c r="E631" s="25"/>
      <c r="F631" s="14"/>
      <c r="G631" s="14"/>
      <c r="H631" s="14"/>
      <c r="I631" s="7"/>
      <c r="J631" s="7"/>
      <c r="K631" s="7"/>
      <c r="L631" s="14"/>
      <c r="M631" s="354"/>
      <c r="N631" s="7"/>
      <c r="O631" s="13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spans="2:25" ht="14.25" customHeight="1" x14ac:dyDescent="0.25">
      <c r="B632" s="14"/>
      <c r="C632" s="14"/>
      <c r="D632" s="25"/>
      <c r="E632" s="25"/>
      <c r="F632" s="14"/>
      <c r="G632" s="14"/>
      <c r="H632" s="14"/>
      <c r="I632" s="7"/>
      <c r="J632" s="7"/>
      <c r="K632" s="7"/>
      <c r="L632" s="14"/>
      <c r="M632" s="354"/>
      <c r="N632" s="7"/>
      <c r="O632" s="13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spans="2:25" ht="14.25" customHeight="1" x14ac:dyDescent="0.25">
      <c r="B633" s="14"/>
      <c r="C633" s="14"/>
      <c r="D633" s="25"/>
      <c r="E633" s="25"/>
      <c r="F633" s="14"/>
      <c r="G633" s="14"/>
      <c r="H633" s="14"/>
      <c r="I633" s="7"/>
      <c r="J633" s="7"/>
      <c r="K633" s="7"/>
      <c r="L633" s="14"/>
      <c r="M633" s="354"/>
      <c r="N633" s="7"/>
      <c r="O633" s="13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spans="2:25" ht="14.25" customHeight="1" x14ac:dyDescent="0.25">
      <c r="B634" s="14"/>
      <c r="C634" s="14"/>
      <c r="D634" s="25"/>
      <c r="E634" s="25"/>
      <c r="F634" s="14"/>
      <c r="G634" s="14"/>
      <c r="H634" s="14"/>
      <c r="I634" s="7"/>
      <c r="J634" s="7"/>
      <c r="K634" s="7"/>
      <c r="L634" s="14"/>
      <c r="M634" s="354"/>
      <c r="N634" s="7"/>
      <c r="O634" s="13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spans="2:25" ht="14.25" customHeight="1" x14ac:dyDescent="0.25">
      <c r="B635" s="14"/>
      <c r="C635" s="14"/>
      <c r="D635" s="25"/>
      <c r="E635" s="25"/>
      <c r="F635" s="14"/>
      <c r="G635" s="14"/>
      <c r="H635" s="14"/>
      <c r="I635" s="7"/>
      <c r="J635" s="7"/>
      <c r="K635" s="7"/>
      <c r="L635" s="14"/>
      <c r="M635" s="354"/>
      <c r="N635" s="7"/>
      <c r="O635" s="13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spans="2:25" ht="14.25" customHeight="1" x14ac:dyDescent="0.25">
      <c r="B636" s="14"/>
      <c r="C636" s="14"/>
      <c r="D636" s="25"/>
      <c r="E636" s="25"/>
      <c r="F636" s="14"/>
      <c r="G636" s="14"/>
      <c r="H636" s="14"/>
      <c r="I636" s="7"/>
      <c r="J636" s="7"/>
      <c r="K636" s="7"/>
      <c r="L636" s="14"/>
      <c r="M636" s="354"/>
      <c r="N636" s="7"/>
      <c r="O636" s="13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spans="2:25" ht="14.25" customHeight="1" x14ac:dyDescent="0.25">
      <c r="B637" s="14"/>
      <c r="C637" s="14"/>
      <c r="D637" s="25"/>
      <c r="E637" s="25"/>
      <c r="F637" s="14"/>
      <c r="G637" s="14"/>
      <c r="H637" s="14"/>
      <c r="I637" s="7"/>
      <c r="J637" s="7"/>
      <c r="K637" s="7"/>
      <c r="L637" s="14"/>
      <c r="M637" s="354"/>
      <c r="N637" s="7"/>
      <c r="O637" s="13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spans="2:25" ht="14.25" customHeight="1" x14ac:dyDescent="0.25">
      <c r="B638" s="14"/>
      <c r="C638" s="14"/>
      <c r="D638" s="25"/>
      <c r="E638" s="25"/>
      <c r="F638" s="14"/>
      <c r="G638" s="14"/>
      <c r="H638" s="14"/>
      <c r="I638" s="7"/>
      <c r="J638" s="7"/>
      <c r="K638" s="7"/>
      <c r="L638" s="14"/>
      <c r="M638" s="354"/>
      <c r="N638" s="7"/>
      <c r="O638" s="13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spans="2:25" ht="14.25" customHeight="1" x14ac:dyDescent="0.25">
      <c r="B639" s="14"/>
      <c r="C639" s="14"/>
      <c r="D639" s="25"/>
      <c r="E639" s="25"/>
      <c r="F639" s="14"/>
      <c r="G639" s="14"/>
      <c r="H639" s="14"/>
      <c r="I639" s="7"/>
      <c r="J639" s="7"/>
      <c r="K639" s="7"/>
      <c r="L639" s="14"/>
      <c r="M639" s="354"/>
      <c r="N639" s="7"/>
      <c r="O639" s="13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spans="2:25" ht="14.25" customHeight="1" x14ac:dyDescent="0.25">
      <c r="B640" s="14"/>
      <c r="C640" s="14"/>
      <c r="D640" s="25"/>
      <c r="E640" s="25"/>
      <c r="F640" s="14"/>
      <c r="G640" s="14"/>
      <c r="H640" s="14"/>
      <c r="I640" s="7"/>
      <c r="J640" s="7"/>
      <c r="K640" s="7"/>
      <c r="L640" s="14"/>
      <c r="M640" s="354"/>
      <c r="N640" s="7"/>
      <c r="O640" s="13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spans="2:25" ht="14.25" customHeight="1" x14ac:dyDescent="0.25">
      <c r="B641" s="14"/>
      <c r="C641" s="14"/>
      <c r="D641" s="25"/>
      <c r="E641" s="25"/>
      <c r="F641" s="14"/>
      <c r="G641" s="14"/>
      <c r="H641" s="14"/>
      <c r="I641" s="7"/>
      <c r="J641" s="7"/>
      <c r="K641" s="7"/>
      <c r="L641" s="14"/>
      <c r="M641" s="354"/>
      <c r="N641" s="7"/>
      <c r="O641" s="13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spans="2:25" ht="14.25" customHeight="1" x14ac:dyDescent="0.25">
      <c r="B642" s="14"/>
      <c r="C642" s="14"/>
      <c r="D642" s="25"/>
      <c r="E642" s="25"/>
      <c r="F642" s="14"/>
      <c r="G642" s="14"/>
      <c r="H642" s="14"/>
      <c r="I642" s="7"/>
      <c r="J642" s="7"/>
      <c r="K642" s="7"/>
      <c r="L642" s="14"/>
      <c r="M642" s="354"/>
      <c r="N642" s="7"/>
      <c r="O642" s="13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spans="2:25" ht="14.25" customHeight="1" x14ac:dyDescent="0.25">
      <c r="B643" s="14"/>
      <c r="C643" s="14"/>
      <c r="D643" s="25"/>
      <c r="E643" s="25"/>
      <c r="F643" s="14"/>
      <c r="G643" s="14"/>
      <c r="H643" s="14"/>
      <c r="I643" s="7"/>
      <c r="J643" s="7"/>
      <c r="K643" s="7"/>
      <c r="L643" s="14"/>
      <c r="M643" s="354"/>
      <c r="N643" s="7"/>
      <c r="O643" s="13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spans="2:25" ht="14.25" customHeight="1" x14ac:dyDescent="0.25">
      <c r="B644" s="14"/>
      <c r="C644" s="14"/>
      <c r="D644" s="25"/>
      <c r="E644" s="25"/>
      <c r="F644" s="14"/>
      <c r="G644" s="14"/>
      <c r="H644" s="14"/>
      <c r="I644" s="7"/>
      <c r="J644" s="7"/>
      <c r="K644" s="7"/>
      <c r="L644" s="14"/>
      <c r="M644" s="354"/>
      <c r="N644" s="7"/>
      <c r="O644" s="13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spans="2:25" ht="14.25" customHeight="1" x14ac:dyDescent="0.25">
      <c r="B645" s="14"/>
      <c r="C645" s="14"/>
      <c r="D645" s="25"/>
      <c r="E645" s="25"/>
      <c r="F645" s="14"/>
      <c r="G645" s="14"/>
      <c r="H645" s="14"/>
      <c r="I645" s="7"/>
      <c r="J645" s="7"/>
      <c r="K645" s="7"/>
      <c r="L645" s="14"/>
      <c r="M645" s="354"/>
      <c r="N645" s="7"/>
      <c r="O645" s="13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spans="2:25" ht="14.25" customHeight="1" x14ac:dyDescent="0.25">
      <c r="B646" s="14"/>
      <c r="C646" s="14"/>
      <c r="D646" s="25"/>
      <c r="E646" s="25"/>
      <c r="F646" s="14"/>
      <c r="G646" s="14"/>
      <c r="H646" s="14"/>
      <c r="I646" s="7"/>
      <c r="J646" s="7"/>
      <c r="K646" s="7"/>
      <c r="L646" s="14"/>
      <c r="M646" s="354"/>
      <c r="N646" s="7"/>
      <c r="O646" s="13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spans="2:25" ht="14.25" customHeight="1" x14ac:dyDescent="0.25">
      <c r="B647" s="14"/>
      <c r="C647" s="14"/>
      <c r="D647" s="25"/>
      <c r="E647" s="25"/>
      <c r="F647" s="14"/>
      <c r="G647" s="14"/>
      <c r="H647" s="14"/>
      <c r="I647" s="7"/>
      <c r="J647" s="7"/>
      <c r="K647" s="7"/>
      <c r="L647" s="14"/>
      <c r="M647" s="354"/>
      <c r="N647" s="7"/>
      <c r="O647" s="13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spans="2:25" ht="14.25" customHeight="1" x14ac:dyDescent="0.25">
      <c r="B648" s="14"/>
      <c r="C648" s="14"/>
      <c r="D648" s="25"/>
      <c r="E648" s="25"/>
      <c r="F648" s="14"/>
      <c r="G648" s="14"/>
      <c r="H648" s="14"/>
      <c r="I648" s="7"/>
      <c r="J648" s="7"/>
      <c r="K648" s="7"/>
      <c r="L648" s="14"/>
      <c r="M648" s="354"/>
      <c r="N648" s="7"/>
      <c r="O648" s="13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spans="2:25" ht="14.25" customHeight="1" x14ac:dyDescent="0.25">
      <c r="B649" s="14"/>
      <c r="C649" s="14"/>
      <c r="D649" s="25"/>
      <c r="E649" s="25"/>
      <c r="F649" s="14"/>
      <c r="G649" s="14"/>
      <c r="H649" s="14"/>
      <c r="I649" s="7"/>
      <c r="J649" s="7"/>
      <c r="K649" s="7"/>
      <c r="L649" s="14"/>
      <c r="M649" s="354"/>
      <c r="N649" s="7"/>
      <c r="O649" s="13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spans="2:25" ht="14.25" customHeight="1" x14ac:dyDescent="0.25">
      <c r="B650" s="14"/>
      <c r="C650" s="14"/>
      <c r="D650" s="25"/>
      <c r="E650" s="25"/>
      <c r="F650" s="14"/>
      <c r="G650" s="14"/>
      <c r="H650" s="14"/>
      <c r="I650" s="7"/>
      <c r="J650" s="7"/>
      <c r="K650" s="7"/>
      <c r="L650" s="14"/>
      <c r="M650" s="354"/>
      <c r="N650" s="7"/>
      <c r="O650" s="13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spans="2:25" ht="14.25" customHeight="1" x14ac:dyDescent="0.25">
      <c r="B651" s="14"/>
      <c r="C651" s="14"/>
      <c r="D651" s="25"/>
      <c r="E651" s="25"/>
      <c r="F651" s="14"/>
      <c r="G651" s="14"/>
      <c r="H651" s="14"/>
      <c r="I651" s="7"/>
      <c r="J651" s="7"/>
      <c r="K651" s="7"/>
      <c r="L651" s="14"/>
      <c r="M651" s="354"/>
      <c r="N651" s="7"/>
      <c r="O651" s="13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spans="2:25" ht="14.25" customHeight="1" x14ac:dyDescent="0.25">
      <c r="B652" s="14"/>
      <c r="C652" s="14"/>
      <c r="D652" s="25"/>
      <c r="E652" s="25"/>
      <c r="F652" s="14"/>
      <c r="G652" s="14"/>
      <c r="H652" s="14"/>
      <c r="I652" s="7"/>
      <c r="J652" s="7"/>
      <c r="K652" s="7"/>
      <c r="L652" s="14"/>
      <c r="M652" s="354"/>
      <c r="N652" s="7"/>
      <c r="O652" s="13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spans="2:25" ht="14.25" customHeight="1" x14ac:dyDescent="0.25">
      <c r="B653" s="14"/>
      <c r="C653" s="14"/>
      <c r="D653" s="25"/>
      <c r="E653" s="25"/>
      <c r="F653" s="14"/>
      <c r="G653" s="14"/>
      <c r="H653" s="14"/>
      <c r="I653" s="7"/>
      <c r="J653" s="7"/>
      <c r="K653" s="7"/>
      <c r="L653" s="14"/>
      <c r="M653" s="354"/>
      <c r="N653" s="7"/>
      <c r="O653" s="13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spans="2:25" ht="14.25" customHeight="1" x14ac:dyDescent="0.25">
      <c r="B654" s="14"/>
      <c r="C654" s="14"/>
      <c r="D654" s="25"/>
      <c r="E654" s="25"/>
      <c r="F654" s="14"/>
      <c r="G654" s="14"/>
      <c r="H654" s="14"/>
      <c r="I654" s="7"/>
      <c r="J654" s="7"/>
      <c r="K654" s="7"/>
      <c r="L654" s="14"/>
      <c r="M654" s="354"/>
      <c r="N654" s="7"/>
      <c r="O654" s="13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spans="2:25" ht="14.25" customHeight="1" x14ac:dyDescent="0.25">
      <c r="B655" s="14"/>
      <c r="C655" s="14"/>
      <c r="D655" s="25"/>
      <c r="E655" s="25"/>
      <c r="F655" s="14"/>
      <c r="G655" s="14"/>
      <c r="H655" s="14"/>
      <c r="I655" s="7"/>
      <c r="J655" s="7"/>
      <c r="K655" s="7"/>
      <c r="L655" s="14"/>
      <c r="M655" s="354"/>
      <c r="N655" s="7"/>
      <c r="O655" s="13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spans="2:25" ht="14.25" customHeight="1" x14ac:dyDescent="0.25">
      <c r="B656" s="14"/>
      <c r="C656" s="14"/>
      <c r="D656" s="25"/>
      <c r="E656" s="25"/>
      <c r="F656" s="14"/>
      <c r="G656" s="14"/>
      <c r="H656" s="14"/>
      <c r="I656" s="7"/>
      <c r="J656" s="7"/>
      <c r="K656" s="7"/>
      <c r="L656" s="14"/>
      <c r="M656" s="354"/>
      <c r="N656" s="7"/>
      <c r="O656" s="13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spans="2:25" ht="14.25" customHeight="1" x14ac:dyDescent="0.25">
      <c r="B657" s="14"/>
      <c r="C657" s="14"/>
      <c r="D657" s="25"/>
      <c r="E657" s="25"/>
      <c r="F657" s="14"/>
      <c r="G657" s="14"/>
      <c r="H657" s="14"/>
      <c r="I657" s="7"/>
      <c r="J657" s="7"/>
      <c r="K657" s="7"/>
      <c r="L657" s="14"/>
      <c r="M657" s="354"/>
      <c r="N657" s="7"/>
      <c r="O657" s="13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spans="2:25" ht="14.25" customHeight="1" x14ac:dyDescent="0.25">
      <c r="B658" s="14"/>
      <c r="C658" s="14"/>
      <c r="D658" s="25"/>
      <c r="E658" s="25"/>
      <c r="F658" s="14"/>
      <c r="G658" s="14"/>
      <c r="H658" s="14"/>
      <c r="I658" s="7"/>
      <c r="J658" s="7"/>
      <c r="K658" s="7"/>
      <c r="L658" s="14"/>
      <c r="M658" s="354"/>
      <c r="N658" s="7"/>
      <c r="O658" s="13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spans="2:25" ht="14.25" customHeight="1" x14ac:dyDescent="0.25">
      <c r="B659" s="14"/>
      <c r="C659" s="14"/>
      <c r="D659" s="25"/>
      <c r="E659" s="25"/>
      <c r="F659" s="14"/>
      <c r="G659" s="14"/>
      <c r="H659" s="14"/>
      <c r="I659" s="7"/>
      <c r="J659" s="7"/>
      <c r="K659" s="7"/>
      <c r="L659" s="14"/>
      <c r="M659" s="354"/>
      <c r="N659" s="7"/>
      <c r="O659" s="13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spans="2:25" ht="14.25" customHeight="1" x14ac:dyDescent="0.25">
      <c r="B660" s="14"/>
      <c r="C660" s="14"/>
      <c r="D660" s="25"/>
      <c r="E660" s="25"/>
      <c r="F660" s="14"/>
      <c r="G660" s="14"/>
      <c r="H660" s="14"/>
      <c r="I660" s="7"/>
      <c r="J660" s="7"/>
      <c r="K660" s="7"/>
      <c r="L660" s="14"/>
      <c r="M660" s="354"/>
      <c r="N660" s="7"/>
      <c r="O660" s="13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spans="2:25" ht="14.25" customHeight="1" x14ac:dyDescent="0.25">
      <c r="B661" s="14"/>
      <c r="C661" s="14"/>
      <c r="D661" s="25"/>
      <c r="E661" s="25"/>
      <c r="F661" s="14"/>
      <c r="G661" s="14"/>
      <c r="H661" s="14"/>
      <c r="I661" s="7"/>
      <c r="J661" s="7"/>
      <c r="K661" s="7"/>
      <c r="L661" s="14"/>
      <c r="M661" s="354"/>
      <c r="N661" s="7"/>
      <c r="O661" s="13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spans="2:25" ht="14.25" customHeight="1" x14ac:dyDescent="0.25">
      <c r="B662" s="14"/>
      <c r="C662" s="14"/>
      <c r="D662" s="25"/>
      <c r="E662" s="25"/>
      <c r="F662" s="14"/>
      <c r="G662" s="14"/>
      <c r="H662" s="14"/>
      <c r="I662" s="7"/>
      <c r="J662" s="7"/>
      <c r="K662" s="7"/>
      <c r="L662" s="14"/>
      <c r="M662" s="354"/>
      <c r="N662" s="7"/>
      <c r="O662" s="13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spans="2:25" ht="14.25" customHeight="1" x14ac:dyDescent="0.25">
      <c r="B663" s="14"/>
      <c r="C663" s="14"/>
      <c r="D663" s="25"/>
      <c r="E663" s="25"/>
      <c r="F663" s="14"/>
      <c r="G663" s="14"/>
      <c r="H663" s="14"/>
      <c r="I663" s="7"/>
      <c r="J663" s="7"/>
      <c r="K663" s="7"/>
      <c r="L663" s="14"/>
      <c r="M663" s="354"/>
      <c r="N663" s="7"/>
      <c r="O663" s="13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spans="2:25" ht="14.25" customHeight="1" x14ac:dyDescent="0.25">
      <c r="B664" s="14"/>
      <c r="C664" s="14"/>
      <c r="D664" s="25"/>
      <c r="E664" s="25"/>
      <c r="F664" s="14"/>
      <c r="G664" s="14"/>
      <c r="H664" s="14"/>
      <c r="I664" s="7"/>
      <c r="J664" s="7"/>
      <c r="K664" s="7"/>
      <c r="L664" s="14"/>
      <c r="M664" s="354"/>
      <c r="N664" s="7"/>
      <c r="O664" s="13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spans="2:25" ht="14.25" customHeight="1" x14ac:dyDescent="0.25">
      <c r="B665" s="14"/>
      <c r="C665" s="14"/>
      <c r="D665" s="25"/>
      <c r="E665" s="25"/>
      <c r="F665" s="14"/>
      <c r="G665" s="14"/>
      <c r="H665" s="14"/>
      <c r="I665" s="7"/>
      <c r="J665" s="7"/>
      <c r="K665" s="7"/>
      <c r="L665" s="14"/>
      <c r="M665" s="354"/>
      <c r="N665" s="7"/>
      <c r="O665" s="13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spans="2:25" ht="14.25" customHeight="1" x14ac:dyDescent="0.25">
      <c r="B666" s="14"/>
      <c r="C666" s="14"/>
      <c r="D666" s="25"/>
      <c r="E666" s="25"/>
      <c r="F666" s="14"/>
      <c r="G666" s="14"/>
      <c r="H666" s="14"/>
      <c r="I666" s="7"/>
      <c r="J666" s="7"/>
      <c r="K666" s="7"/>
      <c r="L666" s="14"/>
      <c r="M666" s="354"/>
      <c r="N666" s="7"/>
      <c r="O666" s="13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spans="2:25" ht="14.25" customHeight="1" x14ac:dyDescent="0.25">
      <c r="B667" s="14"/>
      <c r="C667" s="14"/>
      <c r="D667" s="25"/>
      <c r="E667" s="25"/>
      <c r="F667" s="14"/>
      <c r="G667" s="14"/>
      <c r="H667" s="14"/>
      <c r="I667" s="7"/>
      <c r="J667" s="7"/>
      <c r="K667" s="7"/>
      <c r="L667" s="14"/>
      <c r="M667" s="354"/>
      <c r="N667" s="7"/>
      <c r="O667" s="13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spans="2:25" ht="14.25" customHeight="1" x14ac:dyDescent="0.25">
      <c r="B668" s="14"/>
      <c r="C668" s="14"/>
      <c r="D668" s="25"/>
      <c r="E668" s="25"/>
      <c r="F668" s="14"/>
      <c r="G668" s="14"/>
      <c r="H668" s="14"/>
      <c r="I668" s="7"/>
      <c r="J668" s="7"/>
      <c r="K668" s="7"/>
      <c r="L668" s="14"/>
      <c r="M668" s="354"/>
      <c r="N668" s="7"/>
      <c r="O668" s="13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spans="2:25" ht="14.25" customHeight="1" x14ac:dyDescent="0.25">
      <c r="B669" s="14"/>
      <c r="C669" s="14"/>
      <c r="D669" s="25"/>
      <c r="E669" s="25"/>
      <c r="F669" s="14"/>
      <c r="G669" s="14"/>
      <c r="H669" s="14"/>
      <c r="I669" s="7"/>
      <c r="J669" s="7"/>
      <c r="K669" s="7"/>
      <c r="L669" s="14"/>
      <c r="M669" s="354"/>
      <c r="N669" s="7"/>
      <c r="O669" s="13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spans="2:25" ht="14.25" customHeight="1" x14ac:dyDescent="0.25">
      <c r="B670" s="14"/>
      <c r="C670" s="14"/>
      <c r="D670" s="25"/>
      <c r="E670" s="25"/>
      <c r="F670" s="14"/>
      <c r="G670" s="14"/>
      <c r="H670" s="14"/>
      <c r="I670" s="7"/>
      <c r="J670" s="7"/>
      <c r="K670" s="7"/>
      <c r="L670" s="14"/>
      <c r="M670" s="354"/>
      <c r="N670" s="7"/>
      <c r="O670" s="13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spans="2:25" ht="14.25" customHeight="1" x14ac:dyDescent="0.25">
      <c r="B671" s="14"/>
      <c r="C671" s="14"/>
      <c r="D671" s="25"/>
      <c r="E671" s="25"/>
      <c r="F671" s="14"/>
      <c r="G671" s="14"/>
      <c r="H671" s="14"/>
      <c r="I671" s="7"/>
      <c r="J671" s="7"/>
      <c r="K671" s="7"/>
      <c r="L671" s="14"/>
      <c r="M671" s="354"/>
      <c r="N671" s="7"/>
      <c r="O671" s="13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spans="2:25" ht="14.25" customHeight="1" x14ac:dyDescent="0.25">
      <c r="B672" s="14"/>
      <c r="C672" s="14"/>
      <c r="D672" s="25"/>
      <c r="E672" s="25"/>
      <c r="F672" s="14"/>
      <c r="G672" s="14"/>
      <c r="H672" s="14"/>
      <c r="I672" s="7"/>
      <c r="J672" s="7"/>
      <c r="K672" s="7"/>
      <c r="L672" s="14"/>
      <c r="M672" s="354"/>
      <c r="N672" s="7"/>
      <c r="O672" s="13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spans="2:25" ht="14.25" customHeight="1" x14ac:dyDescent="0.25">
      <c r="B673" s="14"/>
      <c r="C673" s="14"/>
      <c r="D673" s="25"/>
      <c r="E673" s="25"/>
      <c r="F673" s="14"/>
      <c r="G673" s="14"/>
      <c r="H673" s="14"/>
      <c r="I673" s="7"/>
      <c r="J673" s="7"/>
      <c r="K673" s="7"/>
      <c r="L673" s="14"/>
      <c r="M673" s="354"/>
      <c r="N673" s="7"/>
      <c r="O673" s="13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spans="2:25" ht="14.25" customHeight="1" x14ac:dyDescent="0.25">
      <c r="B674" s="14"/>
      <c r="C674" s="14"/>
      <c r="D674" s="25"/>
      <c r="E674" s="25"/>
      <c r="F674" s="14"/>
      <c r="G674" s="14"/>
      <c r="H674" s="14"/>
      <c r="I674" s="7"/>
      <c r="J674" s="7"/>
      <c r="K674" s="7"/>
      <c r="L674" s="14"/>
      <c r="M674" s="354"/>
      <c r="N674" s="7"/>
      <c r="O674" s="13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spans="2:25" ht="14.25" customHeight="1" x14ac:dyDescent="0.25">
      <c r="B675" s="14"/>
      <c r="C675" s="14"/>
      <c r="D675" s="25"/>
      <c r="E675" s="25"/>
      <c r="F675" s="14"/>
      <c r="G675" s="14"/>
      <c r="H675" s="14"/>
      <c r="I675" s="7"/>
      <c r="J675" s="7"/>
      <c r="K675" s="7"/>
      <c r="L675" s="14"/>
      <c r="M675" s="354"/>
      <c r="N675" s="7"/>
      <c r="O675" s="13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spans="2:25" ht="14.25" customHeight="1" x14ac:dyDescent="0.25">
      <c r="B676" s="14"/>
      <c r="C676" s="14"/>
      <c r="D676" s="25"/>
      <c r="E676" s="25"/>
      <c r="F676" s="14"/>
      <c r="G676" s="14"/>
      <c r="H676" s="14"/>
      <c r="I676" s="7"/>
      <c r="J676" s="7"/>
      <c r="K676" s="7"/>
      <c r="L676" s="14"/>
      <c r="M676" s="354"/>
      <c r="N676" s="7"/>
      <c r="O676" s="13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spans="2:25" ht="14.25" customHeight="1" x14ac:dyDescent="0.25">
      <c r="B677" s="14"/>
      <c r="C677" s="14"/>
      <c r="D677" s="25"/>
      <c r="E677" s="25"/>
      <c r="F677" s="14"/>
      <c r="G677" s="14"/>
      <c r="H677" s="14"/>
      <c r="I677" s="7"/>
      <c r="J677" s="7"/>
      <c r="K677" s="7"/>
      <c r="L677" s="14"/>
      <c r="M677" s="354"/>
      <c r="N677" s="7"/>
      <c r="O677" s="13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spans="2:25" ht="14.25" customHeight="1" x14ac:dyDescent="0.25">
      <c r="B678" s="14"/>
      <c r="C678" s="14"/>
      <c r="D678" s="25"/>
      <c r="E678" s="25"/>
      <c r="F678" s="14"/>
      <c r="G678" s="14"/>
      <c r="H678" s="14"/>
      <c r="I678" s="7"/>
      <c r="J678" s="7"/>
      <c r="K678" s="7"/>
      <c r="L678" s="14"/>
      <c r="M678" s="354"/>
      <c r="N678" s="7"/>
      <c r="O678" s="13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spans="2:25" ht="14.25" customHeight="1" x14ac:dyDescent="0.25">
      <c r="B679" s="14"/>
      <c r="C679" s="14"/>
      <c r="D679" s="25"/>
      <c r="E679" s="25"/>
      <c r="F679" s="14"/>
      <c r="G679" s="14"/>
      <c r="H679" s="14"/>
      <c r="I679" s="7"/>
      <c r="J679" s="7"/>
      <c r="K679" s="7"/>
      <c r="L679" s="14"/>
      <c r="M679" s="354"/>
      <c r="N679" s="7"/>
      <c r="O679" s="13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spans="2:25" ht="14.25" customHeight="1" x14ac:dyDescent="0.25">
      <c r="B680" s="14"/>
      <c r="C680" s="14"/>
      <c r="D680" s="25"/>
      <c r="E680" s="25"/>
      <c r="F680" s="14"/>
      <c r="G680" s="14"/>
      <c r="H680" s="14"/>
      <c r="I680" s="7"/>
      <c r="J680" s="7"/>
      <c r="K680" s="7"/>
      <c r="L680" s="14"/>
      <c r="M680" s="354"/>
      <c r="N680" s="7"/>
      <c r="O680" s="13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spans="2:25" ht="14.25" customHeight="1" x14ac:dyDescent="0.25">
      <c r="B681" s="14"/>
      <c r="C681" s="14"/>
      <c r="D681" s="25"/>
      <c r="E681" s="25"/>
      <c r="F681" s="14"/>
      <c r="G681" s="14"/>
      <c r="H681" s="14"/>
      <c r="I681" s="7"/>
      <c r="J681" s="7"/>
      <c r="K681" s="7"/>
      <c r="L681" s="14"/>
      <c r="M681" s="354"/>
      <c r="N681" s="7"/>
      <c r="O681" s="13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spans="2:25" ht="14.25" customHeight="1" x14ac:dyDescent="0.25">
      <c r="B682" s="14"/>
      <c r="C682" s="14"/>
      <c r="D682" s="25"/>
      <c r="E682" s="25"/>
      <c r="F682" s="14"/>
      <c r="G682" s="14"/>
      <c r="H682" s="14"/>
      <c r="I682" s="7"/>
      <c r="J682" s="7"/>
      <c r="K682" s="7"/>
      <c r="L682" s="14"/>
      <c r="M682" s="354"/>
      <c r="N682" s="7"/>
      <c r="O682" s="13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spans="2:25" ht="14.25" customHeight="1" x14ac:dyDescent="0.25">
      <c r="B683" s="14"/>
      <c r="C683" s="14"/>
      <c r="D683" s="25"/>
      <c r="E683" s="25"/>
      <c r="F683" s="14"/>
      <c r="G683" s="14"/>
      <c r="H683" s="14"/>
      <c r="I683" s="7"/>
      <c r="J683" s="7"/>
      <c r="K683" s="7"/>
      <c r="L683" s="14"/>
      <c r="M683" s="354"/>
      <c r="N683" s="7"/>
      <c r="O683" s="13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spans="2:25" ht="14.25" customHeight="1" x14ac:dyDescent="0.25">
      <c r="B684" s="14"/>
      <c r="C684" s="14"/>
      <c r="D684" s="25"/>
      <c r="E684" s="25"/>
      <c r="F684" s="14"/>
      <c r="G684" s="14"/>
      <c r="H684" s="14"/>
      <c r="I684" s="7"/>
      <c r="J684" s="7"/>
      <c r="K684" s="7"/>
      <c r="L684" s="14"/>
      <c r="M684" s="354"/>
      <c r="N684" s="7"/>
      <c r="O684" s="13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spans="2:25" ht="14.25" customHeight="1" x14ac:dyDescent="0.25">
      <c r="B685" s="14"/>
      <c r="C685" s="14"/>
      <c r="D685" s="25"/>
      <c r="E685" s="25"/>
      <c r="F685" s="14"/>
      <c r="G685" s="14"/>
      <c r="H685" s="14"/>
      <c r="I685" s="7"/>
      <c r="J685" s="7"/>
      <c r="K685" s="7"/>
      <c r="L685" s="14"/>
      <c r="M685" s="354"/>
      <c r="N685" s="7"/>
      <c r="O685" s="13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spans="2:25" ht="14.25" customHeight="1" x14ac:dyDescent="0.25">
      <c r="B686" s="14"/>
      <c r="C686" s="14"/>
      <c r="D686" s="25"/>
      <c r="E686" s="25"/>
      <c r="F686" s="14"/>
      <c r="G686" s="14"/>
      <c r="H686" s="14"/>
      <c r="I686" s="7"/>
      <c r="J686" s="7"/>
      <c r="K686" s="7"/>
      <c r="L686" s="14"/>
      <c r="M686" s="354"/>
      <c r="N686" s="7"/>
      <c r="O686" s="13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spans="2:25" ht="14.25" customHeight="1" x14ac:dyDescent="0.25">
      <c r="B687" s="14"/>
      <c r="C687" s="14"/>
      <c r="D687" s="25"/>
      <c r="E687" s="25"/>
      <c r="F687" s="14"/>
      <c r="G687" s="14"/>
      <c r="H687" s="14"/>
      <c r="I687" s="7"/>
      <c r="J687" s="7"/>
      <c r="K687" s="7"/>
      <c r="L687" s="14"/>
      <c r="M687" s="354"/>
      <c r="N687" s="7"/>
      <c r="O687" s="13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spans="2:25" ht="14.25" customHeight="1" x14ac:dyDescent="0.25">
      <c r="B688" s="14"/>
      <c r="C688" s="14"/>
      <c r="D688" s="25"/>
      <c r="E688" s="25"/>
      <c r="F688" s="14"/>
      <c r="G688" s="14"/>
      <c r="H688" s="14"/>
      <c r="I688" s="7"/>
      <c r="J688" s="7"/>
      <c r="K688" s="7"/>
      <c r="L688" s="14"/>
      <c r="M688" s="354"/>
      <c r="N688" s="7"/>
      <c r="O688" s="13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spans="2:25" ht="14.25" customHeight="1" x14ac:dyDescent="0.25">
      <c r="B689" s="14"/>
      <c r="C689" s="14"/>
      <c r="D689" s="25"/>
      <c r="E689" s="25"/>
      <c r="F689" s="14"/>
      <c r="G689" s="14"/>
      <c r="H689" s="14"/>
      <c r="I689" s="7"/>
      <c r="J689" s="7"/>
      <c r="K689" s="7"/>
      <c r="L689" s="14"/>
      <c r="M689" s="354"/>
      <c r="N689" s="7"/>
      <c r="O689" s="13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spans="2:25" ht="14.25" customHeight="1" x14ac:dyDescent="0.25">
      <c r="B690" s="14"/>
      <c r="C690" s="14"/>
      <c r="D690" s="25"/>
      <c r="E690" s="25"/>
      <c r="F690" s="14"/>
      <c r="G690" s="14"/>
      <c r="H690" s="14"/>
      <c r="I690" s="7"/>
      <c r="J690" s="7"/>
      <c r="K690" s="7"/>
      <c r="L690" s="14"/>
      <c r="M690" s="354"/>
      <c r="N690" s="7"/>
      <c r="O690" s="13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spans="2:25" ht="14.25" customHeight="1" x14ac:dyDescent="0.25">
      <c r="B691" s="14"/>
      <c r="C691" s="14"/>
      <c r="D691" s="25"/>
      <c r="E691" s="25"/>
      <c r="F691" s="14"/>
      <c r="G691" s="14"/>
      <c r="H691" s="14"/>
      <c r="I691" s="7"/>
      <c r="J691" s="7"/>
      <c r="K691" s="7"/>
      <c r="L691" s="14"/>
      <c r="M691" s="354"/>
      <c r="N691" s="7"/>
      <c r="O691" s="13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spans="2:25" ht="14.25" customHeight="1" x14ac:dyDescent="0.25">
      <c r="B692" s="14"/>
      <c r="C692" s="14"/>
      <c r="D692" s="25"/>
      <c r="E692" s="25"/>
      <c r="F692" s="14"/>
      <c r="G692" s="14"/>
      <c r="H692" s="14"/>
      <c r="I692" s="7"/>
      <c r="J692" s="7"/>
      <c r="K692" s="7"/>
      <c r="L692" s="14"/>
      <c r="M692" s="354"/>
      <c r="N692" s="7"/>
      <c r="O692" s="13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spans="2:25" ht="14.25" customHeight="1" x14ac:dyDescent="0.25">
      <c r="B693" s="14"/>
      <c r="C693" s="14"/>
      <c r="D693" s="25"/>
      <c r="E693" s="25"/>
      <c r="F693" s="14"/>
      <c r="G693" s="14"/>
      <c r="H693" s="14"/>
      <c r="I693" s="7"/>
      <c r="J693" s="7"/>
      <c r="K693" s="7"/>
      <c r="L693" s="14"/>
      <c r="M693" s="354"/>
      <c r="N693" s="7"/>
      <c r="O693" s="13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spans="2:25" ht="14.25" customHeight="1" x14ac:dyDescent="0.25">
      <c r="B694" s="14"/>
      <c r="C694" s="14"/>
      <c r="D694" s="25"/>
      <c r="E694" s="25"/>
      <c r="F694" s="14"/>
      <c r="G694" s="14"/>
      <c r="H694" s="14"/>
      <c r="I694" s="7"/>
      <c r="J694" s="7"/>
      <c r="K694" s="7"/>
      <c r="L694" s="14"/>
      <c r="M694" s="354"/>
      <c r="N694" s="7"/>
      <c r="O694" s="13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spans="2:25" ht="14.25" customHeight="1" x14ac:dyDescent="0.25">
      <c r="B695" s="14"/>
      <c r="C695" s="14"/>
      <c r="D695" s="25"/>
      <c r="E695" s="25"/>
      <c r="F695" s="14"/>
      <c r="G695" s="14"/>
      <c r="H695" s="14"/>
      <c r="I695" s="7"/>
      <c r="J695" s="7"/>
      <c r="K695" s="7"/>
      <c r="L695" s="14"/>
      <c r="M695" s="354"/>
      <c r="N695" s="7"/>
      <c r="O695" s="13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spans="2:25" ht="14.25" customHeight="1" x14ac:dyDescent="0.25">
      <c r="B696" s="14"/>
      <c r="C696" s="14"/>
      <c r="D696" s="25"/>
      <c r="E696" s="25"/>
      <c r="F696" s="14"/>
      <c r="G696" s="14"/>
      <c r="H696" s="14"/>
      <c r="I696" s="7"/>
      <c r="J696" s="7"/>
      <c r="K696" s="7"/>
      <c r="L696" s="14"/>
      <c r="M696" s="354"/>
      <c r="N696" s="7"/>
      <c r="O696" s="13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spans="2:25" ht="14.25" customHeight="1" x14ac:dyDescent="0.25">
      <c r="B697" s="14"/>
      <c r="C697" s="14"/>
      <c r="D697" s="25"/>
      <c r="E697" s="25"/>
      <c r="F697" s="14"/>
      <c r="G697" s="14"/>
      <c r="H697" s="14"/>
      <c r="I697" s="7"/>
      <c r="J697" s="7"/>
      <c r="K697" s="7"/>
      <c r="L697" s="14"/>
      <c r="M697" s="354"/>
      <c r="N697" s="7"/>
      <c r="O697" s="13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spans="2:25" ht="14.25" customHeight="1" x14ac:dyDescent="0.25">
      <c r="B698" s="14"/>
      <c r="C698" s="14"/>
      <c r="D698" s="25"/>
      <c r="E698" s="25"/>
      <c r="F698" s="14"/>
      <c r="G698" s="14"/>
      <c r="H698" s="14"/>
      <c r="I698" s="7"/>
      <c r="J698" s="7"/>
      <c r="K698" s="7"/>
      <c r="L698" s="14"/>
      <c r="M698" s="354"/>
      <c r="N698" s="7"/>
      <c r="O698" s="13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spans="2:25" ht="14.25" customHeight="1" x14ac:dyDescent="0.25">
      <c r="B699" s="14"/>
      <c r="C699" s="14"/>
      <c r="D699" s="25"/>
      <c r="E699" s="25"/>
      <c r="F699" s="14"/>
      <c r="G699" s="14"/>
      <c r="H699" s="14"/>
      <c r="I699" s="7"/>
      <c r="J699" s="7"/>
      <c r="K699" s="7"/>
      <c r="L699" s="14"/>
      <c r="M699" s="354"/>
      <c r="N699" s="7"/>
      <c r="O699" s="13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spans="2:25" ht="14.25" customHeight="1" x14ac:dyDescent="0.25">
      <c r="B700" s="14"/>
      <c r="C700" s="14"/>
      <c r="D700" s="25"/>
      <c r="E700" s="25"/>
      <c r="F700" s="14"/>
      <c r="G700" s="14"/>
      <c r="H700" s="14"/>
      <c r="I700" s="7"/>
      <c r="J700" s="7"/>
      <c r="K700" s="7"/>
      <c r="L700" s="14"/>
      <c r="M700" s="354"/>
      <c r="N700" s="7"/>
      <c r="O700" s="13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spans="2:25" ht="14.25" customHeight="1" x14ac:dyDescent="0.25">
      <c r="B701" s="14"/>
      <c r="C701" s="14"/>
      <c r="D701" s="25"/>
      <c r="E701" s="25"/>
      <c r="F701" s="14"/>
      <c r="G701" s="14"/>
      <c r="H701" s="14"/>
      <c r="I701" s="7"/>
      <c r="J701" s="7"/>
      <c r="K701" s="7"/>
      <c r="L701" s="14"/>
      <c r="M701" s="354"/>
      <c r="N701" s="7"/>
      <c r="O701" s="13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spans="2:25" ht="14.25" customHeight="1" x14ac:dyDescent="0.25">
      <c r="B702" s="14"/>
      <c r="C702" s="14"/>
      <c r="D702" s="25"/>
      <c r="E702" s="25"/>
      <c r="F702" s="14"/>
      <c r="G702" s="14"/>
      <c r="H702" s="14"/>
      <c r="I702" s="7"/>
      <c r="J702" s="7"/>
      <c r="K702" s="7"/>
      <c r="L702" s="14"/>
      <c r="M702" s="354"/>
      <c r="N702" s="7"/>
      <c r="O702" s="13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spans="2:25" ht="14.25" customHeight="1" x14ac:dyDescent="0.25">
      <c r="B703" s="14"/>
      <c r="C703" s="14"/>
      <c r="D703" s="25"/>
      <c r="E703" s="25"/>
      <c r="F703" s="14"/>
      <c r="G703" s="14"/>
      <c r="H703" s="14"/>
      <c r="I703" s="7"/>
      <c r="J703" s="7"/>
      <c r="K703" s="7"/>
      <c r="L703" s="14"/>
      <c r="M703" s="354"/>
      <c r="N703" s="7"/>
      <c r="O703" s="13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spans="2:25" ht="14.25" customHeight="1" x14ac:dyDescent="0.25">
      <c r="B704" s="14"/>
      <c r="C704" s="14"/>
      <c r="D704" s="25"/>
      <c r="E704" s="25"/>
      <c r="F704" s="14"/>
      <c r="G704" s="14"/>
      <c r="H704" s="14"/>
      <c r="I704" s="7"/>
      <c r="J704" s="7"/>
      <c r="K704" s="7"/>
      <c r="L704" s="14"/>
      <c r="M704" s="354"/>
      <c r="N704" s="7"/>
      <c r="O704" s="13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spans="2:25" ht="14.25" customHeight="1" x14ac:dyDescent="0.25">
      <c r="B705" s="14"/>
      <c r="C705" s="14"/>
      <c r="D705" s="25"/>
      <c r="E705" s="25"/>
      <c r="F705" s="14"/>
      <c r="G705" s="14"/>
      <c r="H705" s="14"/>
      <c r="I705" s="7"/>
      <c r="J705" s="7"/>
      <c r="K705" s="7"/>
      <c r="L705" s="14"/>
      <c r="M705" s="354"/>
      <c r="N705" s="7"/>
      <c r="O705" s="13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spans="2:25" ht="14.25" customHeight="1" x14ac:dyDescent="0.25">
      <c r="B706" s="14"/>
      <c r="C706" s="14"/>
      <c r="D706" s="25"/>
      <c r="E706" s="25"/>
      <c r="F706" s="14"/>
      <c r="G706" s="14"/>
      <c r="H706" s="14"/>
      <c r="I706" s="7"/>
      <c r="J706" s="7"/>
      <c r="K706" s="7"/>
      <c r="L706" s="14"/>
      <c r="M706" s="354"/>
      <c r="N706" s="7"/>
      <c r="O706" s="13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spans="2:25" ht="14.25" customHeight="1" x14ac:dyDescent="0.25">
      <c r="B707" s="14"/>
      <c r="C707" s="14"/>
      <c r="D707" s="25"/>
      <c r="E707" s="25"/>
      <c r="F707" s="14"/>
      <c r="G707" s="14"/>
      <c r="H707" s="14"/>
      <c r="I707" s="7"/>
      <c r="J707" s="7"/>
      <c r="K707" s="7"/>
      <c r="L707" s="14"/>
      <c r="M707" s="354"/>
      <c r="N707" s="7"/>
      <c r="O707" s="13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spans="2:25" ht="14.25" customHeight="1" x14ac:dyDescent="0.25">
      <c r="B708" s="14"/>
      <c r="C708" s="14"/>
      <c r="D708" s="25"/>
      <c r="E708" s="25"/>
      <c r="F708" s="14"/>
      <c r="G708" s="14"/>
      <c r="H708" s="14"/>
      <c r="I708" s="7"/>
      <c r="J708" s="7"/>
      <c r="K708" s="7"/>
      <c r="L708" s="14"/>
      <c r="M708" s="354"/>
      <c r="N708" s="7"/>
      <c r="O708" s="13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spans="2:25" ht="14.25" customHeight="1" x14ac:dyDescent="0.25">
      <c r="B709" s="14"/>
      <c r="C709" s="14"/>
      <c r="D709" s="25"/>
      <c r="E709" s="25"/>
      <c r="F709" s="14"/>
      <c r="G709" s="14"/>
      <c r="H709" s="14"/>
      <c r="I709" s="7"/>
      <c r="J709" s="7"/>
      <c r="K709" s="7"/>
      <c r="L709" s="14"/>
      <c r="M709" s="354"/>
      <c r="N709" s="7"/>
      <c r="O709" s="13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spans="2:25" ht="14.25" customHeight="1" x14ac:dyDescent="0.25">
      <c r="B710" s="14"/>
      <c r="C710" s="14"/>
      <c r="D710" s="25"/>
      <c r="E710" s="25"/>
      <c r="F710" s="14"/>
      <c r="G710" s="14"/>
      <c r="H710" s="14"/>
      <c r="I710" s="7"/>
      <c r="J710" s="7"/>
      <c r="K710" s="7"/>
      <c r="L710" s="14"/>
      <c r="M710" s="354"/>
      <c r="N710" s="7"/>
      <c r="O710" s="13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spans="2:25" ht="14.25" customHeight="1" x14ac:dyDescent="0.25">
      <c r="B711" s="14"/>
      <c r="C711" s="14"/>
      <c r="D711" s="25"/>
      <c r="E711" s="25"/>
      <c r="F711" s="14"/>
      <c r="G711" s="14"/>
      <c r="H711" s="14"/>
      <c r="I711" s="7"/>
      <c r="J711" s="7"/>
      <c r="K711" s="7"/>
      <c r="L711" s="14"/>
      <c r="M711" s="354"/>
      <c r="N711" s="7"/>
      <c r="O711" s="13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spans="2:25" ht="14.25" customHeight="1" x14ac:dyDescent="0.25">
      <c r="B712" s="14"/>
      <c r="C712" s="14"/>
      <c r="D712" s="25"/>
      <c r="E712" s="25"/>
      <c r="F712" s="14"/>
      <c r="G712" s="14"/>
      <c r="H712" s="14"/>
      <c r="I712" s="7"/>
      <c r="J712" s="7"/>
      <c r="K712" s="7"/>
      <c r="L712" s="14"/>
      <c r="M712" s="354"/>
      <c r="N712" s="7"/>
      <c r="O712" s="13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spans="2:25" ht="14.25" customHeight="1" x14ac:dyDescent="0.25">
      <c r="B713" s="14"/>
      <c r="C713" s="14"/>
      <c r="D713" s="25"/>
      <c r="E713" s="25"/>
      <c r="F713" s="14"/>
      <c r="G713" s="14"/>
      <c r="H713" s="14"/>
      <c r="I713" s="7"/>
      <c r="J713" s="7"/>
      <c r="K713" s="7"/>
      <c r="L713" s="14"/>
      <c r="M713" s="354"/>
      <c r="N713" s="7"/>
      <c r="O713" s="13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spans="2:25" ht="14.25" customHeight="1" x14ac:dyDescent="0.25">
      <c r="B714" s="14"/>
      <c r="C714" s="14"/>
      <c r="D714" s="25"/>
      <c r="E714" s="25"/>
      <c r="F714" s="14"/>
      <c r="G714" s="14"/>
      <c r="H714" s="14"/>
      <c r="I714" s="7"/>
      <c r="J714" s="7"/>
      <c r="K714" s="7"/>
      <c r="L714" s="14"/>
      <c r="M714" s="354"/>
      <c r="N714" s="7"/>
      <c r="O714" s="13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spans="2:25" ht="14.25" customHeight="1" x14ac:dyDescent="0.25">
      <c r="B715" s="14"/>
      <c r="C715" s="14"/>
      <c r="D715" s="25"/>
      <c r="E715" s="25"/>
      <c r="F715" s="14"/>
      <c r="G715" s="14"/>
      <c r="H715" s="14"/>
      <c r="I715" s="7"/>
      <c r="J715" s="7"/>
      <c r="K715" s="7"/>
      <c r="L715" s="14"/>
      <c r="M715" s="354"/>
      <c r="N715" s="7"/>
      <c r="O715" s="13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spans="2:25" ht="14.25" customHeight="1" x14ac:dyDescent="0.25">
      <c r="B716" s="14"/>
      <c r="C716" s="14"/>
      <c r="D716" s="25"/>
      <c r="E716" s="25"/>
      <c r="F716" s="14"/>
      <c r="G716" s="14"/>
      <c r="H716" s="14"/>
      <c r="I716" s="7"/>
      <c r="J716" s="7"/>
      <c r="K716" s="7"/>
      <c r="L716" s="14"/>
      <c r="M716" s="354"/>
      <c r="N716" s="7"/>
      <c r="O716" s="13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spans="2:25" ht="14.25" customHeight="1" x14ac:dyDescent="0.25">
      <c r="B717" s="14"/>
      <c r="C717" s="14"/>
      <c r="D717" s="25"/>
      <c r="E717" s="25"/>
      <c r="F717" s="14"/>
      <c r="G717" s="14"/>
      <c r="H717" s="14"/>
      <c r="I717" s="7"/>
      <c r="J717" s="7"/>
      <c r="K717" s="7"/>
      <c r="L717" s="14"/>
      <c r="M717" s="354"/>
      <c r="N717" s="7"/>
      <c r="O717" s="13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spans="2:25" ht="14.25" customHeight="1" x14ac:dyDescent="0.25">
      <c r="B718" s="14"/>
      <c r="C718" s="14"/>
      <c r="D718" s="25"/>
      <c r="E718" s="25"/>
      <c r="F718" s="14"/>
      <c r="G718" s="14"/>
      <c r="H718" s="14"/>
      <c r="I718" s="7"/>
      <c r="J718" s="7"/>
      <c r="K718" s="7"/>
      <c r="L718" s="14"/>
      <c r="M718" s="354"/>
      <c r="N718" s="7"/>
      <c r="O718" s="13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spans="2:25" ht="14.25" customHeight="1" x14ac:dyDescent="0.25">
      <c r="B719" s="14"/>
      <c r="C719" s="14"/>
      <c r="D719" s="25"/>
      <c r="E719" s="25"/>
      <c r="F719" s="14"/>
      <c r="G719" s="14"/>
      <c r="H719" s="14"/>
      <c r="I719" s="7"/>
      <c r="J719" s="7"/>
      <c r="K719" s="7"/>
      <c r="L719" s="14"/>
      <c r="M719" s="354"/>
      <c r="N719" s="7"/>
      <c r="O719" s="13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spans="2:25" ht="14.25" customHeight="1" x14ac:dyDescent="0.25">
      <c r="B720" s="14"/>
      <c r="C720" s="14"/>
      <c r="D720" s="25"/>
      <c r="E720" s="25"/>
      <c r="F720" s="14"/>
      <c r="G720" s="14"/>
      <c r="H720" s="14"/>
      <c r="I720" s="7"/>
      <c r="J720" s="7"/>
      <c r="K720" s="7"/>
      <c r="L720" s="14"/>
      <c r="M720" s="354"/>
      <c r="N720" s="7"/>
      <c r="O720" s="13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spans="2:25" ht="14.25" customHeight="1" x14ac:dyDescent="0.25">
      <c r="B721" s="14"/>
      <c r="C721" s="14"/>
      <c r="D721" s="25"/>
      <c r="E721" s="25"/>
      <c r="F721" s="14"/>
      <c r="G721" s="14"/>
      <c r="H721" s="14"/>
      <c r="I721" s="7"/>
      <c r="J721" s="7"/>
      <c r="K721" s="7"/>
      <c r="L721" s="14"/>
      <c r="M721" s="354"/>
      <c r="N721" s="7"/>
      <c r="O721" s="13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spans="2:25" ht="14.25" customHeight="1" x14ac:dyDescent="0.25">
      <c r="B722" s="14"/>
      <c r="C722" s="14"/>
      <c r="D722" s="25"/>
      <c r="E722" s="25"/>
      <c r="F722" s="14"/>
      <c r="G722" s="14"/>
      <c r="H722" s="14"/>
      <c r="I722" s="7"/>
      <c r="J722" s="7"/>
      <c r="K722" s="7"/>
      <c r="L722" s="14"/>
      <c r="M722" s="354"/>
      <c r="N722" s="7"/>
      <c r="O722" s="13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spans="2:25" ht="14.25" customHeight="1" x14ac:dyDescent="0.25">
      <c r="B723" s="14"/>
      <c r="C723" s="14"/>
      <c r="D723" s="25"/>
      <c r="E723" s="25"/>
      <c r="F723" s="14"/>
      <c r="G723" s="14"/>
      <c r="H723" s="14"/>
      <c r="I723" s="7"/>
      <c r="J723" s="7"/>
      <c r="K723" s="7"/>
      <c r="L723" s="14"/>
      <c r="M723" s="354"/>
      <c r="N723" s="7"/>
      <c r="O723" s="13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spans="2:25" ht="14.25" customHeight="1" x14ac:dyDescent="0.25">
      <c r="B724" s="14"/>
      <c r="C724" s="14"/>
      <c r="D724" s="25"/>
      <c r="E724" s="25"/>
      <c r="F724" s="14"/>
      <c r="G724" s="14"/>
      <c r="H724" s="14"/>
      <c r="I724" s="7"/>
      <c r="J724" s="7"/>
      <c r="K724" s="7"/>
      <c r="L724" s="14"/>
      <c r="M724" s="354"/>
      <c r="N724" s="7"/>
      <c r="O724" s="13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spans="2:25" ht="14.25" customHeight="1" x14ac:dyDescent="0.25">
      <c r="B725" s="14"/>
      <c r="C725" s="14"/>
      <c r="D725" s="25"/>
      <c r="E725" s="25"/>
      <c r="F725" s="14"/>
      <c r="G725" s="14"/>
      <c r="H725" s="14"/>
      <c r="I725" s="7"/>
      <c r="J725" s="7"/>
      <c r="K725" s="7"/>
      <c r="L725" s="14"/>
      <c r="M725" s="354"/>
      <c r="N725" s="7"/>
      <c r="O725" s="13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spans="2:25" ht="14.25" customHeight="1" x14ac:dyDescent="0.25">
      <c r="B726" s="14"/>
      <c r="C726" s="14"/>
      <c r="D726" s="25"/>
      <c r="E726" s="25"/>
      <c r="F726" s="14"/>
      <c r="G726" s="14"/>
      <c r="H726" s="14"/>
      <c r="I726" s="7"/>
      <c r="J726" s="7"/>
      <c r="K726" s="7"/>
      <c r="L726" s="14"/>
      <c r="M726" s="354"/>
      <c r="N726" s="7"/>
      <c r="O726" s="13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spans="2:25" ht="14.25" customHeight="1" x14ac:dyDescent="0.25">
      <c r="B727" s="14"/>
      <c r="C727" s="14"/>
      <c r="D727" s="25"/>
      <c r="E727" s="25"/>
      <c r="F727" s="14"/>
      <c r="G727" s="14"/>
      <c r="H727" s="14"/>
      <c r="I727" s="7"/>
      <c r="J727" s="7"/>
      <c r="K727" s="7"/>
      <c r="L727" s="14"/>
      <c r="M727" s="354"/>
      <c r="N727" s="7"/>
      <c r="O727" s="13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spans="2:25" ht="14.25" customHeight="1" x14ac:dyDescent="0.25">
      <c r="B728" s="14"/>
      <c r="C728" s="14"/>
      <c r="D728" s="25"/>
      <c r="E728" s="25"/>
      <c r="F728" s="14"/>
      <c r="G728" s="14"/>
      <c r="H728" s="14"/>
      <c r="I728" s="7"/>
      <c r="J728" s="7"/>
      <c r="K728" s="7"/>
      <c r="L728" s="14"/>
      <c r="M728" s="354"/>
      <c r="N728" s="7"/>
      <c r="O728" s="13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spans="2:25" ht="14.25" customHeight="1" x14ac:dyDescent="0.25">
      <c r="B729" s="14"/>
      <c r="C729" s="14"/>
      <c r="D729" s="25"/>
      <c r="E729" s="25"/>
      <c r="F729" s="14"/>
      <c r="G729" s="14"/>
      <c r="H729" s="14"/>
      <c r="I729" s="7"/>
      <c r="J729" s="7"/>
      <c r="K729" s="7"/>
      <c r="L729" s="14"/>
      <c r="M729" s="354"/>
      <c r="N729" s="7"/>
      <c r="O729" s="13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spans="2:25" ht="14.25" customHeight="1" x14ac:dyDescent="0.25">
      <c r="B730" s="14"/>
      <c r="C730" s="14"/>
      <c r="D730" s="25"/>
      <c r="E730" s="25"/>
      <c r="F730" s="14"/>
      <c r="G730" s="14"/>
      <c r="H730" s="14"/>
      <c r="I730" s="7"/>
      <c r="J730" s="7"/>
      <c r="K730" s="7"/>
      <c r="L730" s="14"/>
      <c r="M730" s="354"/>
      <c r="N730" s="7"/>
      <c r="O730" s="13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spans="2:25" ht="14.25" customHeight="1" x14ac:dyDescent="0.25">
      <c r="B731" s="14"/>
      <c r="C731" s="14"/>
      <c r="D731" s="25"/>
      <c r="E731" s="25"/>
      <c r="F731" s="14"/>
      <c r="G731" s="14"/>
      <c r="H731" s="14"/>
      <c r="I731" s="7"/>
      <c r="J731" s="7"/>
      <c r="K731" s="7"/>
      <c r="L731" s="14"/>
      <c r="M731" s="354"/>
      <c r="N731" s="7"/>
      <c r="O731" s="13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spans="2:25" ht="14.25" customHeight="1" x14ac:dyDescent="0.25">
      <c r="B732" s="14"/>
      <c r="C732" s="14"/>
      <c r="D732" s="25"/>
      <c r="E732" s="25"/>
      <c r="F732" s="14"/>
      <c r="G732" s="14"/>
      <c r="H732" s="14"/>
      <c r="I732" s="7"/>
      <c r="J732" s="7"/>
      <c r="K732" s="7"/>
      <c r="L732" s="14"/>
      <c r="M732" s="354"/>
      <c r="N732" s="7"/>
      <c r="O732" s="13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spans="2:25" ht="14.25" customHeight="1" x14ac:dyDescent="0.25">
      <c r="B733" s="14"/>
      <c r="C733" s="14"/>
      <c r="D733" s="25"/>
      <c r="E733" s="25"/>
      <c r="F733" s="14"/>
      <c r="G733" s="14"/>
      <c r="H733" s="14"/>
      <c r="I733" s="7"/>
      <c r="J733" s="7"/>
      <c r="K733" s="7"/>
      <c r="L733" s="14"/>
      <c r="M733" s="354"/>
      <c r="N733" s="7"/>
      <c r="O733" s="13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spans="2:25" ht="14.25" customHeight="1" x14ac:dyDescent="0.25">
      <c r="B734" s="14"/>
      <c r="C734" s="14"/>
      <c r="D734" s="25"/>
      <c r="E734" s="25"/>
      <c r="F734" s="14"/>
      <c r="G734" s="14"/>
      <c r="H734" s="14"/>
      <c r="I734" s="7"/>
      <c r="J734" s="7"/>
      <c r="K734" s="7"/>
      <c r="L734" s="14"/>
      <c r="M734" s="354"/>
      <c r="N734" s="7"/>
      <c r="O734" s="13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spans="2:25" ht="14.25" customHeight="1" x14ac:dyDescent="0.25">
      <c r="B735" s="14"/>
      <c r="C735" s="14"/>
      <c r="D735" s="25"/>
      <c r="E735" s="25"/>
      <c r="F735" s="14"/>
      <c r="G735" s="14"/>
      <c r="H735" s="14"/>
      <c r="I735" s="7"/>
      <c r="J735" s="7"/>
      <c r="K735" s="7"/>
      <c r="L735" s="14"/>
      <c r="M735" s="354"/>
      <c r="N735" s="7"/>
      <c r="O735" s="13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spans="2:25" ht="14.25" customHeight="1" x14ac:dyDescent="0.25">
      <c r="B736" s="14"/>
      <c r="C736" s="14"/>
      <c r="D736" s="25"/>
      <c r="E736" s="25"/>
      <c r="F736" s="14"/>
      <c r="G736" s="14"/>
      <c r="H736" s="14"/>
      <c r="I736" s="7"/>
      <c r="J736" s="7"/>
      <c r="K736" s="7"/>
      <c r="L736" s="14"/>
      <c r="M736" s="354"/>
      <c r="N736" s="7"/>
      <c r="O736" s="13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spans="2:25" ht="14.25" customHeight="1" x14ac:dyDescent="0.25">
      <c r="B737" s="14"/>
      <c r="C737" s="14"/>
      <c r="D737" s="25"/>
      <c r="E737" s="25"/>
      <c r="F737" s="14"/>
      <c r="G737" s="14"/>
      <c r="H737" s="14"/>
      <c r="I737" s="7"/>
      <c r="J737" s="7"/>
      <c r="K737" s="7"/>
      <c r="L737" s="14"/>
      <c r="M737" s="354"/>
      <c r="N737" s="7"/>
      <c r="O737" s="13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spans="2:25" ht="14.25" customHeight="1" x14ac:dyDescent="0.25">
      <c r="B738" s="14"/>
      <c r="C738" s="14"/>
      <c r="D738" s="25"/>
      <c r="E738" s="25"/>
      <c r="F738" s="14"/>
      <c r="G738" s="14"/>
      <c r="H738" s="14"/>
      <c r="I738" s="7"/>
      <c r="J738" s="7"/>
      <c r="K738" s="7"/>
      <c r="L738" s="14"/>
      <c r="M738" s="354"/>
      <c r="N738" s="7"/>
      <c r="O738" s="13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spans="2:25" ht="14.25" customHeight="1" x14ac:dyDescent="0.25">
      <c r="B739" s="14"/>
      <c r="C739" s="14"/>
      <c r="D739" s="25"/>
      <c r="E739" s="25"/>
      <c r="F739" s="14"/>
      <c r="G739" s="14"/>
      <c r="H739" s="14"/>
      <c r="I739" s="7"/>
      <c r="J739" s="7"/>
      <c r="K739" s="7"/>
      <c r="L739" s="14"/>
      <c r="M739" s="354"/>
      <c r="N739" s="7"/>
      <c r="O739" s="13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spans="2:25" ht="14.25" customHeight="1" x14ac:dyDescent="0.25">
      <c r="B740" s="14"/>
      <c r="C740" s="14"/>
      <c r="D740" s="25"/>
      <c r="E740" s="25"/>
      <c r="F740" s="14"/>
      <c r="G740" s="14"/>
      <c r="H740" s="14"/>
      <c r="I740" s="7"/>
      <c r="J740" s="7"/>
      <c r="K740" s="7"/>
      <c r="L740" s="14"/>
      <c r="M740" s="354"/>
      <c r="N740" s="7"/>
      <c r="O740" s="13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spans="2:25" ht="14.25" customHeight="1" x14ac:dyDescent="0.25">
      <c r="B741" s="14"/>
      <c r="C741" s="14"/>
      <c r="D741" s="25"/>
      <c r="E741" s="25"/>
      <c r="F741" s="14"/>
      <c r="G741" s="14"/>
      <c r="H741" s="14"/>
      <c r="I741" s="7"/>
      <c r="J741" s="7"/>
      <c r="K741" s="7"/>
      <c r="L741" s="14"/>
      <c r="M741" s="354"/>
      <c r="N741" s="7"/>
      <c r="O741" s="13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spans="2:25" ht="14.25" customHeight="1" x14ac:dyDescent="0.25">
      <c r="B742" s="14"/>
      <c r="C742" s="14"/>
      <c r="D742" s="25"/>
      <c r="E742" s="25"/>
      <c r="F742" s="14"/>
      <c r="G742" s="14"/>
      <c r="H742" s="14"/>
      <c r="I742" s="7"/>
      <c r="J742" s="7"/>
      <c r="K742" s="7"/>
      <c r="L742" s="14"/>
      <c r="M742" s="354"/>
      <c r="N742" s="7"/>
      <c r="O742" s="13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spans="2:25" ht="14.25" customHeight="1" x14ac:dyDescent="0.25">
      <c r="B743" s="14"/>
      <c r="C743" s="14"/>
      <c r="D743" s="25"/>
      <c r="E743" s="25"/>
      <c r="F743" s="14"/>
      <c r="G743" s="14"/>
      <c r="H743" s="14"/>
      <c r="I743" s="7"/>
      <c r="J743" s="7"/>
      <c r="K743" s="7"/>
      <c r="L743" s="14"/>
      <c r="M743" s="354"/>
      <c r="N743" s="7"/>
      <c r="O743" s="13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spans="2:25" ht="14.25" customHeight="1" x14ac:dyDescent="0.25">
      <c r="B744" s="14"/>
      <c r="C744" s="14"/>
      <c r="D744" s="25"/>
      <c r="E744" s="25"/>
      <c r="F744" s="14"/>
      <c r="G744" s="14"/>
      <c r="H744" s="14"/>
      <c r="I744" s="7"/>
      <c r="J744" s="7"/>
      <c r="K744" s="7"/>
      <c r="L744" s="14"/>
      <c r="M744" s="354"/>
      <c r="N744" s="7"/>
      <c r="O744" s="13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spans="2:25" ht="14.25" customHeight="1" x14ac:dyDescent="0.25">
      <c r="B745" s="14"/>
      <c r="C745" s="14"/>
      <c r="D745" s="25"/>
      <c r="E745" s="25"/>
      <c r="F745" s="14"/>
      <c r="G745" s="14"/>
      <c r="H745" s="14"/>
      <c r="I745" s="7"/>
      <c r="J745" s="7"/>
      <c r="K745" s="7"/>
      <c r="L745" s="14"/>
      <c r="M745" s="354"/>
      <c r="N745" s="7"/>
      <c r="O745" s="13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spans="2:25" ht="14.25" customHeight="1" x14ac:dyDescent="0.25">
      <c r="B746" s="14"/>
      <c r="C746" s="14"/>
      <c r="D746" s="25"/>
      <c r="E746" s="25"/>
      <c r="F746" s="14"/>
      <c r="G746" s="14"/>
      <c r="H746" s="14"/>
      <c r="I746" s="7"/>
      <c r="J746" s="7"/>
      <c r="K746" s="7"/>
      <c r="L746" s="14"/>
      <c r="M746" s="354"/>
      <c r="N746" s="7"/>
      <c r="O746" s="13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spans="2:25" ht="14.25" customHeight="1" x14ac:dyDescent="0.25">
      <c r="B747" s="14"/>
      <c r="C747" s="14"/>
      <c r="D747" s="25"/>
      <c r="E747" s="25"/>
      <c r="F747" s="14"/>
      <c r="G747" s="14"/>
      <c r="H747" s="14"/>
      <c r="I747" s="7"/>
      <c r="J747" s="7"/>
      <c r="K747" s="7"/>
      <c r="L747" s="14"/>
      <c r="M747" s="354"/>
      <c r="N747" s="7"/>
      <c r="O747" s="13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spans="2:25" ht="14.25" customHeight="1" x14ac:dyDescent="0.25">
      <c r="B748" s="14"/>
      <c r="C748" s="14"/>
      <c r="D748" s="25"/>
      <c r="E748" s="25"/>
      <c r="F748" s="14"/>
      <c r="G748" s="14"/>
      <c r="H748" s="14"/>
      <c r="I748" s="7"/>
      <c r="J748" s="7"/>
      <c r="K748" s="7"/>
      <c r="L748" s="14"/>
      <c r="M748" s="354"/>
      <c r="N748" s="7"/>
      <c r="O748" s="13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spans="2:25" ht="14.25" customHeight="1" x14ac:dyDescent="0.25">
      <c r="B749" s="14"/>
      <c r="C749" s="14"/>
      <c r="D749" s="25"/>
      <c r="E749" s="25"/>
      <c r="F749" s="14"/>
      <c r="G749" s="14"/>
      <c r="H749" s="14"/>
      <c r="I749" s="7"/>
      <c r="J749" s="7"/>
      <c r="K749" s="7"/>
      <c r="L749" s="14"/>
      <c r="M749" s="354"/>
      <c r="N749" s="7"/>
      <c r="O749" s="13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spans="2:25" ht="14.25" customHeight="1" x14ac:dyDescent="0.25">
      <c r="B750" s="14"/>
      <c r="C750" s="14"/>
      <c r="D750" s="25"/>
      <c r="E750" s="25"/>
      <c r="F750" s="14"/>
      <c r="G750" s="14"/>
      <c r="H750" s="14"/>
      <c r="I750" s="7"/>
      <c r="J750" s="7"/>
      <c r="K750" s="7"/>
      <c r="L750" s="14"/>
      <c r="M750" s="354"/>
      <c r="N750" s="7"/>
      <c r="O750" s="13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spans="2:25" ht="14.25" customHeight="1" x14ac:dyDescent="0.25">
      <c r="B751" s="14"/>
      <c r="C751" s="14"/>
      <c r="D751" s="25"/>
      <c r="E751" s="25"/>
      <c r="F751" s="14"/>
      <c r="G751" s="14"/>
      <c r="H751" s="14"/>
      <c r="I751" s="7"/>
      <c r="J751" s="7"/>
      <c r="K751" s="7"/>
      <c r="L751" s="14"/>
      <c r="M751" s="354"/>
      <c r="N751" s="7"/>
      <c r="O751" s="13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spans="2:25" ht="14.25" customHeight="1" x14ac:dyDescent="0.25">
      <c r="B752" s="14"/>
      <c r="C752" s="14"/>
      <c r="D752" s="25"/>
      <c r="E752" s="25"/>
      <c r="F752" s="14"/>
      <c r="G752" s="14"/>
      <c r="H752" s="14"/>
      <c r="I752" s="7"/>
      <c r="J752" s="7"/>
      <c r="K752" s="7"/>
      <c r="L752" s="14"/>
      <c r="M752" s="354"/>
      <c r="N752" s="7"/>
      <c r="O752" s="13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spans="2:25" ht="14.25" customHeight="1" x14ac:dyDescent="0.25">
      <c r="B753" s="14"/>
      <c r="C753" s="14"/>
      <c r="D753" s="25"/>
      <c r="E753" s="25"/>
      <c r="F753" s="14"/>
      <c r="G753" s="14"/>
      <c r="H753" s="14"/>
      <c r="I753" s="7"/>
      <c r="J753" s="7"/>
      <c r="K753" s="7"/>
      <c r="L753" s="14"/>
      <c r="M753" s="354"/>
      <c r="N753" s="7"/>
      <c r="O753" s="13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spans="2:25" ht="14.25" customHeight="1" x14ac:dyDescent="0.25">
      <c r="B754" s="14"/>
      <c r="C754" s="14"/>
      <c r="D754" s="25"/>
      <c r="E754" s="25"/>
      <c r="F754" s="14"/>
      <c r="G754" s="14"/>
      <c r="H754" s="14"/>
      <c r="I754" s="7"/>
      <c r="J754" s="7"/>
      <c r="K754" s="7"/>
      <c r="L754" s="14"/>
      <c r="M754" s="354"/>
      <c r="N754" s="7"/>
      <c r="O754" s="13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spans="2:25" ht="14.25" customHeight="1" x14ac:dyDescent="0.25">
      <c r="B755" s="14"/>
      <c r="C755" s="14"/>
      <c r="D755" s="25"/>
      <c r="E755" s="25"/>
      <c r="F755" s="14"/>
      <c r="G755" s="14"/>
      <c r="H755" s="14"/>
      <c r="I755" s="7"/>
      <c r="J755" s="7"/>
      <c r="K755" s="7"/>
      <c r="L755" s="14"/>
      <c r="M755" s="354"/>
      <c r="N755" s="7"/>
      <c r="O755" s="13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spans="2:25" ht="14.25" customHeight="1" x14ac:dyDescent="0.25">
      <c r="B756" s="14"/>
      <c r="C756" s="14"/>
      <c r="D756" s="25"/>
      <c r="E756" s="25"/>
      <c r="F756" s="14"/>
      <c r="G756" s="14"/>
      <c r="H756" s="14"/>
      <c r="I756" s="7"/>
      <c r="J756" s="7"/>
      <c r="K756" s="7"/>
      <c r="L756" s="14"/>
      <c r="M756" s="354"/>
      <c r="N756" s="7"/>
      <c r="O756" s="13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spans="2:25" ht="14.25" customHeight="1" x14ac:dyDescent="0.25">
      <c r="B757" s="14"/>
      <c r="C757" s="14"/>
      <c r="D757" s="25"/>
      <c r="E757" s="25"/>
      <c r="F757" s="14"/>
      <c r="G757" s="14"/>
      <c r="H757" s="14"/>
      <c r="I757" s="7"/>
      <c r="J757" s="7"/>
      <c r="K757" s="7"/>
      <c r="L757" s="14"/>
      <c r="M757" s="354"/>
      <c r="N757" s="7"/>
      <c r="O757" s="13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spans="2:25" ht="14.25" customHeight="1" x14ac:dyDescent="0.25">
      <c r="B758" s="14"/>
      <c r="C758" s="14"/>
      <c r="D758" s="25"/>
      <c r="E758" s="25"/>
      <c r="F758" s="14"/>
      <c r="G758" s="14"/>
      <c r="H758" s="14"/>
      <c r="I758" s="7"/>
      <c r="J758" s="7"/>
      <c r="K758" s="7"/>
      <c r="L758" s="14"/>
      <c r="M758" s="354"/>
      <c r="N758" s="7"/>
      <c r="O758" s="13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spans="2:25" ht="14.25" customHeight="1" x14ac:dyDescent="0.25">
      <c r="B759" s="14"/>
      <c r="C759" s="14"/>
      <c r="D759" s="25"/>
      <c r="E759" s="25"/>
      <c r="F759" s="14"/>
      <c r="G759" s="14"/>
      <c r="H759" s="14"/>
      <c r="I759" s="7"/>
      <c r="J759" s="7"/>
      <c r="K759" s="7"/>
      <c r="L759" s="14"/>
      <c r="M759" s="354"/>
      <c r="N759" s="7"/>
      <c r="O759" s="13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spans="2:25" ht="14.25" customHeight="1" x14ac:dyDescent="0.25">
      <c r="B760" s="14"/>
      <c r="C760" s="14"/>
      <c r="D760" s="25"/>
      <c r="E760" s="25"/>
      <c r="F760" s="14"/>
      <c r="G760" s="14"/>
      <c r="H760" s="14"/>
      <c r="I760" s="7"/>
      <c r="J760" s="7"/>
      <c r="K760" s="7"/>
      <c r="L760" s="14"/>
      <c r="M760" s="354"/>
      <c r="N760" s="7"/>
      <c r="O760" s="13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spans="2:25" ht="14.25" customHeight="1" x14ac:dyDescent="0.25">
      <c r="B761" s="14"/>
      <c r="C761" s="14"/>
      <c r="D761" s="25"/>
      <c r="E761" s="25"/>
      <c r="F761" s="14"/>
      <c r="G761" s="14"/>
      <c r="H761" s="14"/>
      <c r="I761" s="7"/>
      <c r="J761" s="7"/>
      <c r="K761" s="7"/>
      <c r="L761" s="14"/>
      <c r="M761" s="354"/>
      <c r="N761" s="7"/>
      <c r="O761" s="13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spans="2:25" ht="14.25" customHeight="1" x14ac:dyDescent="0.25">
      <c r="B762" s="14"/>
      <c r="C762" s="14"/>
      <c r="D762" s="25"/>
      <c r="E762" s="25"/>
      <c r="F762" s="14"/>
      <c r="G762" s="14"/>
      <c r="H762" s="14"/>
      <c r="I762" s="7"/>
      <c r="J762" s="7"/>
      <c r="K762" s="7"/>
      <c r="L762" s="14"/>
      <c r="M762" s="354"/>
      <c r="N762" s="7"/>
      <c r="O762" s="13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spans="2:25" ht="14.25" customHeight="1" x14ac:dyDescent="0.25">
      <c r="B763" s="14"/>
      <c r="C763" s="14"/>
      <c r="D763" s="25"/>
      <c r="E763" s="25"/>
      <c r="F763" s="14"/>
      <c r="G763" s="14"/>
      <c r="H763" s="14"/>
      <c r="I763" s="7"/>
      <c r="J763" s="7"/>
      <c r="K763" s="7"/>
      <c r="L763" s="14"/>
      <c r="M763" s="354"/>
      <c r="N763" s="7"/>
      <c r="O763" s="13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spans="2:25" ht="14.25" customHeight="1" x14ac:dyDescent="0.25">
      <c r="B764" s="14"/>
      <c r="C764" s="14"/>
      <c r="D764" s="25"/>
      <c r="E764" s="25"/>
      <c r="F764" s="14"/>
      <c r="G764" s="14"/>
      <c r="H764" s="14"/>
      <c r="I764" s="7"/>
      <c r="J764" s="7"/>
      <c r="K764" s="7"/>
      <c r="L764" s="14"/>
      <c r="M764" s="354"/>
      <c r="N764" s="7"/>
      <c r="O764" s="13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spans="2:25" ht="14.25" customHeight="1" x14ac:dyDescent="0.25">
      <c r="B765" s="14"/>
      <c r="C765" s="14"/>
      <c r="D765" s="25"/>
      <c r="E765" s="25"/>
      <c r="F765" s="14"/>
      <c r="G765" s="14"/>
      <c r="H765" s="14"/>
      <c r="I765" s="7"/>
      <c r="J765" s="7"/>
      <c r="K765" s="7"/>
      <c r="L765" s="14"/>
      <c r="M765" s="354"/>
      <c r="N765" s="7"/>
      <c r="O765" s="13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spans="2:25" ht="14.25" customHeight="1" x14ac:dyDescent="0.25">
      <c r="B766" s="14"/>
      <c r="C766" s="14"/>
      <c r="D766" s="25"/>
      <c r="E766" s="25"/>
      <c r="F766" s="14"/>
      <c r="G766" s="14"/>
      <c r="H766" s="14"/>
      <c r="I766" s="7"/>
      <c r="J766" s="7"/>
      <c r="K766" s="7"/>
      <c r="L766" s="14"/>
      <c r="M766" s="354"/>
      <c r="N766" s="7"/>
      <c r="O766" s="13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spans="2:25" ht="14.25" customHeight="1" x14ac:dyDescent="0.25">
      <c r="B767" s="14"/>
      <c r="C767" s="14"/>
      <c r="D767" s="25"/>
      <c r="E767" s="25"/>
      <c r="F767" s="14"/>
      <c r="G767" s="14"/>
      <c r="H767" s="14"/>
      <c r="I767" s="7"/>
      <c r="J767" s="7"/>
      <c r="K767" s="7"/>
      <c r="L767" s="14"/>
      <c r="M767" s="354"/>
      <c r="N767" s="7"/>
      <c r="O767" s="13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spans="2:25" ht="14.25" customHeight="1" x14ac:dyDescent="0.25">
      <c r="B768" s="14"/>
      <c r="C768" s="14"/>
      <c r="D768" s="25"/>
      <c r="E768" s="25"/>
      <c r="F768" s="14"/>
      <c r="G768" s="14"/>
      <c r="H768" s="14"/>
      <c r="I768" s="7"/>
      <c r="J768" s="7"/>
      <c r="K768" s="7"/>
      <c r="L768" s="14"/>
      <c r="M768" s="354"/>
      <c r="N768" s="7"/>
      <c r="O768" s="13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spans="2:25" ht="14.25" customHeight="1" x14ac:dyDescent="0.25">
      <c r="B769" s="14"/>
      <c r="C769" s="14"/>
      <c r="D769" s="25"/>
      <c r="E769" s="25"/>
      <c r="F769" s="14"/>
      <c r="G769" s="14"/>
      <c r="H769" s="14"/>
      <c r="I769" s="7"/>
      <c r="J769" s="7"/>
      <c r="K769" s="7"/>
      <c r="L769" s="14"/>
      <c r="M769" s="354"/>
      <c r="N769" s="7"/>
      <c r="O769" s="13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spans="2:25" ht="14.25" customHeight="1" x14ac:dyDescent="0.25">
      <c r="B770" s="14"/>
      <c r="C770" s="14"/>
      <c r="D770" s="25"/>
      <c r="E770" s="25"/>
      <c r="F770" s="14"/>
      <c r="G770" s="14"/>
      <c r="H770" s="14"/>
      <c r="I770" s="7"/>
      <c r="J770" s="7"/>
      <c r="K770" s="7"/>
      <c r="L770" s="14"/>
      <c r="M770" s="354"/>
      <c r="N770" s="7"/>
      <c r="O770" s="13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spans="2:25" ht="14.25" customHeight="1" x14ac:dyDescent="0.25">
      <c r="B771" s="14"/>
      <c r="C771" s="14"/>
      <c r="D771" s="25"/>
      <c r="E771" s="25"/>
      <c r="F771" s="14"/>
      <c r="G771" s="14"/>
      <c r="H771" s="14"/>
      <c r="I771" s="7"/>
      <c r="J771" s="7"/>
      <c r="K771" s="7"/>
      <c r="L771" s="14"/>
      <c r="M771" s="354"/>
      <c r="N771" s="7"/>
      <c r="O771" s="13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spans="2:25" ht="14.25" customHeight="1" x14ac:dyDescent="0.25">
      <c r="B772" s="14"/>
      <c r="C772" s="14"/>
      <c r="D772" s="25"/>
      <c r="E772" s="25"/>
      <c r="F772" s="14"/>
      <c r="G772" s="14"/>
      <c r="H772" s="14"/>
      <c r="I772" s="7"/>
      <c r="J772" s="7"/>
      <c r="K772" s="7"/>
      <c r="L772" s="14"/>
      <c r="M772" s="354"/>
      <c r="N772" s="7"/>
      <c r="O772" s="13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spans="2:25" ht="14.25" customHeight="1" x14ac:dyDescent="0.25">
      <c r="B773" s="14"/>
      <c r="C773" s="14"/>
      <c r="D773" s="25"/>
      <c r="E773" s="25"/>
      <c r="F773" s="14"/>
      <c r="G773" s="14"/>
      <c r="H773" s="14"/>
      <c r="I773" s="7"/>
      <c r="J773" s="7"/>
      <c r="K773" s="7"/>
      <c r="L773" s="14"/>
      <c r="M773" s="354"/>
      <c r="N773" s="7"/>
      <c r="O773" s="13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spans="2:25" ht="14.25" customHeight="1" x14ac:dyDescent="0.25">
      <c r="B774" s="14"/>
      <c r="C774" s="14"/>
      <c r="D774" s="25"/>
      <c r="E774" s="25"/>
      <c r="F774" s="14"/>
      <c r="G774" s="14"/>
      <c r="H774" s="14"/>
      <c r="I774" s="7"/>
      <c r="J774" s="7"/>
      <c r="K774" s="7"/>
      <c r="L774" s="14"/>
      <c r="M774" s="354"/>
      <c r="N774" s="7"/>
      <c r="O774" s="13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spans="2:25" ht="14.25" customHeight="1" x14ac:dyDescent="0.25">
      <c r="B775" s="14"/>
      <c r="C775" s="14"/>
      <c r="D775" s="25"/>
      <c r="E775" s="25"/>
      <c r="F775" s="14"/>
      <c r="G775" s="14"/>
      <c r="H775" s="14"/>
      <c r="I775" s="7"/>
      <c r="J775" s="7"/>
      <c r="K775" s="7"/>
      <c r="L775" s="14"/>
      <c r="M775" s="354"/>
      <c r="N775" s="7"/>
      <c r="O775" s="13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spans="2:25" ht="14.25" customHeight="1" x14ac:dyDescent="0.25">
      <c r="B776" s="14"/>
      <c r="C776" s="14"/>
      <c r="D776" s="25"/>
      <c r="E776" s="25"/>
      <c r="F776" s="14"/>
      <c r="G776" s="14"/>
      <c r="H776" s="14"/>
      <c r="I776" s="7"/>
      <c r="J776" s="7"/>
      <c r="K776" s="7"/>
      <c r="L776" s="14"/>
      <c r="M776" s="354"/>
      <c r="N776" s="7"/>
      <c r="O776" s="13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spans="2:25" ht="14.25" customHeight="1" x14ac:dyDescent="0.25">
      <c r="B777" s="14"/>
      <c r="C777" s="14"/>
      <c r="D777" s="25"/>
      <c r="E777" s="25"/>
      <c r="F777" s="14"/>
      <c r="G777" s="14"/>
      <c r="H777" s="14"/>
      <c r="I777" s="7"/>
      <c r="J777" s="7"/>
      <c r="K777" s="7"/>
      <c r="L777" s="14"/>
      <c r="M777" s="354"/>
      <c r="N777" s="7"/>
      <c r="O777" s="13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spans="2:25" ht="14.25" customHeight="1" x14ac:dyDescent="0.25">
      <c r="B778" s="14"/>
      <c r="C778" s="14"/>
      <c r="D778" s="25"/>
      <c r="E778" s="25"/>
      <c r="F778" s="14"/>
      <c r="G778" s="14"/>
      <c r="H778" s="14"/>
      <c r="I778" s="7"/>
      <c r="J778" s="7"/>
      <c r="K778" s="7"/>
      <c r="L778" s="14"/>
      <c r="M778" s="354"/>
      <c r="N778" s="7"/>
      <c r="O778" s="13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spans="2:25" ht="14.25" customHeight="1" x14ac:dyDescent="0.25">
      <c r="B779" s="14"/>
      <c r="C779" s="14"/>
      <c r="D779" s="25"/>
      <c r="E779" s="25"/>
      <c r="F779" s="14"/>
      <c r="G779" s="14"/>
      <c r="H779" s="14"/>
      <c r="I779" s="7"/>
      <c r="J779" s="7"/>
      <c r="K779" s="7"/>
      <c r="L779" s="14"/>
      <c r="M779" s="354"/>
      <c r="N779" s="7"/>
      <c r="O779" s="13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spans="2:25" ht="14.25" customHeight="1" x14ac:dyDescent="0.25">
      <c r="B780" s="14"/>
      <c r="C780" s="14"/>
      <c r="D780" s="25"/>
      <c r="E780" s="25"/>
      <c r="F780" s="14"/>
      <c r="G780" s="14"/>
      <c r="H780" s="14"/>
      <c r="I780" s="7"/>
      <c r="J780" s="7"/>
      <c r="K780" s="7"/>
      <c r="L780" s="14"/>
      <c r="M780" s="354"/>
      <c r="N780" s="7"/>
      <c r="O780" s="13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spans="2:25" ht="14.25" customHeight="1" x14ac:dyDescent="0.25">
      <c r="B781" s="14"/>
      <c r="C781" s="14"/>
      <c r="D781" s="25"/>
      <c r="E781" s="25"/>
      <c r="F781" s="14"/>
      <c r="G781" s="14"/>
      <c r="H781" s="14"/>
      <c r="I781" s="7"/>
      <c r="J781" s="7"/>
      <c r="K781" s="7"/>
      <c r="L781" s="14"/>
      <c r="M781" s="354"/>
      <c r="N781" s="7"/>
      <c r="O781" s="13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spans="2:25" ht="14.25" customHeight="1" x14ac:dyDescent="0.25">
      <c r="B782" s="14"/>
      <c r="C782" s="14"/>
      <c r="D782" s="25"/>
      <c r="E782" s="25"/>
      <c r="F782" s="14"/>
      <c r="G782" s="14"/>
      <c r="H782" s="14"/>
      <c r="I782" s="7"/>
      <c r="J782" s="7"/>
      <c r="K782" s="7"/>
      <c r="L782" s="14"/>
      <c r="M782" s="354"/>
      <c r="N782" s="7"/>
      <c r="O782" s="13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spans="2:25" ht="14.25" customHeight="1" x14ac:dyDescent="0.25">
      <c r="B783" s="14"/>
      <c r="C783" s="14"/>
      <c r="D783" s="25"/>
      <c r="E783" s="25"/>
      <c r="F783" s="14"/>
      <c r="G783" s="14"/>
      <c r="H783" s="14"/>
      <c r="I783" s="7"/>
      <c r="J783" s="7"/>
      <c r="K783" s="7"/>
      <c r="L783" s="14"/>
      <c r="M783" s="354"/>
      <c r="N783" s="7"/>
      <c r="O783" s="13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spans="2:25" ht="14.25" customHeight="1" x14ac:dyDescent="0.25">
      <c r="B784" s="14"/>
      <c r="C784" s="14"/>
      <c r="D784" s="25"/>
      <c r="E784" s="25"/>
      <c r="F784" s="14"/>
      <c r="G784" s="14"/>
      <c r="H784" s="14"/>
      <c r="I784" s="7"/>
      <c r="J784" s="7"/>
      <c r="K784" s="7"/>
      <c r="L784" s="14"/>
      <c r="M784" s="354"/>
      <c r="N784" s="7"/>
      <c r="O784" s="13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spans="2:25" ht="14.25" customHeight="1" x14ac:dyDescent="0.25">
      <c r="B785" s="14"/>
      <c r="C785" s="14"/>
      <c r="D785" s="25"/>
      <c r="E785" s="25"/>
      <c r="F785" s="14"/>
      <c r="G785" s="14"/>
      <c r="H785" s="14"/>
      <c r="I785" s="7"/>
      <c r="J785" s="7"/>
      <c r="K785" s="7"/>
      <c r="L785" s="14"/>
      <c r="M785" s="354"/>
      <c r="N785" s="7"/>
      <c r="O785" s="13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spans="2:25" ht="14.25" customHeight="1" x14ac:dyDescent="0.25">
      <c r="B786" s="14"/>
      <c r="C786" s="14"/>
      <c r="D786" s="25"/>
      <c r="E786" s="25"/>
      <c r="F786" s="14"/>
      <c r="G786" s="14"/>
      <c r="H786" s="14"/>
      <c r="I786" s="7"/>
      <c r="J786" s="7"/>
      <c r="K786" s="7"/>
      <c r="L786" s="14"/>
      <c r="M786" s="354"/>
      <c r="N786" s="7"/>
      <c r="O786" s="13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spans="2:25" ht="14.25" customHeight="1" x14ac:dyDescent="0.25">
      <c r="B787" s="14"/>
      <c r="C787" s="14"/>
      <c r="D787" s="25"/>
      <c r="E787" s="25"/>
      <c r="F787" s="14"/>
      <c r="G787" s="14"/>
      <c r="H787" s="14"/>
      <c r="I787" s="7"/>
      <c r="J787" s="7"/>
      <c r="K787" s="7"/>
      <c r="L787" s="14"/>
      <c r="M787" s="354"/>
      <c r="N787" s="7"/>
      <c r="O787" s="13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spans="2:25" ht="14.25" customHeight="1" x14ac:dyDescent="0.25">
      <c r="B788" s="14"/>
      <c r="C788" s="14"/>
      <c r="D788" s="25"/>
      <c r="E788" s="25"/>
      <c r="F788" s="14"/>
      <c r="G788" s="14"/>
      <c r="H788" s="14"/>
      <c r="I788" s="7"/>
      <c r="J788" s="7"/>
      <c r="K788" s="7"/>
      <c r="L788" s="14"/>
      <c r="M788" s="354"/>
      <c r="N788" s="7"/>
      <c r="O788" s="13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spans="2:25" ht="14.25" customHeight="1" x14ac:dyDescent="0.25">
      <c r="B789" s="14"/>
      <c r="C789" s="14"/>
      <c r="D789" s="25"/>
      <c r="E789" s="25"/>
      <c r="F789" s="14"/>
      <c r="G789" s="14"/>
      <c r="H789" s="14"/>
      <c r="I789" s="7"/>
      <c r="J789" s="7"/>
      <c r="K789" s="7"/>
      <c r="L789" s="14"/>
      <c r="M789" s="354"/>
      <c r="N789" s="7"/>
      <c r="O789" s="13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spans="2:25" ht="14.25" customHeight="1" x14ac:dyDescent="0.25">
      <c r="B790" s="14"/>
      <c r="C790" s="14"/>
      <c r="D790" s="25"/>
      <c r="E790" s="25"/>
      <c r="F790" s="14"/>
      <c r="G790" s="14"/>
      <c r="H790" s="14"/>
      <c r="I790" s="7"/>
      <c r="J790" s="7"/>
      <c r="K790" s="7"/>
      <c r="L790" s="14"/>
      <c r="M790" s="354"/>
      <c r="N790" s="7"/>
      <c r="O790" s="13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spans="2:25" ht="14.25" customHeight="1" x14ac:dyDescent="0.25">
      <c r="B791" s="14"/>
      <c r="C791" s="14"/>
      <c r="D791" s="25"/>
      <c r="E791" s="25"/>
      <c r="F791" s="14"/>
      <c r="G791" s="14"/>
      <c r="H791" s="14"/>
      <c r="I791" s="7"/>
      <c r="J791" s="7"/>
      <c r="K791" s="7"/>
      <c r="L791" s="14"/>
      <c r="M791" s="354"/>
      <c r="N791" s="7"/>
      <c r="O791" s="13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spans="2:25" ht="14.25" customHeight="1" x14ac:dyDescent="0.25">
      <c r="B792" s="14"/>
      <c r="C792" s="14"/>
      <c r="D792" s="25"/>
      <c r="E792" s="25"/>
      <c r="F792" s="14"/>
      <c r="G792" s="14"/>
      <c r="H792" s="14"/>
      <c r="I792" s="7"/>
      <c r="J792" s="7"/>
      <c r="K792" s="7"/>
      <c r="L792" s="14"/>
      <c r="M792" s="354"/>
      <c r="N792" s="7"/>
      <c r="O792" s="13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spans="2:25" ht="14.25" customHeight="1" x14ac:dyDescent="0.25">
      <c r="B793" s="14"/>
      <c r="C793" s="14"/>
      <c r="D793" s="25"/>
      <c r="E793" s="25"/>
      <c r="F793" s="14"/>
      <c r="G793" s="14"/>
      <c r="H793" s="14"/>
      <c r="I793" s="7"/>
      <c r="J793" s="7"/>
      <c r="K793" s="7"/>
      <c r="L793" s="14"/>
      <c r="M793" s="354"/>
      <c r="N793" s="7"/>
      <c r="O793" s="13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spans="2:25" ht="14.25" customHeight="1" x14ac:dyDescent="0.25">
      <c r="B794" s="14"/>
      <c r="C794" s="14"/>
      <c r="D794" s="25"/>
      <c r="E794" s="25"/>
      <c r="F794" s="14"/>
      <c r="G794" s="14"/>
      <c r="H794" s="14"/>
      <c r="I794" s="7"/>
      <c r="J794" s="7"/>
      <c r="K794" s="7"/>
      <c r="L794" s="14"/>
      <c r="M794" s="354"/>
      <c r="N794" s="7"/>
      <c r="O794" s="13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spans="2:25" ht="14.25" customHeight="1" x14ac:dyDescent="0.25">
      <c r="B795" s="14"/>
      <c r="C795" s="14"/>
      <c r="D795" s="25"/>
      <c r="E795" s="25"/>
      <c r="F795" s="14"/>
      <c r="G795" s="14"/>
      <c r="H795" s="14"/>
      <c r="I795" s="7"/>
      <c r="J795" s="7"/>
      <c r="K795" s="7"/>
      <c r="L795" s="14"/>
      <c r="M795" s="354"/>
      <c r="N795" s="7"/>
      <c r="O795" s="13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spans="2:25" ht="14.25" customHeight="1" x14ac:dyDescent="0.25">
      <c r="B796" s="14"/>
      <c r="C796" s="14"/>
      <c r="D796" s="25"/>
      <c r="E796" s="25"/>
      <c r="F796" s="14"/>
      <c r="G796" s="14"/>
      <c r="H796" s="14"/>
      <c r="I796" s="7"/>
      <c r="J796" s="7"/>
      <c r="K796" s="7"/>
      <c r="L796" s="14"/>
      <c r="M796" s="354"/>
      <c r="N796" s="7"/>
      <c r="O796" s="13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spans="2:25" ht="14.25" customHeight="1" x14ac:dyDescent="0.25">
      <c r="B797" s="14"/>
      <c r="C797" s="14"/>
      <c r="D797" s="25"/>
      <c r="E797" s="25"/>
      <c r="F797" s="14"/>
      <c r="G797" s="14"/>
      <c r="H797" s="14"/>
      <c r="I797" s="7"/>
      <c r="J797" s="7"/>
      <c r="K797" s="7"/>
      <c r="L797" s="14"/>
      <c r="M797" s="354"/>
      <c r="N797" s="7"/>
      <c r="O797" s="13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spans="2:25" ht="14.25" customHeight="1" x14ac:dyDescent="0.25">
      <c r="B798" s="14"/>
      <c r="C798" s="14"/>
      <c r="D798" s="25"/>
      <c r="E798" s="25"/>
      <c r="F798" s="14"/>
      <c r="G798" s="14"/>
      <c r="H798" s="14"/>
      <c r="I798" s="7"/>
      <c r="J798" s="7"/>
      <c r="K798" s="7"/>
      <c r="L798" s="14"/>
      <c r="M798" s="354"/>
      <c r="N798" s="7"/>
      <c r="O798" s="13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spans="2:25" ht="14.25" customHeight="1" x14ac:dyDescent="0.25">
      <c r="B799" s="14"/>
      <c r="C799" s="14"/>
      <c r="D799" s="25"/>
      <c r="E799" s="25"/>
      <c r="F799" s="14"/>
      <c r="G799" s="14"/>
      <c r="H799" s="14"/>
      <c r="I799" s="7"/>
      <c r="J799" s="7"/>
      <c r="K799" s="7"/>
      <c r="L799" s="14"/>
      <c r="M799" s="354"/>
      <c r="N799" s="7"/>
      <c r="O799" s="13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spans="2:25" ht="14.25" customHeight="1" x14ac:dyDescent="0.25">
      <c r="B800" s="14"/>
      <c r="C800" s="14"/>
      <c r="D800" s="25"/>
      <c r="E800" s="25"/>
      <c r="F800" s="14"/>
      <c r="G800" s="14"/>
      <c r="H800" s="14"/>
      <c r="I800" s="7"/>
      <c r="J800" s="7"/>
      <c r="K800" s="7"/>
      <c r="L800" s="14"/>
      <c r="M800" s="354"/>
      <c r="N800" s="7"/>
      <c r="O800" s="13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spans="2:25" ht="14.25" customHeight="1" x14ac:dyDescent="0.25">
      <c r="B801" s="14"/>
      <c r="C801" s="14"/>
      <c r="D801" s="25"/>
      <c r="E801" s="25"/>
      <c r="F801" s="14"/>
      <c r="G801" s="14"/>
      <c r="H801" s="14"/>
      <c r="I801" s="7"/>
      <c r="J801" s="7"/>
      <c r="K801" s="7"/>
      <c r="L801" s="14"/>
      <c r="M801" s="354"/>
      <c r="N801" s="7"/>
      <c r="O801" s="13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spans="2:25" ht="14.25" customHeight="1" x14ac:dyDescent="0.25">
      <c r="B802" s="14"/>
      <c r="C802" s="14"/>
      <c r="D802" s="25"/>
      <c r="E802" s="25"/>
      <c r="F802" s="14"/>
      <c r="G802" s="14"/>
      <c r="H802" s="14"/>
      <c r="I802" s="7"/>
      <c r="J802" s="7"/>
      <c r="K802" s="7"/>
      <c r="L802" s="14"/>
      <c r="M802" s="354"/>
      <c r="N802" s="7"/>
      <c r="O802" s="13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spans="2:25" ht="14.25" customHeight="1" x14ac:dyDescent="0.25">
      <c r="B803" s="14"/>
      <c r="C803" s="14"/>
      <c r="D803" s="25"/>
      <c r="E803" s="25"/>
      <c r="F803" s="14"/>
      <c r="G803" s="14"/>
      <c r="H803" s="14"/>
      <c r="I803" s="7"/>
      <c r="J803" s="7"/>
      <c r="K803" s="7"/>
      <c r="L803" s="14"/>
      <c r="M803" s="354"/>
      <c r="N803" s="7"/>
      <c r="O803" s="13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spans="2:25" ht="14.25" customHeight="1" x14ac:dyDescent="0.25">
      <c r="B804" s="14"/>
      <c r="C804" s="14"/>
      <c r="D804" s="25"/>
      <c r="E804" s="25"/>
      <c r="F804" s="14"/>
      <c r="G804" s="14"/>
      <c r="H804" s="14"/>
      <c r="I804" s="7"/>
      <c r="J804" s="7"/>
      <c r="K804" s="7"/>
      <c r="L804" s="14"/>
      <c r="M804" s="354"/>
      <c r="N804" s="7"/>
      <c r="O804" s="13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spans="2:25" ht="14.25" customHeight="1" x14ac:dyDescent="0.25">
      <c r="B805" s="14"/>
      <c r="C805" s="14"/>
      <c r="D805" s="25"/>
      <c r="E805" s="25"/>
      <c r="F805" s="14"/>
      <c r="G805" s="14"/>
      <c r="H805" s="14"/>
      <c r="I805" s="7"/>
      <c r="J805" s="7"/>
      <c r="K805" s="7"/>
      <c r="L805" s="14"/>
      <c r="M805" s="354"/>
      <c r="N805" s="7"/>
      <c r="O805" s="13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spans="2:25" ht="14.25" customHeight="1" x14ac:dyDescent="0.25">
      <c r="B806" s="14"/>
      <c r="C806" s="14"/>
      <c r="D806" s="25"/>
      <c r="E806" s="25"/>
      <c r="F806" s="14"/>
      <c r="G806" s="14"/>
      <c r="H806" s="14"/>
      <c r="I806" s="7"/>
      <c r="J806" s="7"/>
      <c r="K806" s="7"/>
      <c r="L806" s="14"/>
      <c r="M806" s="354"/>
      <c r="N806" s="7"/>
      <c r="O806" s="13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spans="2:25" ht="14.25" customHeight="1" x14ac:dyDescent="0.25">
      <c r="B807" s="14"/>
      <c r="C807" s="14"/>
      <c r="D807" s="25"/>
      <c r="E807" s="25"/>
      <c r="F807" s="14"/>
      <c r="G807" s="14"/>
      <c r="H807" s="14"/>
      <c r="I807" s="7"/>
      <c r="J807" s="7"/>
      <c r="K807" s="7"/>
      <c r="L807" s="14"/>
      <c r="M807" s="354"/>
      <c r="N807" s="7"/>
      <c r="O807" s="13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spans="2:25" ht="14.25" customHeight="1" x14ac:dyDescent="0.25">
      <c r="B808" s="14"/>
      <c r="C808" s="14"/>
      <c r="D808" s="25"/>
      <c r="E808" s="25"/>
      <c r="F808" s="14"/>
      <c r="G808" s="14"/>
      <c r="H808" s="14"/>
      <c r="I808" s="7"/>
      <c r="J808" s="7"/>
      <c r="K808" s="7"/>
      <c r="L808" s="14"/>
      <c r="M808" s="354"/>
      <c r="N808" s="7"/>
      <c r="O808" s="13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spans="2:25" ht="14.25" customHeight="1" x14ac:dyDescent="0.25">
      <c r="B809" s="14"/>
      <c r="C809" s="14"/>
      <c r="D809" s="25"/>
      <c r="E809" s="25"/>
      <c r="F809" s="14"/>
      <c r="G809" s="14"/>
      <c r="H809" s="14"/>
      <c r="I809" s="7"/>
      <c r="J809" s="7"/>
      <c r="K809" s="7"/>
      <c r="L809" s="14"/>
      <c r="M809" s="354"/>
      <c r="N809" s="7"/>
      <c r="O809" s="13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spans="2:25" ht="14.25" customHeight="1" x14ac:dyDescent="0.25">
      <c r="B810" s="14"/>
      <c r="C810" s="14"/>
      <c r="D810" s="25"/>
      <c r="E810" s="25"/>
      <c r="F810" s="14"/>
      <c r="G810" s="14"/>
      <c r="H810" s="14"/>
      <c r="I810" s="7"/>
      <c r="J810" s="7"/>
      <c r="K810" s="7"/>
      <c r="L810" s="14"/>
      <c r="M810" s="354"/>
      <c r="N810" s="7"/>
      <c r="O810" s="13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spans="2:25" ht="14.25" customHeight="1" x14ac:dyDescent="0.25">
      <c r="B811" s="14"/>
      <c r="C811" s="14"/>
      <c r="D811" s="25"/>
      <c r="E811" s="25"/>
      <c r="F811" s="14"/>
      <c r="G811" s="14"/>
      <c r="H811" s="14"/>
      <c r="I811" s="7"/>
      <c r="J811" s="7"/>
      <c r="K811" s="7"/>
      <c r="L811" s="14"/>
      <c r="M811" s="354"/>
      <c r="N811" s="7"/>
      <c r="O811" s="13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spans="2:25" ht="14.25" customHeight="1" x14ac:dyDescent="0.25">
      <c r="B812" s="14"/>
      <c r="C812" s="14"/>
      <c r="D812" s="25"/>
      <c r="E812" s="25"/>
      <c r="F812" s="14"/>
      <c r="G812" s="14"/>
      <c r="H812" s="14"/>
      <c r="I812" s="7"/>
      <c r="J812" s="7"/>
      <c r="K812" s="7"/>
      <c r="L812" s="14"/>
      <c r="M812" s="354"/>
      <c r="N812" s="7"/>
      <c r="O812" s="13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spans="2:25" ht="14.25" customHeight="1" x14ac:dyDescent="0.25">
      <c r="B813" s="14"/>
      <c r="C813" s="14"/>
      <c r="D813" s="25"/>
      <c r="E813" s="25"/>
      <c r="F813" s="14"/>
      <c r="G813" s="14"/>
      <c r="H813" s="14"/>
      <c r="I813" s="7"/>
      <c r="J813" s="7"/>
      <c r="K813" s="7"/>
      <c r="L813" s="14"/>
      <c r="M813" s="354"/>
      <c r="N813" s="7"/>
      <c r="O813" s="13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spans="2:25" ht="14.25" customHeight="1" x14ac:dyDescent="0.25">
      <c r="B814" s="14"/>
      <c r="C814" s="14"/>
      <c r="D814" s="25"/>
      <c r="E814" s="25"/>
      <c r="F814" s="14"/>
      <c r="G814" s="14"/>
      <c r="H814" s="14"/>
      <c r="I814" s="7"/>
      <c r="J814" s="7"/>
      <c r="K814" s="7"/>
      <c r="L814" s="14"/>
      <c r="M814" s="354"/>
      <c r="N814" s="7"/>
      <c r="O814" s="13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spans="2:25" ht="14.25" customHeight="1" x14ac:dyDescent="0.25">
      <c r="B815" s="14"/>
      <c r="C815" s="14"/>
      <c r="D815" s="25"/>
      <c r="E815" s="25"/>
      <c r="F815" s="14"/>
      <c r="G815" s="14"/>
      <c r="H815" s="14"/>
      <c r="I815" s="7"/>
      <c r="J815" s="7"/>
      <c r="K815" s="7"/>
      <c r="L815" s="14"/>
      <c r="M815" s="354"/>
      <c r="N815" s="7"/>
      <c r="O815" s="13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spans="2:25" ht="14.25" customHeight="1" x14ac:dyDescent="0.25">
      <c r="B816" s="14"/>
      <c r="C816" s="14"/>
      <c r="D816" s="25"/>
      <c r="E816" s="25"/>
      <c r="F816" s="14"/>
      <c r="G816" s="14"/>
      <c r="H816" s="14"/>
      <c r="I816" s="7"/>
      <c r="J816" s="7"/>
      <c r="K816" s="7"/>
      <c r="L816" s="14"/>
      <c r="M816" s="354"/>
      <c r="N816" s="7"/>
      <c r="O816" s="13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spans="2:25" ht="14.25" customHeight="1" x14ac:dyDescent="0.25">
      <c r="B817" s="14"/>
      <c r="C817" s="14"/>
      <c r="D817" s="25"/>
      <c r="E817" s="25"/>
      <c r="F817" s="14"/>
      <c r="G817" s="14"/>
      <c r="H817" s="14"/>
      <c r="I817" s="7"/>
      <c r="J817" s="7"/>
      <c r="K817" s="7"/>
      <c r="L817" s="14"/>
      <c r="M817" s="354"/>
      <c r="N817" s="7"/>
      <c r="O817" s="13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spans="2:25" ht="14.25" customHeight="1" x14ac:dyDescent="0.25">
      <c r="B818" s="14"/>
      <c r="C818" s="14"/>
      <c r="D818" s="25"/>
      <c r="E818" s="25"/>
      <c r="F818" s="14"/>
      <c r="G818" s="14"/>
      <c r="H818" s="14"/>
      <c r="I818" s="7"/>
      <c r="J818" s="7"/>
      <c r="K818" s="7"/>
      <c r="L818" s="14"/>
      <c r="M818" s="354"/>
      <c r="N818" s="7"/>
      <c r="O818" s="13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spans="2:25" ht="14.25" customHeight="1" x14ac:dyDescent="0.25">
      <c r="B819" s="14"/>
      <c r="C819" s="14"/>
      <c r="D819" s="25"/>
      <c r="E819" s="25"/>
      <c r="F819" s="14"/>
      <c r="G819" s="14"/>
      <c r="H819" s="14"/>
      <c r="I819" s="7"/>
      <c r="J819" s="7"/>
      <c r="K819" s="7"/>
      <c r="L819" s="14"/>
      <c r="M819" s="354"/>
      <c r="N819" s="7"/>
      <c r="O819" s="13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spans="2:25" ht="14.25" customHeight="1" x14ac:dyDescent="0.25">
      <c r="B820" s="14"/>
      <c r="C820" s="14"/>
      <c r="D820" s="25"/>
      <c r="E820" s="25"/>
      <c r="F820" s="14"/>
      <c r="G820" s="14"/>
      <c r="H820" s="14"/>
      <c r="I820" s="7"/>
      <c r="J820" s="7"/>
      <c r="K820" s="7"/>
      <c r="L820" s="14"/>
      <c r="M820" s="354"/>
      <c r="N820" s="7"/>
      <c r="O820" s="13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spans="2:25" ht="14.25" customHeight="1" x14ac:dyDescent="0.25">
      <c r="B821" s="14"/>
      <c r="C821" s="14"/>
      <c r="D821" s="25"/>
      <c r="E821" s="25"/>
      <c r="F821" s="14"/>
      <c r="G821" s="14"/>
      <c r="H821" s="14"/>
      <c r="I821" s="7"/>
      <c r="J821" s="7"/>
      <c r="K821" s="7"/>
      <c r="L821" s="14"/>
      <c r="M821" s="354"/>
      <c r="N821" s="7"/>
      <c r="O821" s="13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spans="2:25" ht="14.25" customHeight="1" x14ac:dyDescent="0.25">
      <c r="B822" s="14"/>
      <c r="C822" s="14"/>
      <c r="D822" s="25"/>
      <c r="E822" s="25"/>
      <c r="F822" s="14"/>
      <c r="G822" s="14"/>
      <c r="H822" s="14"/>
      <c r="I822" s="7"/>
      <c r="J822" s="7"/>
      <c r="K822" s="7"/>
      <c r="L822" s="14"/>
      <c r="M822" s="354"/>
      <c r="N822" s="7"/>
      <c r="O822" s="13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spans="2:25" ht="14.25" customHeight="1" x14ac:dyDescent="0.25">
      <c r="B823" s="14"/>
      <c r="C823" s="14"/>
      <c r="D823" s="25"/>
      <c r="E823" s="25"/>
      <c r="F823" s="14"/>
      <c r="G823" s="14"/>
      <c r="H823" s="14"/>
      <c r="I823" s="7"/>
      <c r="J823" s="7"/>
      <c r="K823" s="7"/>
      <c r="L823" s="14"/>
      <c r="M823" s="354"/>
      <c r="N823" s="7"/>
      <c r="O823" s="13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spans="2:25" ht="14.25" customHeight="1" x14ac:dyDescent="0.25">
      <c r="B824" s="14"/>
      <c r="C824" s="14"/>
      <c r="D824" s="25"/>
      <c r="E824" s="25"/>
      <c r="F824" s="14"/>
      <c r="G824" s="14"/>
      <c r="H824" s="14"/>
      <c r="I824" s="7"/>
      <c r="J824" s="7"/>
      <c r="K824" s="7"/>
      <c r="L824" s="14"/>
      <c r="M824" s="354"/>
      <c r="N824" s="7"/>
      <c r="O824" s="13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spans="2:25" ht="14.25" customHeight="1" x14ac:dyDescent="0.25">
      <c r="B825" s="14"/>
      <c r="C825" s="14"/>
      <c r="D825" s="25"/>
      <c r="E825" s="25"/>
      <c r="F825" s="14"/>
      <c r="G825" s="14"/>
      <c r="H825" s="14"/>
      <c r="I825" s="7"/>
      <c r="J825" s="7"/>
      <c r="K825" s="7"/>
      <c r="L825" s="14"/>
      <c r="M825" s="354"/>
      <c r="N825" s="7"/>
      <c r="O825" s="13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spans="2:25" ht="14.25" customHeight="1" x14ac:dyDescent="0.25">
      <c r="B826" s="14"/>
      <c r="C826" s="14"/>
      <c r="D826" s="25"/>
      <c r="E826" s="25"/>
      <c r="F826" s="14"/>
      <c r="G826" s="14"/>
      <c r="H826" s="14"/>
      <c r="I826" s="7"/>
      <c r="J826" s="7"/>
      <c r="K826" s="7"/>
      <c r="L826" s="14"/>
      <c r="M826" s="354"/>
      <c r="N826" s="7"/>
      <c r="O826" s="13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spans="2:25" ht="14.25" customHeight="1" x14ac:dyDescent="0.25">
      <c r="B827" s="14"/>
      <c r="C827" s="14"/>
      <c r="D827" s="25"/>
      <c r="E827" s="25"/>
      <c r="F827" s="14"/>
      <c r="G827" s="14"/>
      <c r="H827" s="14"/>
      <c r="I827" s="7"/>
      <c r="J827" s="7"/>
      <c r="K827" s="7"/>
      <c r="L827" s="14"/>
      <c r="M827" s="354"/>
      <c r="N827" s="7"/>
      <c r="O827" s="13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spans="2:25" ht="14.25" customHeight="1" x14ac:dyDescent="0.25">
      <c r="B828" s="14"/>
      <c r="C828" s="14"/>
      <c r="D828" s="25"/>
      <c r="E828" s="25"/>
      <c r="F828" s="14"/>
      <c r="G828" s="14"/>
      <c r="H828" s="14"/>
      <c r="I828" s="7"/>
      <c r="J828" s="7"/>
      <c r="K828" s="7"/>
      <c r="L828" s="14"/>
      <c r="M828" s="354"/>
      <c r="N828" s="7"/>
      <c r="O828" s="13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spans="2:25" ht="14.25" customHeight="1" x14ac:dyDescent="0.25">
      <c r="B829" s="14"/>
      <c r="C829" s="14"/>
      <c r="D829" s="25"/>
      <c r="E829" s="25"/>
      <c r="F829" s="14"/>
      <c r="G829" s="14"/>
      <c r="H829" s="14"/>
      <c r="I829" s="7"/>
      <c r="J829" s="7"/>
      <c r="K829" s="7"/>
      <c r="L829" s="14"/>
      <c r="M829" s="354"/>
      <c r="N829" s="7"/>
      <c r="O829" s="13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spans="2:25" ht="14.25" customHeight="1" x14ac:dyDescent="0.25">
      <c r="B830" s="14"/>
      <c r="C830" s="14"/>
      <c r="D830" s="25"/>
      <c r="E830" s="25"/>
      <c r="F830" s="14"/>
      <c r="G830" s="14"/>
      <c r="H830" s="14"/>
      <c r="I830" s="7"/>
      <c r="J830" s="7"/>
      <c r="K830" s="7"/>
      <c r="L830" s="14"/>
      <c r="M830" s="354"/>
      <c r="N830" s="7"/>
      <c r="O830" s="13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spans="2:25" ht="14.25" customHeight="1" x14ac:dyDescent="0.25">
      <c r="B831" s="14"/>
      <c r="C831" s="14"/>
      <c r="D831" s="25"/>
      <c r="E831" s="25"/>
      <c r="F831" s="14"/>
      <c r="G831" s="14"/>
      <c r="H831" s="14"/>
      <c r="I831" s="7"/>
      <c r="J831" s="7"/>
      <c r="K831" s="7"/>
      <c r="L831" s="14"/>
      <c r="M831" s="354"/>
      <c r="N831" s="7"/>
      <c r="O831" s="13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spans="2:25" ht="14.25" customHeight="1" x14ac:dyDescent="0.25">
      <c r="B832" s="14"/>
      <c r="C832" s="14"/>
      <c r="D832" s="25"/>
      <c r="E832" s="25"/>
      <c r="F832" s="14"/>
      <c r="G832" s="14"/>
      <c r="H832" s="14"/>
      <c r="I832" s="7"/>
      <c r="J832" s="7"/>
      <c r="K832" s="7"/>
      <c r="L832" s="14"/>
      <c r="M832" s="354"/>
      <c r="N832" s="7"/>
      <c r="O832" s="13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spans="2:25" ht="14.25" customHeight="1" x14ac:dyDescent="0.25">
      <c r="B833" s="14"/>
      <c r="C833" s="14"/>
      <c r="D833" s="25"/>
      <c r="E833" s="25"/>
      <c r="F833" s="14"/>
      <c r="G833" s="14"/>
      <c r="H833" s="14"/>
      <c r="I833" s="7"/>
      <c r="J833" s="7"/>
      <c r="K833" s="7"/>
      <c r="L833" s="14"/>
      <c r="M833" s="354"/>
      <c r="N833" s="7"/>
      <c r="O833" s="13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spans="2:25" ht="14.25" customHeight="1" x14ac:dyDescent="0.25">
      <c r="B834" s="14"/>
      <c r="C834" s="14"/>
      <c r="D834" s="25"/>
      <c r="E834" s="25"/>
      <c r="F834" s="14"/>
      <c r="G834" s="14"/>
      <c r="H834" s="14"/>
      <c r="I834" s="7"/>
      <c r="J834" s="7"/>
      <c r="K834" s="7"/>
      <c r="L834" s="14"/>
      <c r="M834" s="354"/>
      <c r="N834" s="7"/>
      <c r="O834" s="13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spans="2:25" ht="14.25" customHeight="1" x14ac:dyDescent="0.25">
      <c r="B835" s="14"/>
      <c r="C835" s="14"/>
      <c r="D835" s="25"/>
      <c r="E835" s="25"/>
      <c r="F835" s="14"/>
      <c r="G835" s="14"/>
      <c r="H835" s="14"/>
      <c r="I835" s="7"/>
      <c r="J835" s="7"/>
      <c r="K835" s="7"/>
      <c r="L835" s="14"/>
      <c r="M835" s="354"/>
      <c r="N835" s="7"/>
      <c r="O835" s="13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spans="2:25" ht="14.25" customHeight="1" x14ac:dyDescent="0.25">
      <c r="B836" s="14"/>
      <c r="C836" s="14"/>
      <c r="D836" s="25"/>
      <c r="E836" s="25"/>
      <c r="F836" s="14"/>
      <c r="G836" s="14"/>
      <c r="H836" s="14"/>
      <c r="I836" s="7"/>
      <c r="J836" s="7"/>
      <c r="K836" s="7"/>
      <c r="L836" s="14"/>
      <c r="M836" s="354"/>
      <c r="N836" s="7"/>
      <c r="O836" s="13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spans="2:25" ht="14.25" customHeight="1" x14ac:dyDescent="0.25">
      <c r="B837" s="14"/>
      <c r="C837" s="14"/>
      <c r="D837" s="25"/>
      <c r="E837" s="25"/>
      <c r="F837" s="14"/>
      <c r="G837" s="14"/>
      <c r="H837" s="14"/>
      <c r="I837" s="7"/>
      <c r="J837" s="7"/>
      <c r="K837" s="7"/>
      <c r="L837" s="14"/>
      <c r="M837" s="354"/>
      <c r="N837" s="7"/>
      <c r="O837" s="13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spans="2:25" ht="14.25" customHeight="1" x14ac:dyDescent="0.25">
      <c r="B838" s="14"/>
      <c r="C838" s="14"/>
      <c r="D838" s="25"/>
      <c r="E838" s="25"/>
      <c r="F838" s="14"/>
      <c r="G838" s="14"/>
      <c r="H838" s="14"/>
      <c r="I838" s="7"/>
      <c r="J838" s="7"/>
      <c r="K838" s="7"/>
      <c r="L838" s="14"/>
      <c r="M838" s="354"/>
      <c r="N838" s="7"/>
      <c r="O838" s="13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spans="2:25" ht="14.25" customHeight="1" x14ac:dyDescent="0.25">
      <c r="B839" s="14"/>
      <c r="C839" s="14"/>
      <c r="D839" s="25"/>
      <c r="E839" s="25"/>
      <c r="F839" s="14"/>
      <c r="G839" s="14"/>
      <c r="H839" s="14"/>
      <c r="I839" s="7"/>
      <c r="J839" s="7"/>
      <c r="K839" s="7"/>
      <c r="L839" s="14"/>
      <c r="M839" s="354"/>
      <c r="N839" s="7"/>
      <c r="O839" s="13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spans="2:25" ht="14.25" customHeight="1" x14ac:dyDescent="0.25">
      <c r="B840" s="14"/>
      <c r="C840" s="14"/>
      <c r="D840" s="25"/>
      <c r="E840" s="25"/>
      <c r="F840" s="14"/>
      <c r="G840" s="14"/>
      <c r="H840" s="14"/>
      <c r="I840" s="7"/>
      <c r="J840" s="7"/>
      <c r="K840" s="7"/>
      <c r="L840" s="14"/>
      <c r="M840" s="354"/>
      <c r="N840" s="7"/>
      <c r="O840" s="13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spans="2:25" ht="14.25" customHeight="1" x14ac:dyDescent="0.25">
      <c r="B841" s="14"/>
      <c r="C841" s="14"/>
      <c r="D841" s="25"/>
      <c r="E841" s="25"/>
      <c r="F841" s="14"/>
      <c r="G841" s="14"/>
      <c r="H841" s="14"/>
      <c r="I841" s="7"/>
      <c r="J841" s="7"/>
      <c r="K841" s="7"/>
      <c r="L841" s="14"/>
      <c r="M841" s="354"/>
      <c r="N841" s="7"/>
      <c r="O841" s="13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spans="2:25" ht="14.25" customHeight="1" x14ac:dyDescent="0.25">
      <c r="B842" s="14"/>
      <c r="C842" s="14"/>
      <c r="D842" s="25"/>
      <c r="E842" s="25"/>
      <c r="F842" s="14"/>
      <c r="G842" s="14"/>
      <c r="H842" s="14"/>
      <c r="I842" s="7"/>
      <c r="J842" s="7"/>
      <c r="K842" s="7"/>
      <c r="L842" s="14"/>
      <c r="M842" s="354"/>
      <c r="N842" s="7"/>
      <c r="O842" s="13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spans="2:25" ht="14.25" customHeight="1" x14ac:dyDescent="0.25">
      <c r="B843" s="14"/>
      <c r="C843" s="14"/>
      <c r="D843" s="25"/>
      <c r="E843" s="25"/>
      <c r="F843" s="14"/>
      <c r="G843" s="14"/>
      <c r="H843" s="14"/>
      <c r="I843" s="7"/>
      <c r="J843" s="7"/>
      <c r="K843" s="7"/>
      <c r="L843" s="14"/>
      <c r="M843" s="354"/>
      <c r="N843" s="7"/>
      <c r="O843" s="13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spans="2:25" ht="14.25" customHeight="1" x14ac:dyDescent="0.25">
      <c r="B844" s="14"/>
      <c r="C844" s="14"/>
      <c r="D844" s="25"/>
      <c r="E844" s="25"/>
      <c r="F844" s="14"/>
      <c r="G844" s="14"/>
      <c r="H844" s="14"/>
      <c r="I844" s="7"/>
      <c r="J844" s="7"/>
      <c r="K844" s="7"/>
      <c r="L844" s="14"/>
      <c r="M844" s="354"/>
      <c r="N844" s="7"/>
      <c r="O844" s="13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spans="2:25" ht="14.25" customHeight="1" x14ac:dyDescent="0.25">
      <c r="B845" s="14"/>
      <c r="C845" s="14"/>
      <c r="D845" s="25"/>
      <c r="E845" s="25"/>
      <c r="F845" s="14"/>
      <c r="G845" s="14"/>
      <c r="H845" s="14"/>
      <c r="I845" s="7"/>
      <c r="J845" s="7"/>
      <c r="K845" s="7"/>
      <c r="L845" s="14"/>
      <c r="M845" s="354"/>
      <c r="N845" s="7"/>
      <c r="O845" s="13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spans="2:25" ht="14.25" customHeight="1" x14ac:dyDescent="0.25">
      <c r="B846" s="14"/>
      <c r="C846" s="14"/>
      <c r="D846" s="25"/>
      <c r="E846" s="25"/>
      <c r="F846" s="14"/>
      <c r="G846" s="14"/>
      <c r="H846" s="14"/>
      <c r="I846" s="7"/>
      <c r="J846" s="7"/>
      <c r="K846" s="7"/>
      <c r="L846" s="14"/>
      <c r="M846" s="354"/>
      <c r="N846" s="7"/>
      <c r="O846" s="13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spans="2:25" ht="14.25" customHeight="1" x14ac:dyDescent="0.25">
      <c r="B847" s="14"/>
      <c r="C847" s="14"/>
      <c r="D847" s="25"/>
      <c r="E847" s="25"/>
      <c r="F847" s="14"/>
      <c r="G847" s="14"/>
      <c r="H847" s="14"/>
      <c r="I847" s="7"/>
      <c r="J847" s="7"/>
      <c r="K847" s="7"/>
      <c r="L847" s="14"/>
      <c r="M847" s="354"/>
      <c r="N847" s="7"/>
      <c r="O847" s="13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spans="2:25" ht="14.25" customHeight="1" x14ac:dyDescent="0.25">
      <c r="B848" s="14"/>
      <c r="C848" s="14"/>
      <c r="D848" s="25"/>
      <c r="E848" s="25"/>
      <c r="F848" s="14"/>
      <c r="G848" s="14"/>
      <c r="H848" s="14"/>
      <c r="I848" s="7"/>
      <c r="J848" s="7"/>
      <c r="K848" s="7"/>
      <c r="L848" s="14"/>
      <c r="M848" s="354"/>
      <c r="N848" s="7"/>
      <c r="O848" s="13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spans="2:25" ht="14.25" customHeight="1" x14ac:dyDescent="0.25">
      <c r="B849" s="14"/>
      <c r="C849" s="14"/>
      <c r="D849" s="25"/>
      <c r="E849" s="25"/>
      <c r="F849" s="14"/>
      <c r="G849" s="14"/>
      <c r="H849" s="14"/>
      <c r="I849" s="7"/>
      <c r="J849" s="7"/>
      <c r="K849" s="7"/>
      <c r="L849" s="14"/>
      <c r="M849" s="354"/>
      <c r="N849" s="7"/>
      <c r="O849" s="13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spans="2:25" ht="14.25" customHeight="1" x14ac:dyDescent="0.25">
      <c r="B850" s="14"/>
      <c r="C850" s="14"/>
      <c r="D850" s="25"/>
      <c r="E850" s="25"/>
      <c r="F850" s="14"/>
      <c r="G850" s="14"/>
      <c r="H850" s="14"/>
      <c r="I850" s="7"/>
      <c r="J850" s="7"/>
      <c r="K850" s="7"/>
      <c r="L850" s="14"/>
      <c r="M850" s="354"/>
      <c r="N850" s="7"/>
      <c r="O850" s="13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spans="2:25" ht="14.25" customHeight="1" x14ac:dyDescent="0.25">
      <c r="B851" s="14"/>
      <c r="C851" s="14"/>
      <c r="D851" s="25"/>
      <c r="E851" s="25"/>
      <c r="F851" s="14"/>
      <c r="G851" s="14"/>
      <c r="H851" s="14"/>
      <c r="I851" s="7"/>
      <c r="J851" s="7"/>
      <c r="K851" s="7"/>
      <c r="L851" s="14"/>
      <c r="M851" s="354"/>
      <c r="N851" s="7"/>
      <c r="O851" s="13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spans="2:25" ht="14.25" customHeight="1" x14ac:dyDescent="0.25">
      <c r="B852" s="14"/>
      <c r="C852" s="14"/>
      <c r="D852" s="25"/>
      <c r="E852" s="25"/>
      <c r="F852" s="14"/>
      <c r="G852" s="14"/>
      <c r="H852" s="14"/>
      <c r="I852" s="7"/>
      <c r="J852" s="7"/>
      <c r="K852" s="7"/>
      <c r="L852" s="14"/>
      <c r="M852" s="354"/>
      <c r="N852" s="7"/>
      <c r="O852" s="13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spans="2:25" ht="14.25" customHeight="1" x14ac:dyDescent="0.25">
      <c r="B853" s="14"/>
      <c r="C853" s="14"/>
      <c r="D853" s="25"/>
      <c r="E853" s="25"/>
      <c r="F853" s="14"/>
      <c r="G853" s="14"/>
      <c r="H853" s="14"/>
      <c r="I853" s="7"/>
      <c r="J853" s="7"/>
      <c r="K853" s="7"/>
      <c r="L853" s="14"/>
      <c r="M853" s="354"/>
      <c r="N853" s="7"/>
      <c r="O853" s="13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spans="2:25" ht="14.25" customHeight="1" x14ac:dyDescent="0.25">
      <c r="B854" s="14"/>
      <c r="C854" s="14"/>
      <c r="D854" s="25"/>
      <c r="E854" s="25"/>
      <c r="F854" s="14"/>
      <c r="G854" s="14"/>
      <c r="H854" s="14"/>
      <c r="I854" s="7"/>
      <c r="J854" s="7"/>
      <c r="K854" s="7"/>
      <c r="L854" s="14"/>
      <c r="M854" s="354"/>
      <c r="N854" s="7"/>
      <c r="O854" s="13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spans="2:25" ht="14.25" customHeight="1" x14ac:dyDescent="0.25">
      <c r="B855" s="14"/>
      <c r="C855" s="14"/>
      <c r="D855" s="25"/>
      <c r="E855" s="25"/>
      <c r="F855" s="14"/>
      <c r="G855" s="14"/>
      <c r="H855" s="14"/>
      <c r="I855" s="7"/>
      <c r="J855" s="7"/>
      <c r="K855" s="7"/>
      <c r="L855" s="14"/>
      <c r="M855" s="354"/>
      <c r="N855" s="7"/>
      <c r="O855" s="13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spans="2:25" ht="14.25" customHeight="1" x14ac:dyDescent="0.25">
      <c r="B856" s="14"/>
      <c r="C856" s="14"/>
      <c r="D856" s="25"/>
      <c r="E856" s="25"/>
      <c r="F856" s="14"/>
      <c r="G856" s="14"/>
      <c r="H856" s="14"/>
      <c r="I856" s="7"/>
      <c r="J856" s="7"/>
      <c r="K856" s="7"/>
      <c r="L856" s="14"/>
      <c r="M856" s="354"/>
      <c r="N856" s="7"/>
      <c r="O856" s="13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spans="2:25" ht="14.25" customHeight="1" x14ac:dyDescent="0.25">
      <c r="B857" s="14"/>
      <c r="C857" s="14"/>
      <c r="D857" s="25"/>
      <c r="E857" s="25"/>
      <c r="F857" s="14"/>
      <c r="G857" s="14"/>
      <c r="H857" s="14"/>
      <c r="I857" s="7"/>
      <c r="J857" s="7"/>
      <c r="K857" s="7"/>
      <c r="L857" s="14"/>
      <c r="M857" s="354"/>
      <c r="N857" s="7"/>
      <c r="O857" s="13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spans="2:25" ht="14.25" customHeight="1" x14ac:dyDescent="0.25">
      <c r="B858" s="14"/>
      <c r="C858" s="14"/>
      <c r="D858" s="25"/>
      <c r="E858" s="25"/>
      <c r="F858" s="14"/>
      <c r="G858" s="14"/>
      <c r="H858" s="14"/>
      <c r="I858" s="7"/>
      <c r="J858" s="7"/>
      <c r="K858" s="7"/>
      <c r="L858" s="14"/>
      <c r="M858" s="354"/>
      <c r="N858" s="7"/>
      <c r="O858" s="13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spans="2:25" ht="14.25" customHeight="1" x14ac:dyDescent="0.25">
      <c r="B859" s="14"/>
      <c r="C859" s="14"/>
      <c r="D859" s="25"/>
      <c r="E859" s="25"/>
      <c r="F859" s="14"/>
      <c r="G859" s="14"/>
      <c r="H859" s="14"/>
      <c r="I859" s="7"/>
      <c r="J859" s="7"/>
      <c r="K859" s="7"/>
      <c r="L859" s="14"/>
      <c r="M859" s="354"/>
      <c r="N859" s="7"/>
      <c r="O859" s="13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spans="2:25" ht="14.25" customHeight="1" x14ac:dyDescent="0.25">
      <c r="B860" s="14"/>
      <c r="C860" s="14"/>
      <c r="D860" s="25"/>
      <c r="E860" s="25"/>
      <c r="F860" s="14"/>
      <c r="G860" s="14"/>
      <c r="H860" s="14"/>
      <c r="I860" s="7"/>
      <c r="J860" s="7"/>
      <c r="K860" s="7"/>
      <c r="L860" s="14"/>
      <c r="M860" s="354"/>
      <c r="N860" s="7"/>
      <c r="O860" s="13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spans="2:25" ht="14.25" customHeight="1" x14ac:dyDescent="0.25">
      <c r="B861" s="14"/>
      <c r="C861" s="14"/>
      <c r="D861" s="25"/>
      <c r="E861" s="25"/>
      <c r="F861" s="14"/>
      <c r="G861" s="14"/>
      <c r="H861" s="14"/>
      <c r="I861" s="7"/>
      <c r="J861" s="7"/>
      <c r="K861" s="7"/>
      <c r="L861" s="14"/>
      <c r="M861" s="354"/>
      <c r="N861" s="7"/>
      <c r="O861" s="13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spans="2:25" ht="14.25" customHeight="1" x14ac:dyDescent="0.25">
      <c r="B862" s="14"/>
      <c r="C862" s="14"/>
      <c r="D862" s="25"/>
      <c r="E862" s="25"/>
      <c r="F862" s="14"/>
      <c r="G862" s="14"/>
      <c r="H862" s="14"/>
      <c r="I862" s="7"/>
      <c r="J862" s="7"/>
      <c r="K862" s="7"/>
      <c r="L862" s="14"/>
      <c r="M862" s="354"/>
      <c r="N862" s="7"/>
      <c r="O862" s="13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spans="2:25" ht="14.25" customHeight="1" x14ac:dyDescent="0.25">
      <c r="B863" s="14"/>
      <c r="C863" s="14"/>
      <c r="D863" s="25"/>
      <c r="E863" s="25"/>
      <c r="F863" s="14"/>
      <c r="G863" s="14"/>
      <c r="H863" s="14"/>
      <c r="I863" s="7"/>
      <c r="J863" s="7"/>
      <c r="K863" s="7"/>
      <c r="L863" s="14"/>
      <c r="M863" s="354"/>
      <c r="N863" s="7"/>
      <c r="O863" s="13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spans="2:25" ht="14.25" customHeight="1" x14ac:dyDescent="0.25">
      <c r="B864" s="14"/>
      <c r="C864" s="14"/>
      <c r="D864" s="25"/>
      <c r="E864" s="25"/>
      <c r="F864" s="14"/>
      <c r="G864" s="14"/>
      <c r="H864" s="14"/>
      <c r="I864" s="7"/>
      <c r="J864" s="7"/>
      <c r="K864" s="7"/>
      <c r="L864" s="14"/>
      <c r="M864" s="354"/>
      <c r="N864" s="7"/>
      <c r="O864" s="13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spans="2:25" ht="14.25" customHeight="1" x14ac:dyDescent="0.25">
      <c r="B865" s="14"/>
      <c r="C865" s="14"/>
      <c r="D865" s="25"/>
      <c r="E865" s="25"/>
      <c r="F865" s="14"/>
      <c r="G865" s="14"/>
      <c r="H865" s="14"/>
      <c r="I865" s="7"/>
      <c r="J865" s="7"/>
      <c r="K865" s="7"/>
      <c r="L865" s="14"/>
      <c r="M865" s="354"/>
      <c r="N865" s="7"/>
      <c r="O865" s="13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spans="2:25" ht="14.25" customHeight="1" x14ac:dyDescent="0.25">
      <c r="B866" s="14"/>
      <c r="C866" s="14"/>
      <c r="D866" s="25"/>
      <c r="E866" s="25"/>
      <c r="F866" s="14"/>
      <c r="G866" s="14"/>
      <c r="H866" s="14"/>
      <c r="I866" s="7"/>
      <c r="J866" s="7"/>
      <c r="K866" s="7"/>
      <c r="L866" s="14"/>
      <c r="M866" s="354"/>
      <c r="N866" s="7"/>
      <c r="O866" s="13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spans="2:25" ht="14.25" customHeight="1" x14ac:dyDescent="0.25">
      <c r="B867" s="14"/>
      <c r="C867" s="14"/>
      <c r="D867" s="25"/>
      <c r="E867" s="25"/>
      <c r="F867" s="14"/>
      <c r="G867" s="14"/>
      <c r="H867" s="14"/>
      <c r="I867" s="7"/>
      <c r="J867" s="7"/>
      <c r="K867" s="7"/>
      <c r="L867" s="14"/>
      <c r="M867" s="354"/>
      <c r="N867" s="7"/>
      <c r="O867" s="13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spans="2:25" ht="14.25" customHeight="1" x14ac:dyDescent="0.25">
      <c r="B868" s="14"/>
      <c r="C868" s="14"/>
      <c r="D868" s="25"/>
      <c r="E868" s="25"/>
      <c r="F868" s="14"/>
      <c r="G868" s="14"/>
      <c r="H868" s="14"/>
      <c r="I868" s="7"/>
      <c r="J868" s="7"/>
      <c r="K868" s="7"/>
      <c r="L868" s="14"/>
      <c r="M868" s="354"/>
      <c r="N868" s="7"/>
      <c r="O868" s="13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spans="2:25" ht="14.25" customHeight="1" x14ac:dyDescent="0.25">
      <c r="B869" s="14"/>
      <c r="C869" s="14"/>
      <c r="D869" s="25"/>
      <c r="E869" s="25"/>
      <c r="F869" s="14"/>
      <c r="G869" s="14"/>
      <c r="H869" s="14"/>
      <c r="I869" s="7"/>
      <c r="J869" s="7"/>
      <c r="K869" s="7"/>
      <c r="L869" s="14"/>
      <c r="M869" s="354"/>
      <c r="N869" s="7"/>
      <c r="O869" s="13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spans="2:25" ht="14.25" customHeight="1" x14ac:dyDescent="0.25">
      <c r="B870" s="14"/>
      <c r="C870" s="14"/>
      <c r="D870" s="25"/>
      <c r="E870" s="25"/>
      <c r="F870" s="14"/>
      <c r="G870" s="14"/>
      <c r="H870" s="14"/>
      <c r="I870" s="7"/>
      <c r="J870" s="7"/>
      <c r="K870" s="7"/>
      <c r="L870" s="14"/>
      <c r="M870" s="354"/>
      <c r="N870" s="7"/>
      <c r="O870" s="13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spans="2:25" ht="14.25" customHeight="1" x14ac:dyDescent="0.25">
      <c r="B871" s="14"/>
      <c r="C871" s="14"/>
      <c r="D871" s="25"/>
      <c r="E871" s="25"/>
      <c r="F871" s="14"/>
      <c r="G871" s="14"/>
      <c r="H871" s="14"/>
      <c r="I871" s="7"/>
      <c r="J871" s="7"/>
      <c r="K871" s="7"/>
      <c r="L871" s="14"/>
      <c r="M871" s="354"/>
      <c r="N871" s="7"/>
      <c r="O871" s="13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spans="2:25" ht="14.25" customHeight="1" x14ac:dyDescent="0.25">
      <c r="B872" s="14"/>
      <c r="C872" s="14"/>
      <c r="D872" s="25"/>
      <c r="E872" s="25"/>
      <c r="F872" s="14"/>
      <c r="G872" s="14"/>
      <c r="H872" s="14"/>
      <c r="I872" s="7"/>
      <c r="J872" s="7"/>
      <c r="K872" s="7"/>
      <c r="L872" s="14"/>
      <c r="M872" s="354"/>
      <c r="N872" s="7"/>
      <c r="O872" s="13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spans="2:25" ht="14.25" customHeight="1" x14ac:dyDescent="0.25">
      <c r="B873" s="14"/>
      <c r="C873" s="14"/>
      <c r="D873" s="25"/>
      <c r="E873" s="25"/>
      <c r="F873" s="14"/>
      <c r="G873" s="14"/>
      <c r="H873" s="14"/>
      <c r="I873" s="7"/>
      <c r="J873" s="7"/>
      <c r="K873" s="7"/>
      <c r="L873" s="14"/>
      <c r="M873" s="354"/>
      <c r="N873" s="7"/>
      <c r="O873" s="13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spans="2:25" ht="14.25" customHeight="1" x14ac:dyDescent="0.25">
      <c r="B874" s="14"/>
      <c r="C874" s="14"/>
      <c r="D874" s="25"/>
      <c r="E874" s="25"/>
      <c r="F874" s="14"/>
      <c r="G874" s="14"/>
      <c r="H874" s="14"/>
      <c r="I874" s="7"/>
      <c r="J874" s="7"/>
      <c r="K874" s="7"/>
      <c r="L874" s="14"/>
      <c r="M874" s="354"/>
      <c r="N874" s="7"/>
      <c r="O874" s="13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spans="2:25" ht="14.25" customHeight="1" x14ac:dyDescent="0.25">
      <c r="B875" s="14"/>
      <c r="C875" s="14"/>
      <c r="D875" s="25"/>
      <c r="E875" s="25"/>
      <c r="F875" s="14"/>
      <c r="G875" s="14"/>
      <c r="H875" s="14"/>
      <c r="I875" s="7"/>
      <c r="J875" s="7"/>
      <c r="K875" s="7"/>
      <c r="L875" s="14"/>
      <c r="M875" s="354"/>
      <c r="N875" s="7"/>
      <c r="O875" s="13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spans="2:25" ht="14.25" customHeight="1" x14ac:dyDescent="0.25">
      <c r="B876" s="14"/>
      <c r="C876" s="14"/>
      <c r="D876" s="25"/>
      <c r="E876" s="25"/>
      <c r="F876" s="14"/>
      <c r="G876" s="14"/>
      <c r="H876" s="14"/>
      <c r="I876" s="7"/>
      <c r="J876" s="7"/>
      <c r="K876" s="7"/>
      <c r="L876" s="14"/>
      <c r="M876" s="354"/>
      <c r="N876" s="7"/>
      <c r="O876" s="13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spans="2:25" ht="14.25" customHeight="1" x14ac:dyDescent="0.25">
      <c r="B877" s="14"/>
      <c r="C877" s="14"/>
      <c r="D877" s="25"/>
      <c r="E877" s="25"/>
      <c r="F877" s="14"/>
      <c r="G877" s="14"/>
      <c r="H877" s="14"/>
      <c r="I877" s="7"/>
      <c r="J877" s="7"/>
      <c r="K877" s="7"/>
      <c r="L877" s="14"/>
      <c r="M877" s="354"/>
      <c r="N877" s="7"/>
      <c r="O877" s="13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spans="2:25" ht="14.25" customHeight="1" x14ac:dyDescent="0.25">
      <c r="B878" s="14"/>
      <c r="C878" s="14"/>
      <c r="D878" s="25"/>
      <c r="E878" s="25"/>
      <c r="F878" s="14"/>
      <c r="G878" s="14"/>
      <c r="H878" s="14"/>
      <c r="I878" s="7"/>
      <c r="J878" s="7"/>
      <c r="K878" s="7"/>
      <c r="L878" s="14"/>
      <c r="M878" s="354"/>
      <c r="N878" s="7"/>
      <c r="O878" s="13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spans="2:25" ht="14.25" customHeight="1" x14ac:dyDescent="0.25">
      <c r="B879" s="14"/>
      <c r="C879" s="14"/>
      <c r="D879" s="25"/>
      <c r="E879" s="25"/>
      <c r="F879" s="14"/>
      <c r="G879" s="14"/>
      <c r="H879" s="14"/>
      <c r="I879" s="7"/>
      <c r="J879" s="7"/>
      <c r="K879" s="7"/>
      <c r="L879" s="14"/>
      <c r="M879" s="354"/>
      <c r="N879" s="7"/>
      <c r="O879" s="13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spans="2:25" ht="14.25" customHeight="1" x14ac:dyDescent="0.25">
      <c r="B880" s="14"/>
      <c r="C880" s="14"/>
      <c r="D880" s="25"/>
      <c r="E880" s="25"/>
      <c r="F880" s="14"/>
      <c r="G880" s="14"/>
      <c r="H880" s="14"/>
      <c r="I880" s="7"/>
      <c r="J880" s="7"/>
      <c r="K880" s="7"/>
      <c r="L880" s="14"/>
      <c r="M880" s="354"/>
      <c r="N880" s="7"/>
      <c r="O880" s="13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spans="2:25" ht="14.25" customHeight="1" x14ac:dyDescent="0.25">
      <c r="B881" s="14"/>
      <c r="C881" s="14"/>
      <c r="D881" s="25"/>
      <c r="E881" s="25"/>
      <c r="F881" s="14"/>
      <c r="G881" s="14"/>
      <c r="H881" s="14"/>
      <c r="I881" s="7"/>
      <c r="J881" s="7"/>
      <c r="K881" s="7"/>
      <c r="L881" s="14"/>
      <c r="M881" s="354"/>
      <c r="N881" s="7"/>
      <c r="O881" s="13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spans="2:25" ht="14.25" customHeight="1" x14ac:dyDescent="0.25">
      <c r="B882" s="14"/>
      <c r="C882" s="14"/>
      <c r="D882" s="25"/>
      <c r="E882" s="25"/>
      <c r="F882" s="14"/>
      <c r="G882" s="14"/>
      <c r="H882" s="14"/>
      <c r="I882" s="7"/>
      <c r="J882" s="7"/>
      <c r="K882" s="7"/>
      <c r="L882" s="14"/>
      <c r="M882" s="354"/>
      <c r="N882" s="7"/>
      <c r="O882" s="13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spans="2:25" ht="14.25" customHeight="1" x14ac:dyDescent="0.25">
      <c r="B883" s="14"/>
      <c r="C883" s="14"/>
      <c r="D883" s="25"/>
      <c r="E883" s="25"/>
      <c r="F883" s="14"/>
      <c r="G883" s="14"/>
      <c r="H883" s="14"/>
      <c r="I883" s="7"/>
      <c r="J883" s="7"/>
      <c r="K883" s="7"/>
      <c r="L883" s="14"/>
      <c r="M883" s="354"/>
      <c r="N883" s="7"/>
      <c r="O883" s="13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spans="2:25" ht="14.25" customHeight="1" x14ac:dyDescent="0.25">
      <c r="B884" s="14"/>
      <c r="C884" s="14"/>
      <c r="D884" s="25"/>
      <c r="E884" s="25"/>
      <c r="F884" s="14"/>
      <c r="G884" s="14"/>
      <c r="H884" s="14"/>
      <c r="I884" s="7"/>
      <c r="J884" s="7"/>
      <c r="K884" s="7"/>
      <c r="L884" s="14"/>
      <c r="M884" s="354"/>
      <c r="N884" s="7"/>
      <c r="O884" s="13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spans="2:25" ht="14.25" customHeight="1" x14ac:dyDescent="0.25">
      <c r="B885" s="14"/>
      <c r="C885" s="14"/>
      <c r="D885" s="25"/>
      <c r="E885" s="25"/>
      <c r="F885" s="14"/>
      <c r="G885" s="14"/>
      <c r="H885" s="14"/>
      <c r="I885" s="7"/>
      <c r="J885" s="7"/>
      <c r="K885" s="7"/>
      <c r="L885" s="14"/>
      <c r="M885" s="354"/>
      <c r="N885" s="7"/>
      <c r="O885" s="13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spans="2:25" ht="14.25" customHeight="1" x14ac:dyDescent="0.25">
      <c r="B886" s="14"/>
      <c r="C886" s="14"/>
      <c r="D886" s="25"/>
      <c r="E886" s="25"/>
      <c r="F886" s="14"/>
      <c r="G886" s="14"/>
      <c r="H886" s="14"/>
      <c r="I886" s="7"/>
      <c r="J886" s="7"/>
      <c r="K886" s="7"/>
      <c r="L886" s="14"/>
      <c r="M886" s="354"/>
      <c r="N886" s="7"/>
      <c r="O886" s="13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spans="2:25" ht="14.25" customHeight="1" x14ac:dyDescent="0.25">
      <c r="B887" s="14"/>
      <c r="C887" s="14"/>
      <c r="D887" s="25"/>
      <c r="E887" s="25"/>
      <c r="F887" s="14"/>
      <c r="G887" s="14"/>
      <c r="H887" s="14"/>
      <c r="I887" s="7"/>
      <c r="J887" s="7"/>
      <c r="K887" s="7"/>
      <c r="L887" s="14"/>
      <c r="M887" s="354"/>
      <c r="N887" s="7"/>
      <c r="O887" s="13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spans="2:25" ht="14.25" customHeight="1" x14ac:dyDescent="0.25">
      <c r="B888" s="14"/>
      <c r="C888" s="14"/>
      <c r="D888" s="25"/>
      <c r="E888" s="25"/>
      <c r="F888" s="14"/>
      <c r="G888" s="14"/>
      <c r="H888" s="14"/>
      <c r="I888" s="7"/>
      <c r="J888" s="7"/>
      <c r="K888" s="7"/>
      <c r="L888" s="14"/>
      <c r="M888" s="354"/>
      <c r="N888" s="7"/>
      <c r="O888" s="13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spans="2:25" ht="14.25" customHeight="1" x14ac:dyDescent="0.25">
      <c r="B889" s="14"/>
      <c r="C889" s="14"/>
      <c r="D889" s="25"/>
      <c r="E889" s="25"/>
      <c r="F889" s="14"/>
      <c r="G889" s="14"/>
      <c r="H889" s="14"/>
      <c r="I889" s="7"/>
      <c r="J889" s="7"/>
      <c r="K889" s="7"/>
      <c r="L889" s="14"/>
      <c r="M889" s="354"/>
      <c r="N889" s="7"/>
      <c r="O889" s="13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spans="2:25" ht="14.25" customHeight="1" x14ac:dyDescent="0.25">
      <c r="B890" s="14"/>
      <c r="C890" s="14"/>
      <c r="D890" s="25"/>
      <c r="E890" s="25"/>
      <c r="F890" s="14"/>
      <c r="G890" s="14"/>
      <c r="H890" s="14"/>
      <c r="I890" s="7"/>
      <c r="J890" s="7"/>
      <c r="K890" s="7"/>
      <c r="L890" s="14"/>
      <c r="M890" s="354"/>
      <c r="N890" s="7"/>
      <c r="O890" s="13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spans="2:25" ht="14.25" customHeight="1" x14ac:dyDescent="0.25">
      <c r="B891" s="14"/>
      <c r="C891" s="14"/>
      <c r="D891" s="25"/>
      <c r="E891" s="25"/>
      <c r="F891" s="14"/>
      <c r="G891" s="14"/>
      <c r="H891" s="14"/>
      <c r="I891" s="7"/>
      <c r="J891" s="7"/>
      <c r="K891" s="7"/>
      <c r="L891" s="14"/>
      <c r="M891" s="354"/>
      <c r="N891" s="7"/>
      <c r="O891" s="13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spans="2:25" ht="14.25" customHeight="1" x14ac:dyDescent="0.25">
      <c r="B892" s="14"/>
      <c r="C892" s="14"/>
      <c r="D892" s="25"/>
      <c r="E892" s="25"/>
      <c r="F892" s="14"/>
      <c r="G892" s="14"/>
      <c r="H892" s="14"/>
      <c r="I892" s="7"/>
      <c r="J892" s="7"/>
      <c r="K892" s="7"/>
      <c r="L892" s="14"/>
      <c r="M892" s="354"/>
      <c r="N892" s="7"/>
      <c r="O892" s="13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spans="2:25" ht="14.25" customHeight="1" x14ac:dyDescent="0.25">
      <c r="B893" s="14"/>
      <c r="C893" s="14"/>
      <c r="D893" s="25"/>
      <c r="E893" s="25"/>
      <c r="F893" s="14"/>
      <c r="G893" s="14"/>
      <c r="H893" s="14"/>
      <c r="I893" s="7"/>
      <c r="J893" s="7"/>
      <c r="K893" s="7"/>
      <c r="L893" s="14"/>
      <c r="M893" s="354"/>
      <c r="N893" s="7"/>
      <c r="O893" s="13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spans="2:25" ht="14.25" customHeight="1" x14ac:dyDescent="0.25">
      <c r="B894" s="14"/>
      <c r="C894" s="14"/>
      <c r="D894" s="25"/>
      <c r="E894" s="25"/>
      <c r="F894" s="14"/>
      <c r="G894" s="14"/>
      <c r="H894" s="14"/>
      <c r="I894" s="7"/>
      <c r="J894" s="7"/>
      <c r="K894" s="7"/>
      <c r="L894" s="14"/>
      <c r="M894" s="354"/>
      <c r="N894" s="7"/>
      <c r="O894" s="13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spans="2:25" ht="14.25" customHeight="1" x14ac:dyDescent="0.25">
      <c r="B895" s="14"/>
      <c r="C895" s="14"/>
      <c r="D895" s="25"/>
      <c r="E895" s="25"/>
      <c r="F895" s="14"/>
      <c r="G895" s="14"/>
      <c r="H895" s="14"/>
      <c r="I895" s="7"/>
      <c r="J895" s="7"/>
      <c r="K895" s="7"/>
      <c r="L895" s="14"/>
      <c r="M895" s="354"/>
      <c r="N895" s="7"/>
      <c r="O895" s="13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spans="2:25" ht="14.25" customHeight="1" x14ac:dyDescent="0.25">
      <c r="B896" s="14"/>
      <c r="C896" s="14"/>
      <c r="D896" s="25"/>
      <c r="E896" s="25"/>
      <c r="F896" s="14"/>
      <c r="G896" s="14"/>
      <c r="H896" s="14"/>
      <c r="I896" s="7"/>
      <c r="J896" s="7"/>
      <c r="K896" s="7"/>
      <c r="L896" s="14"/>
      <c r="M896" s="354"/>
      <c r="N896" s="7"/>
      <c r="O896" s="13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spans="2:25" ht="14.25" customHeight="1" x14ac:dyDescent="0.25">
      <c r="B897" s="14"/>
      <c r="C897" s="14"/>
      <c r="D897" s="25"/>
      <c r="E897" s="25"/>
      <c r="F897" s="14"/>
      <c r="G897" s="14"/>
      <c r="H897" s="14"/>
      <c r="I897" s="7"/>
      <c r="J897" s="7"/>
      <c r="K897" s="7"/>
      <c r="L897" s="14"/>
      <c r="M897" s="354"/>
      <c r="N897" s="7"/>
      <c r="O897" s="13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spans="2:25" ht="14.25" customHeight="1" x14ac:dyDescent="0.25">
      <c r="B898" s="14"/>
      <c r="C898" s="14"/>
      <c r="D898" s="25"/>
      <c r="E898" s="25"/>
      <c r="F898" s="14"/>
      <c r="G898" s="14"/>
      <c r="H898" s="14"/>
      <c r="I898" s="7"/>
      <c r="J898" s="7"/>
      <c r="K898" s="7"/>
      <c r="L898" s="14"/>
      <c r="M898" s="354"/>
      <c r="N898" s="7"/>
      <c r="O898" s="13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spans="2:25" ht="14.25" customHeight="1" x14ac:dyDescent="0.25">
      <c r="B899" s="14"/>
      <c r="C899" s="14"/>
      <c r="D899" s="25"/>
      <c r="E899" s="25"/>
      <c r="F899" s="14"/>
      <c r="G899" s="14"/>
      <c r="H899" s="14"/>
      <c r="I899" s="7"/>
      <c r="J899" s="7"/>
      <c r="K899" s="7"/>
      <c r="L899" s="14"/>
      <c r="M899" s="354"/>
      <c r="N899" s="7"/>
      <c r="O899" s="13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spans="2:25" ht="14.25" customHeight="1" x14ac:dyDescent="0.25">
      <c r="B900" s="14"/>
      <c r="C900" s="14"/>
      <c r="D900" s="25"/>
      <c r="E900" s="25"/>
      <c r="F900" s="14"/>
      <c r="G900" s="14"/>
      <c r="H900" s="14"/>
      <c r="I900" s="7"/>
      <c r="J900" s="7"/>
      <c r="K900" s="7"/>
      <c r="L900" s="14"/>
      <c r="M900" s="354"/>
      <c r="N900" s="7"/>
      <c r="O900" s="13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spans="2:25" ht="14.25" customHeight="1" x14ac:dyDescent="0.25">
      <c r="B901" s="14"/>
      <c r="C901" s="14"/>
      <c r="D901" s="25"/>
      <c r="E901" s="25"/>
      <c r="F901" s="14"/>
      <c r="G901" s="14"/>
      <c r="H901" s="14"/>
      <c r="I901" s="7"/>
      <c r="J901" s="7"/>
      <c r="K901" s="7"/>
      <c r="L901" s="14"/>
      <c r="M901" s="354"/>
      <c r="N901" s="7"/>
      <c r="O901" s="13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spans="2:25" ht="14.25" customHeight="1" x14ac:dyDescent="0.25">
      <c r="B902" s="14"/>
      <c r="C902" s="14"/>
      <c r="D902" s="25"/>
      <c r="E902" s="25"/>
      <c r="F902" s="14"/>
      <c r="G902" s="14"/>
      <c r="H902" s="14"/>
      <c r="I902" s="7"/>
      <c r="J902" s="7"/>
      <c r="K902" s="7"/>
      <c r="L902" s="14"/>
      <c r="M902" s="354"/>
      <c r="N902" s="7"/>
      <c r="O902" s="13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spans="2:25" ht="14.25" customHeight="1" x14ac:dyDescent="0.25">
      <c r="B903" s="14"/>
      <c r="C903" s="14"/>
      <c r="D903" s="25"/>
      <c r="E903" s="25"/>
      <c r="F903" s="14"/>
      <c r="G903" s="14"/>
      <c r="H903" s="14"/>
      <c r="I903" s="7"/>
      <c r="J903" s="7"/>
      <c r="K903" s="7"/>
      <c r="L903" s="14"/>
      <c r="M903" s="354"/>
      <c r="N903" s="7"/>
      <c r="O903" s="13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spans="2:25" ht="14.25" customHeight="1" x14ac:dyDescent="0.25">
      <c r="B904" s="14"/>
      <c r="C904" s="14"/>
      <c r="D904" s="25"/>
      <c r="E904" s="25"/>
      <c r="F904" s="14"/>
      <c r="G904" s="14"/>
      <c r="H904" s="14"/>
      <c r="I904" s="7"/>
      <c r="J904" s="7"/>
      <c r="K904" s="7"/>
      <c r="L904" s="14"/>
      <c r="M904" s="354"/>
      <c r="N904" s="7"/>
      <c r="O904" s="13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spans="2:25" ht="14.25" customHeight="1" x14ac:dyDescent="0.25">
      <c r="B905" s="14"/>
      <c r="C905" s="14"/>
      <c r="D905" s="25"/>
      <c r="E905" s="25"/>
      <c r="F905" s="14"/>
      <c r="G905" s="14"/>
      <c r="H905" s="14"/>
      <c r="I905" s="7"/>
      <c r="J905" s="7"/>
      <c r="K905" s="7"/>
      <c r="L905" s="14"/>
      <c r="M905" s="354"/>
      <c r="N905" s="7"/>
      <c r="O905" s="13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spans="2:25" ht="14.25" customHeight="1" x14ac:dyDescent="0.25">
      <c r="B906" s="14"/>
      <c r="C906" s="14"/>
      <c r="D906" s="25"/>
      <c r="E906" s="25"/>
      <c r="F906" s="14"/>
      <c r="G906" s="14"/>
      <c r="H906" s="14"/>
      <c r="I906" s="7"/>
      <c r="J906" s="7"/>
      <c r="K906" s="7"/>
      <c r="L906" s="14"/>
      <c r="M906" s="354"/>
      <c r="N906" s="7"/>
      <c r="O906" s="13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spans="2:25" ht="14.25" customHeight="1" x14ac:dyDescent="0.25">
      <c r="B907" s="14"/>
      <c r="C907" s="14"/>
      <c r="D907" s="25"/>
      <c r="E907" s="25"/>
      <c r="F907" s="14"/>
      <c r="G907" s="14"/>
      <c r="H907" s="14"/>
      <c r="I907" s="7"/>
      <c r="J907" s="7"/>
      <c r="K907" s="7"/>
      <c r="L907" s="14"/>
      <c r="M907" s="354"/>
      <c r="N907" s="7"/>
      <c r="O907" s="13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spans="2:25" ht="14.25" customHeight="1" x14ac:dyDescent="0.25">
      <c r="B908" s="14"/>
      <c r="C908" s="14"/>
      <c r="D908" s="25"/>
      <c r="E908" s="25"/>
      <c r="F908" s="14"/>
      <c r="G908" s="14"/>
      <c r="H908" s="14"/>
      <c r="I908" s="7"/>
      <c r="J908" s="7"/>
      <c r="K908" s="7"/>
      <c r="L908" s="14"/>
      <c r="M908" s="354"/>
      <c r="N908" s="7"/>
      <c r="O908" s="13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spans="2:25" ht="14.25" customHeight="1" x14ac:dyDescent="0.25">
      <c r="B909" s="14"/>
      <c r="C909" s="14"/>
      <c r="D909" s="25"/>
      <c r="E909" s="25"/>
      <c r="F909" s="14"/>
      <c r="G909" s="14"/>
      <c r="H909" s="14"/>
      <c r="I909" s="7"/>
      <c r="J909" s="7"/>
      <c r="K909" s="7"/>
      <c r="L909" s="14"/>
      <c r="M909" s="354"/>
      <c r="N909" s="7"/>
      <c r="O909" s="13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spans="2:25" ht="14.25" customHeight="1" x14ac:dyDescent="0.25">
      <c r="B910" s="14"/>
      <c r="C910" s="14"/>
      <c r="D910" s="25"/>
      <c r="E910" s="25"/>
      <c r="F910" s="14"/>
      <c r="G910" s="14"/>
      <c r="H910" s="14"/>
      <c r="I910" s="7"/>
      <c r="J910" s="7"/>
      <c r="K910" s="7"/>
      <c r="L910" s="14"/>
      <c r="M910" s="354"/>
      <c r="N910" s="7"/>
      <c r="O910" s="13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spans="2:25" ht="14.25" customHeight="1" x14ac:dyDescent="0.25">
      <c r="B911" s="14"/>
      <c r="C911" s="14"/>
      <c r="D911" s="25"/>
      <c r="E911" s="25"/>
      <c r="F911" s="14"/>
      <c r="G911" s="14"/>
      <c r="H911" s="14"/>
      <c r="I911" s="7"/>
      <c r="J911" s="7"/>
      <c r="K911" s="7"/>
      <c r="L911" s="14"/>
      <c r="M911" s="354"/>
      <c r="N911" s="7"/>
      <c r="O911" s="13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spans="2:25" ht="14.25" customHeight="1" x14ac:dyDescent="0.25">
      <c r="B912" s="14"/>
      <c r="C912" s="14"/>
      <c r="D912" s="25"/>
      <c r="E912" s="25"/>
      <c r="F912" s="14"/>
      <c r="G912" s="14"/>
      <c r="H912" s="14"/>
      <c r="I912" s="7"/>
      <c r="J912" s="7"/>
      <c r="K912" s="7"/>
      <c r="L912" s="14"/>
      <c r="M912" s="354"/>
      <c r="N912" s="7"/>
      <c r="O912" s="13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spans="2:25" ht="14.25" customHeight="1" x14ac:dyDescent="0.25">
      <c r="B913" s="14"/>
      <c r="C913" s="14"/>
      <c r="D913" s="25"/>
      <c r="E913" s="25"/>
      <c r="F913" s="14"/>
      <c r="G913" s="14"/>
      <c r="H913" s="14"/>
      <c r="I913" s="7"/>
      <c r="J913" s="7"/>
      <c r="K913" s="7"/>
      <c r="L913" s="14"/>
      <c r="M913" s="354"/>
      <c r="N913" s="7"/>
      <c r="O913" s="13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spans="2:25" ht="14.25" customHeight="1" x14ac:dyDescent="0.25">
      <c r="B914" s="14"/>
      <c r="C914" s="14"/>
      <c r="D914" s="25"/>
      <c r="E914" s="25"/>
      <c r="F914" s="14"/>
      <c r="G914" s="14"/>
      <c r="H914" s="14"/>
      <c r="I914" s="7"/>
      <c r="J914" s="7"/>
      <c r="K914" s="7"/>
      <c r="L914" s="14"/>
      <c r="M914" s="354"/>
      <c r="N914" s="7"/>
      <c r="O914" s="13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spans="2:25" ht="14.25" customHeight="1" x14ac:dyDescent="0.25">
      <c r="B915" s="14"/>
      <c r="C915" s="14"/>
      <c r="D915" s="25"/>
      <c r="E915" s="25"/>
      <c r="F915" s="14"/>
      <c r="G915" s="14"/>
      <c r="H915" s="14"/>
      <c r="I915" s="7"/>
      <c r="J915" s="7"/>
      <c r="K915" s="7"/>
      <c r="L915" s="14"/>
      <c r="M915" s="354"/>
      <c r="N915" s="7"/>
      <c r="O915" s="13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spans="2:25" ht="14.25" customHeight="1" x14ac:dyDescent="0.25">
      <c r="B916" s="14"/>
      <c r="C916" s="14"/>
      <c r="D916" s="25"/>
      <c r="E916" s="25"/>
      <c r="F916" s="14"/>
      <c r="G916" s="14"/>
      <c r="H916" s="14"/>
      <c r="I916" s="7"/>
      <c r="J916" s="7"/>
      <c r="K916" s="7"/>
      <c r="L916" s="14"/>
      <c r="M916" s="354"/>
      <c r="N916" s="7"/>
      <c r="O916" s="13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spans="2:25" ht="14.25" customHeight="1" x14ac:dyDescent="0.25">
      <c r="B917" s="14"/>
      <c r="C917" s="14"/>
      <c r="D917" s="25"/>
      <c r="E917" s="25"/>
      <c r="F917" s="14"/>
      <c r="G917" s="14"/>
      <c r="H917" s="14"/>
      <c r="I917" s="7"/>
      <c r="J917" s="7"/>
      <c r="K917" s="7"/>
      <c r="L917" s="14"/>
      <c r="M917" s="354"/>
      <c r="N917" s="7"/>
      <c r="O917" s="13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spans="2:25" ht="14.25" customHeight="1" x14ac:dyDescent="0.25">
      <c r="B918" s="14"/>
      <c r="C918" s="14"/>
      <c r="D918" s="25"/>
      <c r="E918" s="25"/>
      <c r="F918" s="14"/>
      <c r="G918" s="14"/>
      <c r="H918" s="14"/>
      <c r="I918" s="7"/>
      <c r="J918" s="7"/>
      <c r="K918" s="7"/>
      <c r="L918" s="14"/>
      <c r="M918" s="354"/>
      <c r="N918" s="7"/>
      <c r="O918" s="13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spans="2:25" ht="14.25" customHeight="1" x14ac:dyDescent="0.25">
      <c r="B919" s="14"/>
      <c r="C919" s="14"/>
      <c r="D919" s="25"/>
      <c r="E919" s="25"/>
      <c r="F919" s="14"/>
      <c r="G919" s="14"/>
      <c r="H919" s="14"/>
      <c r="I919" s="7"/>
      <c r="J919" s="7"/>
      <c r="K919" s="7"/>
      <c r="L919" s="14"/>
      <c r="M919" s="354"/>
      <c r="N919" s="7"/>
      <c r="O919" s="13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spans="2:25" ht="14.25" customHeight="1" x14ac:dyDescent="0.25">
      <c r="B920" s="14"/>
      <c r="C920" s="14"/>
      <c r="D920" s="25"/>
      <c r="E920" s="25"/>
      <c r="F920" s="14"/>
      <c r="G920" s="14"/>
      <c r="H920" s="14"/>
      <c r="I920" s="7"/>
      <c r="J920" s="7"/>
      <c r="K920" s="7"/>
      <c r="L920" s="14"/>
      <c r="M920" s="354"/>
      <c r="N920" s="7"/>
      <c r="O920" s="13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spans="2:25" ht="14.25" customHeight="1" x14ac:dyDescent="0.25">
      <c r="B921" s="14"/>
      <c r="C921" s="14"/>
      <c r="D921" s="25"/>
      <c r="E921" s="25"/>
      <c r="F921" s="14"/>
      <c r="G921" s="14"/>
      <c r="H921" s="14"/>
      <c r="I921" s="7"/>
      <c r="J921" s="7"/>
      <c r="K921" s="7"/>
      <c r="L921" s="14"/>
      <c r="M921" s="354"/>
      <c r="N921" s="7"/>
      <c r="O921" s="13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spans="2:25" ht="14.25" customHeight="1" x14ac:dyDescent="0.25">
      <c r="B922" s="14"/>
      <c r="C922" s="14"/>
      <c r="D922" s="25"/>
      <c r="E922" s="25"/>
      <c r="F922" s="14"/>
      <c r="G922" s="14"/>
      <c r="H922" s="14"/>
      <c r="I922" s="7"/>
      <c r="J922" s="7"/>
      <c r="K922" s="7"/>
      <c r="L922" s="14"/>
      <c r="M922" s="354"/>
      <c r="N922" s="7"/>
      <c r="O922" s="13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spans="2:25" ht="14.25" customHeight="1" x14ac:dyDescent="0.25">
      <c r="B923" s="14"/>
      <c r="C923" s="14"/>
      <c r="D923" s="25"/>
      <c r="E923" s="25"/>
      <c r="F923" s="14"/>
      <c r="G923" s="14"/>
      <c r="H923" s="14"/>
      <c r="I923" s="7"/>
      <c r="J923" s="7"/>
      <c r="K923" s="7"/>
      <c r="L923" s="14"/>
      <c r="M923" s="354"/>
      <c r="N923" s="7"/>
      <c r="O923" s="13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spans="2:25" ht="14.25" customHeight="1" x14ac:dyDescent="0.25">
      <c r="B924" s="14"/>
      <c r="C924" s="14"/>
      <c r="D924" s="25"/>
      <c r="E924" s="25"/>
      <c r="F924" s="14"/>
      <c r="G924" s="14"/>
      <c r="H924" s="14"/>
      <c r="I924" s="7"/>
      <c r="J924" s="7"/>
      <c r="K924" s="7"/>
      <c r="L924" s="14"/>
      <c r="M924" s="354"/>
      <c r="N924" s="7"/>
      <c r="O924" s="13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spans="2:25" ht="14.25" customHeight="1" x14ac:dyDescent="0.25">
      <c r="B925" s="14"/>
      <c r="C925" s="14"/>
      <c r="D925" s="25"/>
      <c r="E925" s="25"/>
      <c r="F925" s="14"/>
      <c r="G925" s="14"/>
      <c r="H925" s="14"/>
      <c r="I925" s="7"/>
      <c r="J925" s="7"/>
      <c r="K925" s="7"/>
      <c r="L925" s="14"/>
      <c r="M925" s="354"/>
      <c r="N925" s="7"/>
      <c r="O925" s="13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spans="2:25" ht="14.25" customHeight="1" x14ac:dyDescent="0.25">
      <c r="B926" s="14"/>
      <c r="C926" s="14"/>
      <c r="D926" s="25"/>
      <c r="E926" s="25"/>
      <c r="F926" s="14"/>
      <c r="G926" s="14"/>
      <c r="H926" s="14"/>
      <c r="I926" s="7"/>
      <c r="J926" s="7"/>
      <c r="K926" s="7"/>
      <c r="L926" s="14"/>
      <c r="M926" s="354"/>
      <c r="N926" s="7"/>
      <c r="O926" s="13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spans="2:25" ht="14.25" customHeight="1" x14ac:dyDescent="0.25">
      <c r="B927" s="14"/>
      <c r="C927" s="14"/>
      <c r="D927" s="25"/>
      <c r="E927" s="25"/>
      <c r="F927" s="14"/>
      <c r="G927" s="14"/>
      <c r="H927" s="14"/>
      <c r="I927" s="7"/>
      <c r="J927" s="7"/>
      <c r="K927" s="7"/>
      <c r="L927" s="14"/>
      <c r="M927" s="354"/>
      <c r="N927" s="7"/>
      <c r="O927" s="13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spans="2:25" ht="14.25" customHeight="1" x14ac:dyDescent="0.25">
      <c r="B928" s="14"/>
      <c r="C928" s="14"/>
      <c r="D928" s="25"/>
      <c r="E928" s="25"/>
      <c r="F928" s="14"/>
      <c r="G928" s="14"/>
      <c r="H928" s="14"/>
      <c r="I928" s="7"/>
      <c r="J928" s="7"/>
      <c r="K928" s="7"/>
      <c r="L928" s="14"/>
      <c r="M928" s="354"/>
      <c r="N928" s="7"/>
      <c r="O928" s="13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spans="2:25" ht="14.25" customHeight="1" x14ac:dyDescent="0.25">
      <c r="B929" s="14"/>
      <c r="C929" s="14"/>
      <c r="D929" s="25"/>
      <c r="E929" s="25"/>
      <c r="F929" s="14"/>
      <c r="G929" s="14"/>
      <c r="H929" s="14"/>
      <c r="I929" s="7"/>
      <c r="J929" s="7"/>
      <c r="K929" s="7"/>
      <c r="L929" s="14"/>
      <c r="M929" s="354"/>
      <c r="N929" s="7"/>
      <c r="O929" s="13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spans="2:25" ht="14.25" customHeight="1" x14ac:dyDescent="0.25">
      <c r="B930" s="14"/>
      <c r="C930" s="14"/>
      <c r="D930" s="25"/>
      <c r="E930" s="25"/>
      <c r="F930" s="14"/>
      <c r="G930" s="14"/>
      <c r="H930" s="14"/>
      <c r="I930" s="7"/>
      <c r="J930" s="7"/>
      <c r="K930" s="7"/>
      <c r="L930" s="14"/>
      <c r="M930" s="354"/>
      <c r="N930" s="7"/>
      <c r="O930" s="13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spans="2:25" ht="14.25" customHeight="1" x14ac:dyDescent="0.25">
      <c r="B931" s="14"/>
      <c r="C931" s="14"/>
      <c r="D931" s="25"/>
      <c r="E931" s="25"/>
      <c r="F931" s="14"/>
      <c r="G931" s="14"/>
      <c r="H931" s="14"/>
      <c r="I931" s="7"/>
      <c r="J931" s="7"/>
      <c r="K931" s="7"/>
      <c r="L931" s="14"/>
      <c r="M931" s="354"/>
      <c r="N931" s="7"/>
      <c r="O931" s="13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spans="2:25" ht="14.25" customHeight="1" x14ac:dyDescent="0.25">
      <c r="B932" s="14"/>
      <c r="C932" s="14"/>
      <c r="D932" s="25"/>
      <c r="E932" s="25"/>
      <c r="F932" s="14"/>
      <c r="G932" s="14"/>
      <c r="H932" s="14"/>
      <c r="I932" s="7"/>
      <c r="J932" s="7"/>
      <c r="K932" s="7"/>
      <c r="L932" s="14"/>
      <c r="M932" s="354"/>
      <c r="N932" s="7"/>
      <c r="O932" s="13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spans="2:25" ht="14.25" customHeight="1" x14ac:dyDescent="0.25">
      <c r="B933" s="14"/>
      <c r="C933" s="14"/>
      <c r="D933" s="25"/>
      <c r="E933" s="25"/>
      <c r="F933" s="14"/>
      <c r="G933" s="14"/>
      <c r="H933" s="14"/>
      <c r="I933" s="7"/>
      <c r="J933" s="7"/>
      <c r="K933" s="7"/>
      <c r="L933" s="14"/>
      <c r="M933" s="354"/>
      <c r="N933" s="7"/>
      <c r="O933" s="13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spans="2:25" ht="14.25" customHeight="1" x14ac:dyDescent="0.25">
      <c r="B934" s="14"/>
      <c r="C934" s="14"/>
      <c r="D934" s="25"/>
      <c r="E934" s="25"/>
      <c r="F934" s="14"/>
      <c r="G934" s="14"/>
      <c r="H934" s="14"/>
      <c r="I934" s="7"/>
      <c r="J934" s="7"/>
      <c r="K934" s="7"/>
      <c r="L934" s="14"/>
      <c r="M934" s="354"/>
      <c r="N934" s="7"/>
      <c r="O934" s="13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spans="2:25" ht="14.25" customHeight="1" x14ac:dyDescent="0.25">
      <c r="B935" s="14"/>
      <c r="C935" s="14"/>
      <c r="D935" s="25"/>
      <c r="E935" s="25"/>
      <c r="F935" s="14"/>
      <c r="G935" s="14"/>
      <c r="H935" s="14"/>
      <c r="I935" s="7"/>
      <c r="J935" s="7"/>
      <c r="K935" s="7"/>
      <c r="L935" s="14"/>
      <c r="M935" s="354"/>
      <c r="N935" s="7"/>
      <c r="O935" s="13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spans="2:25" ht="14.25" customHeight="1" x14ac:dyDescent="0.25">
      <c r="B936" s="14"/>
      <c r="C936" s="14"/>
      <c r="D936" s="25"/>
      <c r="E936" s="25"/>
      <c r="F936" s="14"/>
      <c r="G936" s="14"/>
      <c r="H936" s="14"/>
      <c r="I936" s="7"/>
      <c r="J936" s="7"/>
      <c r="K936" s="7"/>
      <c r="L936" s="14"/>
      <c r="M936" s="354"/>
      <c r="N936" s="7"/>
      <c r="O936" s="13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spans="2:25" ht="14.25" customHeight="1" x14ac:dyDescent="0.25">
      <c r="B937" s="14"/>
      <c r="C937" s="14"/>
      <c r="D937" s="25"/>
      <c r="E937" s="25"/>
      <c r="F937" s="14"/>
      <c r="G937" s="14"/>
      <c r="H937" s="14"/>
      <c r="I937" s="7"/>
      <c r="J937" s="7"/>
      <c r="K937" s="7"/>
      <c r="L937" s="14"/>
      <c r="M937" s="354"/>
      <c r="N937" s="7"/>
      <c r="O937" s="13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spans="2:25" ht="14.25" customHeight="1" x14ac:dyDescent="0.25">
      <c r="B938" s="14"/>
      <c r="C938" s="14"/>
      <c r="D938" s="25"/>
      <c r="E938" s="25"/>
      <c r="F938" s="14"/>
      <c r="G938" s="14"/>
      <c r="H938" s="14"/>
      <c r="I938" s="7"/>
      <c r="J938" s="7"/>
      <c r="K938" s="7"/>
      <c r="L938" s="14"/>
      <c r="M938" s="354"/>
      <c r="N938" s="7"/>
      <c r="O938" s="13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spans="2:25" ht="14.25" customHeight="1" x14ac:dyDescent="0.25">
      <c r="B939" s="14"/>
      <c r="C939" s="14"/>
      <c r="D939" s="25"/>
      <c r="E939" s="25"/>
      <c r="F939" s="14"/>
      <c r="G939" s="14"/>
      <c r="H939" s="14"/>
      <c r="I939" s="7"/>
      <c r="J939" s="7"/>
      <c r="K939" s="7"/>
      <c r="L939" s="14"/>
      <c r="M939" s="354"/>
      <c r="N939" s="7"/>
      <c r="O939" s="13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spans="2:25" ht="14.25" customHeight="1" x14ac:dyDescent="0.25">
      <c r="B940" s="14"/>
      <c r="C940" s="14"/>
      <c r="D940" s="25"/>
      <c r="E940" s="25"/>
      <c r="F940" s="14"/>
      <c r="G940" s="14"/>
      <c r="H940" s="14"/>
      <c r="I940" s="7"/>
      <c r="J940" s="7"/>
      <c r="K940" s="7"/>
      <c r="L940" s="14"/>
      <c r="M940" s="354"/>
      <c r="N940" s="7"/>
      <c r="O940" s="13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spans="2:25" ht="14.25" customHeight="1" x14ac:dyDescent="0.25">
      <c r="B941" s="14"/>
      <c r="C941" s="14"/>
      <c r="D941" s="25"/>
      <c r="E941" s="25"/>
      <c r="F941" s="14"/>
      <c r="G941" s="14"/>
      <c r="H941" s="14"/>
      <c r="I941" s="7"/>
      <c r="J941" s="7"/>
      <c r="K941" s="7"/>
      <c r="L941" s="14"/>
      <c r="M941" s="354"/>
      <c r="N941" s="7"/>
      <c r="O941" s="13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spans="2:25" ht="14.25" customHeight="1" x14ac:dyDescent="0.25">
      <c r="B942" s="14"/>
      <c r="C942" s="14"/>
      <c r="D942" s="25"/>
      <c r="E942" s="25"/>
      <c r="F942" s="14"/>
      <c r="G942" s="14"/>
      <c r="H942" s="14"/>
      <c r="I942" s="7"/>
      <c r="J942" s="7"/>
      <c r="K942" s="7"/>
      <c r="L942" s="14"/>
      <c r="M942" s="354"/>
      <c r="N942" s="7"/>
      <c r="O942" s="13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spans="2:25" ht="14.25" customHeight="1" x14ac:dyDescent="0.25">
      <c r="B943" s="14"/>
      <c r="C943" s="14"/>
      <c r="D943" s="25"/>
      <c r="E943" s="25"/>
      <c r="F943" s="14"/>
      <c r="G943" s="14"/>
      <c r="H943" s="14"/>
      <c r="I943" s="7"/>
      <c r="J943" s="7"/>
      <c r="K943" s="7"/>
      <c r="L943" s="14"/>
      <c r="M943" s="354"/>
      <c r="N943" s="7"/>
      <c r="O943" s="13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spans="2:25" ht="14.25" customHeight="1" x14ac:dyDescent="0.25">
      <c r="B944" s="14"/>
      <c r="C944" s="14"/>
      <c r="D944" s="25"/>
      <c r="E944" s="25"/>
      <c r="F944" s="14"/>
      <c r="G944" s="14"/>
      <c r="H944" s="14"/>
      <c r="I944" s="7"/>
      <c r="J944" s="7"/>
      <c r="K944" s="7"/>
      <c r="L944" s="14"/>
      <c r="M944" s="354"/>
      <c r="N944" s="7"/>
      <c r="O944" s="13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spans="2:25" ht="14.25" customHeight="1" x14ac:dyDescent="0.25">
      <c r="B945" s="14"/>
      <c r="C945" s="14"/>
      <c r="D945" s="25"/>
      <c r="E945" s="25"/>
      <c r="F945" s="14"/>
      <c r="G945" s="14"/>
      <c r="H945" s="14"/>
      <c r="I945" s="7"/>
      <c r="J945" s="7"/>
      <c r="K945" s="7"/>
      <c r="L945" s="14"/>
      <c r="M945" s="354"/>
      <c r="N945" s="7"/>
      <c r="O945" s="13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spans="2:25" ht="14.25" customHeight="1" x14ac:dyDescent="0.25">
      <c r="B946" s="14"/>
      <c r="C946" s="14"/>
      <c r="D946" s="25"/>
      <c r="E946" s="25"/>
      <c r="F946" s="14"/>
      <c r="G946" s="14"/>
      <c r="H946" s="14"/>
      <c r="I946" s="7"/>
      <c r="J946" s="7"/>
      <c r="K946" s="7"/>
      <c r="L946" s="14"/>
      <c r="M946" s="354"/>
      <c r="N946" s="7"/>
      <c r="O946" s="13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spans="2:25" ht="14.25" customHeight="1" x14ac:dyDescent="0.25">
      <c r="B947" s="14"/>
      <c r="C947" s="14"/>
      <c r="D947" s="25"/>
      <c r="E947" s="25"/>
      <c r="F947" s="14"/>
      <c r="G947" s="14"/>
      <c r="H947" s="14"/>
      <c r="I947" s="7"/>
      <c r="J947" s="7"/>
      <c r="K947" s="7"/>
      <c r="L947" s="14"/>
      <c r="M947" s="354"/>
      <c r="N947" s="7"/>
      <c r="O947" s="13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spans="2:25" ht="14.25" customHeight="1" x14ac:dyDescent="0.25">
      <c r="B948" s="14"/>
      <c r="C948" s="14"/>
      <c r="D948" s="25"/>
      <c r="E948" s="25"/>
      <c r="F948" s="14"/>
      <c r="G948" s="14"/>
      <c r="H948" s="14"/>
      <c r="I948" s="7"/>
      <c r="J948" s="7"/>
      <c r="K948" s="7"/>
      <c r="L948" s="14"/>
      <c r="M948" s="354"/>
      <c r="N948" s="7"/>
      <c r="O948" s="13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spans="2:25" ht="14.25" customHeight="1" x14ac:dyDescent="0.25">
      <c r="B949" s="14"/>
      <c r="C949" s="14"/>
      <c r="D949" s="25"/>
      <c r="E949" s="25"/>
      <c r="F949" s="14"/>
      <c r="G949" s="14"/>
      <c r="H949" s="14"/>
      <c r="I949" s="7"/>
      <c r="J949" s="7"/>
      <c r="K949" s="7"/>
      <c r="L949" s="14"/>
      <c r="M949" s="354"/>
      <c r="N949" s="7"/>
      <c r="O949" s="13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spans="2:25" ht="14.25" customHeight="1" x14ac:dyDescent="0.25">
      <c r="B950" s="14"/>
      <c r="C950" s="14"/>
      <c r="D950" s="25"/>
      <c r="E950" s="25"/>
      <c r="F950" s="14"/>
      <c r="G950" s="14"/>
      <c r="H950" s="14"/>
      <c r="I950" s="7"/>
      <c r="J950" s="7"/>
      <c r="K950" s="7"/>
      <c r="L950" s="14"/>
      <c r="M950" s="354"/>
      <c r="N950" s="7"/>
      <c r="O950" s="13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spans="2:25" ht="14.25" customHeight="1" x14ac:dyDescent="0.25">
      <c r="B951" s="14"/>
      <c r="C951" s="14"/>
      <c r="D951" s="25"/>
      <c r="E951" s="25"/>
      <c r="F951" s="14"/>
      <c r="G951" s="14"/>
      <c r="H951" s="14"/>
      <c r="I951" s="7"/>
      <c r="J951" s="7"/>
      <c r="K951" s="7"/>
      <c r="L951" s="14"/>
      <c r="M951" s="354"/>
      <c r="N951" s="7"/>
      <c r="O951" s="13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spans="2:25" ht="14.25" customHeight="1" x14ac:dyDescent="0.25">
      <c r="B952" s="14"/>
      <c r="C952" s="14"/>
      <c r="D952" s="25"/>
      <c r="E952" s="25"/>
      <c r="F952" s="14"/>
      <c r="G952" s="14"/>
      <c r="H952" s="14"/>
      <c r="I952" s="7"/>
      <c r="J952" s="7"/>
      <c r="K952" s="7"/>
      <c r="L952" s="14"/>
      <c r="M952" s="354"/>
      <c r="N952" s="7"/>
      <c r="O952" s="13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spans="2:25" ht="14.25" customHeight="1" x14ac:dyDescent="0.25">
      <c r="B953" s="14"/>
      <c r="C953" s="14"/>
      <c r="D953" s="25"/>
      <c r="E953" s="25"/>
      <c r="F953" s="14"/>
      <c r="G953" s="14"/>
      <c r="H953" s="14"/>
      <c r="I953" s="7"/>
      <c r="J953" s="7"/>
      <c r="K953" s="7"/>
      <c r="L953" s="14"/>
      <c r="M953" s="354"/>
      <c r="N953" s="7"/>
      <c r="O953" s="13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spans="2:25" ht="14.25" customHeight="1" x14ac:dyDescent="0.25">
      <c r="B954" s="14"/>
      <c r="C954" s="14"/>
      <c r="D954" s="25"/>
      <c r="E954" s="25"/>
      <c r="F954" s="14"/>
      <c r="G954" s="14"/>
      <c r="H954" s="14"/>
      <c r="I954" s="7"/>
      <c r="J954" s="7"/>
      <c r="K954" s="7"/>
      <c r="L954" s="14"/>
      <c r="M954" s="354"/>
      <c r="N954" s="7"/>
      <c r="O954" s="13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spans="2:25" ht="14.25" customHeight="1" x14ac:dyDescent="0.25">
      <c r="B955" s="14"/>
      <c r="C955" s="14"/>
      <c r="D955" s="25"/>
      <c r="E955" s="25"/>
      <c r="F955" s="14"/>
      <c r="G955" s="14"/>
      <c r="H955" s="14"/>
      <c r="I955" s="7"/>
      <c r="J955" s="7"/>
      <c r="K955" s="7"/>
      <c r="L955" s="14"/>
      <c r="M955" s="354"/>
      <c r="N955" s="7"/>
      <c r="O955" s="13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spans="2:25" ht="14.25" customHeight="1" x14ac:dyDescent="0.25">
      <c r="B956" s="14"/>
      <c r="C956" s="14"/>
      <c r="D956" s="25"/>
      <c r="E956" s="25"/>
      <c r="F956" s="14"/>
      <c r="G956" s="14"/>
      <c r="H956" s="14"/>
      <c r="I956" s="7"/>
      <c r="J956" s="7"/>
      <c r="K956" s="7"/>
      <c r="L956" s="14"/>
      <c r="M956" s="354"/>
      <c r="N956" s="7"/>
      <c r="O956" s="13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spans="2:25" ht="14.25" customHeight="1" x14ac:dyDescent="0.25">
      <c r="B957" s="14"/>
      <c r="C957" s="14"/>
      <c r="D957" s="25"/>
      <c r="E957" s="25"/>
      <c r="F957" s="14"/>
      <c r="G957" s="14"/>
      <c r="H957" s="14"/>
      <c r="I957" s="7"/>
      <c r="J957" s="7"/>
      <c r="K957" s="7"/>
      <c r="L957" s="14"/>
      <c r="M957" s="354"/>
      <c r="N957" s="7"/>
      <c r="O957" s="13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spans="2:25" ht="14.25" customHeight="1" x14ac:dyDescent="0.25">
      <c r="B958" s="14"/>
      <c r="C958" s="14"/>
      <c r="D958" s="25"/>
      <c r="E958" s="25"/>
      <c r="F958" s="14"/>
      <c r="G958" s="14"/>
      <c r="H958" s="14"/>
      <c r="I958" s="7"/>
      <c r="J958" s="7"/>
      <c r="K958" s="7"/>
      <c r="L958" s="14"/>
      <c r="M958" s="354"/>
      <c r="N958" s="7"/>
      <c r="O958" s="13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spans="2:25" ht="14.25" customHeight="1" x14ac:dyDescent="0.25">
      <c r="B959" s="14"/>
      <c r="C959" s="14"/>
      <c r="D959" s="25"/>
      <c r="E959" s="25"/>
      <c r="F959" s="14"/>
      <c r="G959" s="14"/>
      <c r="H959" s="14"/>
      <c r="I959" s="7"/>
      <c r="J959" s="7"/>
      <c r="K959" s="7"/>
      <c r="L959" s="14"/>
      <c r="M959" s="354"/>
      <c r="N959" s="7"/>
      <c r="O959" s="13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spans="2:25" ht="14.25" customHeight="1" x14ac:dyDescent="0.25">
      <c r="B960" s="14"/>
      <c r="C960" s="14"/>
      <c r="D960" s="25"/>
      <c r="E960" s="25"/>
      <c r="F960" s="14"/>
      <c r="G960" s="14"/>
      <c r="H960" s="14"/>
      <c r="I960" s="7"/>
      <c r="J960" s="7"/>
      <c r="K960" s="7"/>
      <c r="L960" s="14"/>
      <c r="M960" s="354"/>
      <c r="N960" s="7"/>
      <c r="O960" s="13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spans="2:25" ht="14.25" customHeight="1" x14ac:dyDescent="0.25">
      <c r="B961" s="14"/>
      <c r="C961" s="14"/>
      <c r="D961" s="25"/>
      <c r="E961" s="25"/>
      <c r="F961" s="14"/>
      <c r="G961" s="14"/>
      <c r="H961" s="14"/>
      <c r="I961" s="7"/>
      <c r="J961" s="7"/>
      <c r="K961" s="7"/>
      <c r="L961" s="14"/>
      <c r="M961" s="354"/>
      <c r="N961" s="7"/>
      <c r="O961" s="13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spans="2:25" ht="14.25" customHeight="1" x14ac:dyDescent="0.25">
      <c r="B962" s="14"/>
      <c r="C962" s="14"/>
      <c r="D962" s="25"/>
      <c r="E962" s="25"/>
      <c r="F962" s="14"/>
      <c r="G962" s="14"/>
      <c r="H962" s="14"/>
      <c r="I962" s="7"/>
      <c r="J962" s="7"/>
      <c r="K962" s="7"/>
      <c r="L962" s="14"/>
      <c r="M962" s="354"/>
      <c r="N962" s="7"/>
      <c r="O962" s="13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spans="2:25" ht="14.25" customHeight="1" x14ac:dyDescent="0.25">
      <c r="B963" s="14"/>
      <c r="C963" s="14"/>
      <c r="D963" s="25"/>
      <c r="E963" s="25"/>
      <c r="F963" s="14"/>
      <c r="G963" s="14"/>
      <c r="H963" s="14"/>
      <c r="I963" s="7"/>
      <c r="J963" s="7"/>
      <c r="K963" s="7"/>
      <c r="L963" s="14"/>
      <c r="M963" s="354"/>
      <c r="N963" s="7"/>
      <c r="O963" s="13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spans="2:25" ht="14.25" customHeight="1" x14ac:dyDescent="0.25">
      <c r="B964" s="14"/>
      <c r="C964" s="14"/>
      <c r="D964" s="25"/>
      <c r="E964" s="25"/>
      <c r="F964" s="14"/>
      <c r="G964" s="14"/>
      <c r="H964" s="14"/>
      <c r="I964" s="7"/>
      <c r="J964" s="7"/>
      <c r="K964" s="7"/>
      <c r="L964" s="14"/>
      <c r="M964" s="354"/>
      <c r="N964" s="7"/>
      <c r="O964" s="13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spans="2:25" ht="14.25" customHeight="1" x14ac:dyDescent="0.25">
      <c r="B965" s="14"/>
      <c r="C965" s="14"/>
      <c r="D965" s="25"/>
      <c r="E965" s="25"/>
      <c r="F965" s="14"/>
      <c r="G965" s="14"/>
      <c r="H965" s="14"/>
      <c r="I965" s="7"/>
      <c r="J965" s="7"/>
      <c r="K965" s="7"/>
      <c r="L965" s="14"/>
      <c r="M965" s="354"/>
      <c r="N965" s="7"/>
      <c r="O965" s="13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spans="2:25" ht="14.25" customHeight="1" x14ac:dyDescent="0.25">
      <c r="B966" s="14"/>
      <c r="C966" s="14"/>
      <c r="D966" s="25"/>
      <c r="E966" s="25"/>
      <c r="F966" s="14"/>
      <c r="G966" s="14"/>
      <c r="H966" s="14"/>
      <c r="I966" s="7"/>
      <c r="J966" s="7"/>
      <c r="K966" s="7"/>
      <c r="L966" s="14"/>
      <c r="M966" s="354"/>
      <c r="N966" s="7"/>
      <c r="O966" s="13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spans="2:25" ht="14.25" customHeight="1" x14ac:dyDescent="0.25">
      <c r="B967" s="14"/>
      <c r="C967" s="14"/>
      <c r="D967" s="25"/>
      <c r="E967" s="25"/>
      <c r="F967" s="14"/>
      <c r="G967" s="14"/>
      <c r="H967" s="14"/>
      <c r="I967" s="7"/>
      <c r="J967" s="7"/>
      <c r="K967" s="7"/>
      <c r="L967" s="14"/>
      <c r="M967" s="354"/>
      <c r="N967" s="7"/>
      <c r="O967" s="13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spans="2:25" ht="14.25" customHeight="1" x14ac:dyDescent="0.25">
      <c r="B968" s="14"/>
      <c r="C968" s="14"/>
      <c r="D968" s="25"/>
      <c r="E968" s="25"/>
      <c r="F968" s="14"/>
      <c r="G968" s="14"/>
      <c r="H968" s="14"/>
      <c r="I968" s="7"/>
      <c r="J968" s="7"/>
      <c r="K968" s="7"/>
      <c r="L968" s="14"/>
      <c r="M968" s="354"/>
      <c r="N968" s="7"/>
      <c r="O968" s="13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spans="2:25" ht="14.25" customHeight="1" x14ac:dyDescent="0.25">
      <c r="B969" s="14"/>
      <c r="C969" s="14"/>
      <c r="D969" s="25"/>
      <c r="E969" s="25"/>
      <c r="F969" s="14"/>
      <c r="G969" s="14"/>
      <c r="H969" s="14"/>
      <c r="I969" s="7"/>
      <c r="J969" s="7"/>
      <c r="K969" s="7"/>
      <c r="L969" s="14"/>
      <c r="M969" s="354"/>
      <c r="N969" s="7"/>
      <c r="O969" s="13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spans="2:25" ht="14.25" customHeight="1" x14ac:dyDescent="0.25">
      <c r="B970" s="14"/>
      <c r="C970" s="14"/>
      <c r="D970" s="25"/>
      <c r="E970" s="25"/>
      <c r="F970" s="14"/>
      <c r="G970" s="14"/>
      <c r="H970" s="14"/>
      <c r="I970" s="7"/>
      <c r="J970" s="7"/>
      <c r="K970" s="7"/>
      <c r="L970" s="14"/>
      <c r="M970" s="354"/>
      <c r="N970" s="7"/>
      <c r="O970" s="13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spans="2:25" ht="14.25" customHeight="1" x14ac:dyDescent="0.25">
      <c r="B971" s="14"/>
      <c r="C971" s="14"/>
      <c r="D971" s="25"/>
      <c r="E971" s="25"/>
      <c r="F971" s="14"/>
      <c r="G971" s="14"/>
      <c r="H971" s="14"/>
      <c r="I971" s="7"/>
      <c r="J971" s="7"/>
      <c r="K971" s="7"/>
      <c r="L971" s="14"/>
      <c r="M971" s="354"/>
      <c r="N971" s="7"/>
      <c r="O971" s="13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spans="2:25" x14ac:dyDescent="0.25"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13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</row>
    <row r="973" spans="2:25" x14ac:dyDescent="0.25"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13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</row>
    <row r="974" spans="2:25" x14ac:dyDescent="0.25"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13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</row>
    <row r="975" spans="2:25" x14ac:dyDescent="0.25"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13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</row>
    <row r="976" spans="2:25" x14ac:dyDescent="0.25"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13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</row>
    <row r="977" spans="2:25" x14ac:dyDescent="0.25"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13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</row>
    <row r="978" spans="2:25" x14ac:dyDescent="0.25"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13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</row>
    <row r="979" spans="2:25" x14ac:dyDescent="0.25"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13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</row>
    <row r="980" spans="2:25" x14ac:dyDescent="0.25"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13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</row>
    <row r="981" spans="2:25" x14ac:dyDescent="0.25"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13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</row>
    <row r="982" spans="2:25" x14ac:dyDescent="0.25"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13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</row>
    <row r="983" spans="2:25" x14ac:dyDescent="0.25"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13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</row>
    <row r="984" spans="2:25" x14ac:dyDescent="0.25"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13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</row>
    <row r="985" spans="2:25" x14ac:dyDescent="0.25"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13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</row>
    <row r="986" spans="2:25" x14ac:dyDescent="0.25"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13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</row>
  </sheetData>
  <autoFilter ref="B1:W160" xr:uid="{00000000-0009-0000-0000-000004000000}"/>
  <conditionalFormatting sqref="L161:L971">
    <cfRule type="containsText" dxfId="597" priority="11" operator="containsText" text="AL DIA">
      <formula>NOT(ISERROR(SEARCH(("AL DIA"),(L198))))</formula>
    </cfRule>
  </conditionalFormatting>
  <conditionalFormatting sqref="L161:L971">
    <cfRule type="containsText" dxfId="596" priority="12" operator="containsText" text="PENDIENTE">
      <formula>NOT(ISERROR(SEARCH(("PENDIENTE"),(L198))))</formula>
    </cfRule>
  </conditionalFormatting>
  <conditionalFormatting sqref="Q100:Q141 Q147:Q971 Q2:Q62 Q64:Q98">
    <cfRule type="containsText" dxfId="595" priority="13" operator="containsText" text="RETIRADO">
      <formula>NOT(ISERROR(SEARCH(("RETIRADO"),(Q2))))</formula>
    </cfRule>
  </conditionalFormatting>
  <conditionalFormatting sqref="Q100:Q141 Q147:Q971 Q2:Q62 Q64:Q98">
    <cfRule type="containsText" dxfId="594" priority="14" operator="containsText" text="ACTIVO">
      <formula>NOT(ISERROR(SEARCH(("ACTIVO"),(Q2))))</formula>
    </cfRule>
  </conditionalFormatting>
  <conditionalFormatting sqref="L2:L160">
    <cfRule type="containsText" dxfId="593" priority="15" operator="containsText" text="AL DIA">
      <formula>NOT(ISERROR(SEARCH(("AL DIA"),(L2))))</formula>
    </cfRule>
  </conditionalFormatting>
  <conditionalFormatting sqref="L2:L160">
    <cfRule type="containsText" dxfId="592" priority="16" operator="containsText" text="PENDIENTE">
      <formula>NOT(ISERROR(SEARCH(("PENDIENTE"),(L2))))</formula>
    </cfRule>
  </conditionalFormatting>
  <conditionalFormatting sqref="Q143:Q146">
    <cfRule type="containsText" dxfId="591" priority="17" operator="containsText" text="RETIRADO">
      <formula>NOT(ISERROR(SEARCH(("RETIRADO"),(Q143))))</formula>
    </cfRule>
  </conditionalFormatting>
  <conditionalFormatting sqref="Q143:Q146">
    <cfRule type="containsText" dxfId="590" priority="18" operator="containsText" text="ACTIVO">
      <formula>NOT(ISERROR(SEARCH(("ACTIVO"),(Q143))))</formula>
    </cfRule>
  </conditionalFormatting>
  <conditionalFormatting sqref="Q142">
    <cfRule type="containsText" dxfId="589" priority="19" operator="containsText" text="RETIRADO">
      <formula>NOT(ISERROR(SEARCH(("RETIRADO"),(Q142))))</formula>
    </cfRule>
  </conditionalFormatting>
  <conditionalFormatting sqref="Q142">
    <cfRule type="containsText" dxfId="588" priority="20" operator="containsText" text="ACTIVO">
      <formula>NOT(ISERROR(SEARCH(("ACTIVO"),(Q142))))</formula>
    </cfRule>
  </conditionalFormatting>
  <conditionalFormatting sqref="T113">
    <cfRule type="containsText" dxfId="587" priority="375" operator="containsText" text="AL DIA">
      <formula>NOT(ISERROR(SEARCH(("AL DIA"),(T148))))</formula>
    </cfRule>
  </conditionalFormatting>
  <conditionalFormatting sqref="T113">
    <cfRule type="containsText" dxfId="586" priority="377" operator="containsText" text="PENDIENTE">
      <formula>NOT(ISERROR(SEARCH(("PENDIENTE"),(T148))))</formula>
    </cfRule>
  </conditionalFormatting>
  <conditionalFormatting sqref="T114">
    <cfRule type="containsText" dxfId="585" priority="379" operator="containsText" text="AL DIA">
      <formula>NOT(ISERROR(SEARCH(("AL DIA"),(T151))))</formula>
    </cfRule>
  </conditionalFormatting>
  <conditionalFormatting sqref="T114">
    <cfRule type="containsText" dxfId="584" priority="380" operator="containsText" text="PENDIENTE">
      <formula>NOT(ISERROR(SEARCH(("PENDIENTE"),(T151))))</formula>
    </cfRule>
  </conditionalFormatting>
  <conditionalFormatting sqref="T115">
    <cfRule type="containsText" dxfId="583" priority="390" operator="containsText" text="AL DIA">
      <formula>NOT(ISERROR(SEARCH(("AL DIA"),(#REF!))))</formula>
    </cfRule>
  </conditionalFormatting>
  <conditionalFormatting sqref="T115">
    <cfRule type="containsText" dxfId="582" priority="392" operator="containsText" text="PENDIENTE">
      <formula>NOT(ISERROR(SEARCH(("PENDIENTE"),(#REF!))))</formula>
    </cfRule>
  </conditionalFormatting>
  <conditionalFormatting sqref="Q63">
    <cfRule type="containsText" dxfId="581" priority="1" operator="containsText" text="RETIRADO">
      <formula>NOT(ISERROR(SEARCH(("RETIRADO"),(Q63))))</formula>
    </cfRule>
  </conditionalFormatting>
  <conditionalFormatting sqref="Q63">
    <cfRule type="containsText" dxfId="580" priority="2" operator="containsText" text="ACTIVO">
      <formula>NOT(ISERROR(SEARCH(("ACTIVO"),(Q63))))</formula>
    </cfRule>
  </conditionalFormatting>
  <dataValidations count="4">
    <dataValidation type="list" allowBlank="1" showErrorMessage="1" sqref="T114:T115 T133:T134 L161:L418" xr:uid="{00000000-0002-0000-0400-000000000000}">
      <formula1>$V$1:$V$2</formula1>
    </dataValidation>
    <dataValidation type="list" allowBlank="1" showErrorMessage="1" sqref="Q21 Q141 Q108 Q88 Q84:Q85" xr:uid="{00000000-0002-0000-0400-000002000000}">
      <formula1>$T$1:$T$2</formula1>
    </dataValidation>
    <dataValidation type="list" allowBlank="1" showErrorMessage="1" sqref="Q155:Q418 Q10:Q20 Q24:Q35 Q137:Q138 Q135 Q97 Q92:Q93 Q89:Q90 Q86:Q87 Q77:Q83 Q2:Q5 Q22 Q7 Q37:Q75" xr:uid="{00000000-0002-0000-0400-000003000000}">
      <formula1>$W$1:$W$2</formula1>
    </dataValidation>
    <dataValidation type="list" allowBlank="1" showErrorMessage="1" sqref="L2:L160" xr:uid="{00000000-0002-0000-0400-000001000000}">
      <formula1>$V$2</formula1>
    </dataValidation>
  </dataValidations>
  <hyperlinks>
    <hyperlink ref="U3" r:id="rId1" xr:uid="{00000000-0004-0000-0400-000000000000}"/>
    <hyperlink ref="U4" r:id="rId2" xr:uid="{00000000-0004-0000-0400-000001000000}"/>
    <hyperlink ref="U5" r:id="rId3" xr:uid="{00000000-0004-0000-0400-000002000000}"/>
    <hyperlink ref="U6" r:id="rId4" xr:uid="{00000000-0004-0000-0400-000003000000}"/>
    <hyperlink ref="U7" r:id="rId5" xr:uid="{00000000-0004-0000-0400-000004000000}"/>
    <hyperlink ref="U8" r:id="rId6" xr:uid="{00000000-0004-0000-0400-000005000000}"/>
    <hyperlink ref="U9" r:id="rId7" xr:uid="{00000000-0004-0000-0400-000006000000}"/>
    <hyperlink ref="U10" r:id="rId8" xr:uid="{00000000-0004-0000-0400-000007000000}"/>
    <hyperlink ref="U11" r:id="rId9" xr:uid="{00000000-0004-0000-0400-000008000000}"/>
    <hyperlink ref="U13" r:id="rId10" xr:uid="{00000000-0004-0000-0400-000009000000}"/>
    <hyperlink ref="U15" r:id="rId11" xr:uid="{00000000-0004-0000-0400-00000C000000}"/>
    <hyperlink ref="U16" r:id="rId12" xr:uid="{00000000-0004-0000-0400-00000D000000}"/>
    <hyperlink ref="U17" r:id="rId13" xr:uid="{00000000-0004-0000-0400-00000E000000}"/>
    <hyperlink ref="U18" r:id="rId14" xr:uid="{00000000-0004-0000-0400-00000F000000}"/>
    <hyperlink ref="U19" r:id="rId15" xr:uid="{00000000-0004-0000-0400-000010000000}"/>
    <hyperlink ref="U20" r:id="rId16" xr:uid="{00000000-0004-0000-0400-000011000000}"/>
    <hyperlink ref="U21" r:id="rId17" xr:uid="{00000000-0004-0000-0400-000012000000}"/>
    <hyperlink ref="U24" r:id="rId18" xr:uid="{00000000-0004-0000-0400-000014000000}"/>
    <hyperlink ref="U25" r:id="rId19" xr:uid="{00000000-0004-0000-0400-000015000000}"/>
    <hyperlink ref="U26" r:id="rId20" xr:uid="{00000000-0004-0000-0400-000016000000}"/>
    <hyperlink ref="U27" r:id="rId21" xr:uid="{00000000-0004-0000-0400-000017000000}"/>
    <hyperlink ref="U29" r:id="rId22" xr:uid="{00000000-0004-0000-0400-000018000000}"/>
    <hyperlink ref="U30" r:id="rId23" xr:uid="{00000000-0004-0000-0400-000019000000}"/>
    <hyperlink ref="U31" r:id="rId24" xr:uid="{00000000-0004-0000-0400-00001A000000}"/>
    <hyperlink ref="U32" r:id="rId25" xr:uid="{00000000-0004-0000-0400-00001B000000}"/>
    <hyperlink ref="U33" r:id="rId26" xr:uid="{00000000-0004-0000-0400-00001C000000}"/>
    <hyperlink ref="U35" r:id="rId27" xr:uid="{00000000-0004-0000-0400-00001D000000}"/>
    <hyperlink ref="U36" r:id="rId28" xr:uid="{00000000-0004-0000-0400-00001E000000}"/>
    <hyperlink ref="U37" r:id="rId29" xr:uid="{00000000-0004-0000-0400-00001F000000}"/>
    <hyperlink ref="U38" r:id="rId30" xr:uid="{00000000-0004-0000-0400-000020000000}"/>
    <hyperlink ref="U39" r:id="rId31" xr:uid="{00000000-0004-0000-0400-000021000000}"/>
    <hyperlink ref="U40" r:id="rId32" xr:uid="{00000000-0004-0000-0400-000022000000}"/>
    <hyperlink ref="U41" r:id="rId33" xr:uid="{00000000-0004-0000-0400-000023000000}"/>
    <hyperlink ref="U42" r:id="rId34" xr:uid="{00000000-0004-0000-0400-000024000000}"/>
    <hyperlink ref="U44" r:id="rId35" xr:uid="{00000000-0004-0000-0400-000025000000}"/>
    <hyperlink ref="U45" r:id="rId36" xr:uid="{00000000-0004-0000-0400-000026000000}"/>
    <hyperlink ref="U46" r:id="rId37" xr:uid="{00000000-0004-0000-0400-000027000000}"/>
    <hyperlink ref="U47" r:id="rId38" xr:uid="{00000000-0004-0000-0400-000028000000}"/>
    <hyperlink ref="U48" r:id="rId39" xr:uid="{00000000-0004-0000-0400-000029000000}"/>
    <hyperlink ref="U49" r:id="rId40" xr:uid="{00000000-0004-0000-0400-00002A000000}"/>
    <hyperlink ref="U50" r:id="rId41" xr:uid="{00000000-0004-0000-0400-00002B000000}"/>
    <hyperlink ref="U51" r:id="rId42" xr:uid="{00000000-0004-0000-0400-00002C000000}"/>
    <hyperlink ref="U52" r:id="rId43" xr:uid="{00000000-0004-0000-0400-00002D000000}"/>
    <hyperlink ref="U53" r:id="rId44" xr:uid="{00000000-0004-0000-0400-00002E000000}"/>
    <hyperlink ref="U54" r:id="rId45" xr:uid="{00000000-0004-0000-0400-00002F000000}"/>
    <hyperlink ref="U55" r:id="rId46" xr:uid="{00000000-0004-0000-0400-000030000000}"/>
    <hyperlink ref="U56" r:id="rId47" xr:uid="{00000000-0004-0000-0400-000031000000}"/>
    <hyperlink ref="U57" r:id="rId48" xr:uid="{00000000-0004-0000-0400-000032000000}"/>
    <hyperlink ref="U58" r:id="rId49" xr:uid="{00000000-0004-0000-0400-000033000000}"/>
    <hyperlink ref="U59" r:id="rId50" xr:uid="{00000000-0004-0000-0400-000034000000}"/>
    <hyperlink ref="U60" r:id="rId51" xr:uid="{00000000-0004-0000-0400-000035000000}"/>
    <hyperlink ref="U61" r:id="rId52" xr:uid="{00000000-0004-0000-0400-000036000000}"/>
    <hyperlink ref="U62" r:id="rId53" xr:uid="{00000000-0004-0000-0400-000037000000}"/>
    <hyperlink ref="U63" r:id="rId54" xr:uid="{00000000-0004-0000-0400-000038000000}"/>
    <hyperlink ref="U65" r:id="rId55" xr:uid="{00000000-0004-0000-0400-000039000000}"/>
    <hyperlink ref="U66" r:id="rId56" xr:uid="{00000000-0004-0000-0400-00003A000000}"/>
    <hyperlink ref="U67" r:id="rId57" xr:uid="{00000000-0004-0000-0400-00003B000000}"/>
    <hyperlink ref="U68" r:id="rId58" xr:uid="{00000000-0004-0000-0400-00003C000000}"/>
    <hyperlink ref="U69" r:id="rId59" xr:uid="{00000000-0004-0000-0400-00003D000000}"/>
    <hyperlink ref="U70" r:id="rId60" xr:uid="{00000000-0004-0000-0400-00003E000000}"/>
    <hyperlink ref="U71" r:id="rId61" xr:uid="{00000000-0004-0000-0400-00003F000000}"/>
    <hyperlink ref="U72" r:id="rId62" xr:uid="{00000000-0004-0000-0400-000040000000}"/>
    <hyperlink ref="U73" r:id="rId63" xr:uid="{00000000-0004-0000-0400-000041000000}"/>
    <hyperlink ref="U74" r:id="rId64" xr:uid="{00000000-0004-0000-0400-000042000000}"/>
    <hyperlink ref="U75" r:id="rId65" xr:uid="{00000000-0004-0000-0400-000043000000}"/>
    <hyperlink ref="U76" r:id="rId66" xr:uid="{00000000-0004-0000-0400-000044000000}"/>
    <hyperlink ref="U77" r:id="rId67" xr:uid="{00000000-0004-0000-0400-000045000000}"/>
    <hyperlink ref="U79" r:id="rId68" xr:uid="{00000000-0004-0000-0400-000046000000}"/>
    <hyperlink ref="U80" r:id="rId69" xr:uid="{00000000-0004-0000-0400-000047000000}"/>
    <hyperlink ref="U81" r:id="rId70" xr:uid="{00000000-0004-0000-0400-000048000000}"/>
    <hyperlink ref="U82" r:id="rId71" xr:uid="{00000000-0004-0000-0400-000049000000}"/>
    <hyperlink ref="U83" r:id="rId72" xr:uid="{00000000-0004-0000-0400-00004A000000}"/>
    <hyperlink ref="U86" r:id="rId73" xr:uid="{00000000-0004-0000-0400-00004B000000}"/>
    <hyperlink ref="U87" r:id="rId74" xr:uid="{00000000-0004-0000-0400-00004C000000}"/>
    <hyperlink ref="U88" r:id="rId75" xr:uid="{00000000-0004-0000-0400-00004D000000}"/>
    <hyperlink ref="U89" r:id="rId76" xr:uid="{00000000-0004-0000-0400-00004E000000}"/>
    <hyperlink ref="U90" r:id="rId77" xr:uid="{00000000-0004-0000-0400-00004F000000}"/>
    <hyperlink ref="U91" r:id="rId78" xr:uid="{00000000-0004-0000-0400-000050000000}"/>
    <hyperlink ref="U92" r:id="rId79" xr:uid="{00000000-0004-0000-0400-000051000000}"/>
    <hyperlink ref="U93" r:id="rId80" xr:uid="{00000000-0004-0000-0400-000052000000}"/>
    <hyperlink ref="U94" r:id="rId81" xr:uid="{00000000-0004-0000-0400-000053000000}"/>
    <hyperlink ref="U95" r:id="rId82" xr:uid="{00000000-0004-0000-0400-000054000000}"/>
    <hyperlink ref="U96" r:id="rId83" xr:uid="{00000000-0004-0000-0400-000055000000}"/>
    <hyperlink ref="U97" r:id="rId84" xr:uid="{00000000-0004-0000-0400-000056000000}"/>
    <hyperlink ref="U98" r:id="rId85" xr:uid="{00000000-0004-0000-0400-000057000000}"/>
    <hyperlink ref="U100" r:id="rId86" xr:uid="{00000000-0004-0000-0400-000058000000}"/>
    <hyperlink ref="U101" r:id="rId87" xr:uid="{00000000-0004-0000-0400-000059000000}"/>
    <hyperlink ref="U102" r:id="rId88" xr:uid="{00000000-0004-0000-0400-00005A000000}"/>
    <hyperlink ref="U103" r:id="rId89" xr:uid="{00000000-0004-0000-0400-00005B000000}"/>
    <hyperlink ref="U104" r:id="rId90" xr:uid="{00000000-0004-0000-0400-00005C000000}"/>
    <hyperlink ref="U108" r:id="rId91" xr:uid="{00000000-0004-0000-0400-00005D000000}"/>
    <hyperlink ref="U110" r:id="rId92" xr:uid="{00000000-0004-0000-0400-00005E000000}"/>
    <hyperlink ref="U111" r:id="rId93" xr:uid="{00000000-0004-0000-0400-00005F000000}"/>
    <hyperlink ref="U112" r:id="rId94" xr:uid="{00000000-0004-0000-0400-000060000000}"/>
    <hyperlink ref="U113" r:id="rId95" xr:uid="{00000000-0004-0000-0400-000061000000}"/>
    <hyperlink ref="U116" r:id="rId96" xr:uid="{00000000-0004-0000-0400-000063000000}"/>
    <hyperlink ref="U117" r:id="rId97" xr:uid="{00000000-0004-0000-0400-000064000000}"/>
    <hyperlink ref="U118" r:id="rId98" xr:uid="{00000000-0004-0000-0400-000065000000}"/>
    <hyperlink ref="U119" r:id="rId99" xr:uid="{00000000-0004-0000-0400-000066000000}"/>
    <hyperlink ref="U120" r:id="rId100" xr:uid="{00000000-0004-0000-0400-000067000000}"/>
    <hyperlink ref="U122" r:id="rId101" xr:uid="{00000000-0004-0000-0400-000068000000}"/>
    <hyperlink ref="U123" r:id="rId102" xr:uid="{00000000-0004-0000-0400-00006A000000}"/>
    <hyperlink ref="U124" r:id="rId103" xr:uid="{00000000-0004-0000-0400-00006B000000}"/>
    <hyperlink ref="U125" r:id="rId104" xr:uid="{00000000-0004-0000-0400-00006C000000}"/>
    <hyperlink ref="U128" r:id="rId105" xr:uid="{00000000-0004-0000-0400-00006D000000}"/>
    <hyperlink ref="U129" r:id="rId106" xr:uid="{00000000-0004-0000-0400-00006E000000}"/>
    <hyperlink ref="U130" r:id="rId107" xr:uid="{00000000-0004-0000-0400-00006F000000}"/>
    <hyperlink ref="U131" r:id="rId108" xr:uid="{00000000-0004-0000-0400-000070000000}"/>
    <hyperlink ref="U132" r:id="rId109" xr:uid="{00000000-0004-0000-0400-000071000000}"/>
    <hyperlink ref="U135" r:id="rId110" xr:uid="{00000000-0004-0000-0400-000072000000}"/>
    <hyperlink ref="U137" r:id="rId111" xr:uid="{00000000-0004-0000-0400-000073000000}"/>
    <hyperlink ref="U140" r:id="rId112" xr:uid="{00000000-0004-0000-0400-000074000000}"/>
    <hyperlink ref="U141" r:id="rId113" xr:uid="{00000000-0004-0000-0400-000075000000}"/>
    <hyperlink ref="U142" r:id="rId114" xr:uid="{00000000-0004-0000-0400-000076000000}"/>
    <hyperlink ref="U143" r:id="rId115" xr:uid="{00000000-0004-0000-0400-000077000000}"/>
    <hyperlink ref="U144" r:id="rId116" xr:uid="{00000000-0004-0000-0400-000078000000}"/>
    <hyperlink ref="U145" r:id="rId117" xr:uid="{00000000-0004-0000-0400-000079000000}"/>
    <hyperlink ref="U146" r:id="rId118" xr:uid="{00000000-0004-0000-0400-00007A000000}"/>
  </hyperlinks>
  <pageMargins left="0.7" right="0.7" top="0.75" bottom="0.75" header="0" footer="0"/>
  <pageSetup orientation="portrait" r:id="rId11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8"/>
  <sheetViews>
    <sheetView topLeftCell="E31" workbookViewId="0">
      <selection activeCell="N47" sqref="N47"/>
    </sheetView>
  </sheetViews>
  <sheetFormatPr baseColWidth="10" defaultColWidth="14.42578125" defaultRowHeight="15" customHeight="1" x14ac:dyDescent="0.25"/>
  <cols>
    <col min="1" max="2" width="16" customWidth="1"/>
    <col min="3" max="3" width="33" customWidth="1"/>
    <col min="4" max="4" width="46.140625" customWidth="1"/>
    <col min="5" max="5" width="14.140625" customWidth="1"/>
    <col min="6" max="6" width="24" customWidth="1"/>
    <col min="7" max="7" width="15.7109375" bestFit="1" customWidth="1"/>
    <col min="8" max="8" width="12.7109375" bestFit="1" customWidth="1"/>
    <col min="9" max="9" width="23.28515625" customWidth="1"/>
    <col min="10" max="10" width="16.5703125" hidden="1" customWidth="1"/>
    <col min="11" max="11" width="10.42578125" hidden="1" customWidth="1"/>
    <col min="12" max="12" width="11.85546875" customWidth="1"/>
    <col min="13" max="13" width="22.5703125" customWidth="1"/>
    <col min="14" max="14" width="21.42578125" customWidth="1"/>
    <col min="15" max="15" width="21.5703125" customWidth="1"/>
    <col min="16" max="16" width="22.140625" customWidth="1"/>
    <col min="17" max="17" width="26.28515625" customWidth="1"/>
    <col min="18" max="18" width="22.5703125" customWidth="1"/>
    <col min="19" max="19" width="23.7109375" customWidth="1"/>
    <col min="20" max="20" width="27.42578125" customWidth="1"/>
    <col min="21" max="21" width="44.28515625" customWidth="1"/>
    <col min="22" max="22" width="40.140625" customWidth="1"/>
    <col min="23" max="23" width="16.42578125" customWidth="1"/>
    <col min="24" max="24" width="12.140625" customWidth="1"/>
    <col min="25" max="26" width="16" customWidth="1"/>
  </cols>
  <sheetData>
    <row r="1" spans="1:26" ht="14.25" customHeight="1" x14ac:dyDescent="0.25">
      <c r="A1" s="11"/>
      <c r="B1" s="11"/>
      <c r="C1" s="11"/>
      <c r="D1" s="3" t="s">
        <v>0</v>
      </c>
      <c r="E1" s="9" t="s">
        <v>2721</v>
      </c>
      <c r="F1" s="3" t="s">
        <v>2</v>
      </c>
      <c r="G1" s="3" t="s">
        <v>2722</v>
      </c>
      <c r="H1" s="3" t="s">
        <v>2723</v>
      </c>
      <c r="I1" s="3" t="s">
        <v>6</v>
      </c>
      <c r="J1" s="3" t="s">
        <v>7</v>
      </c>
      <c r="K1" s="108" t="s">
        <v>2724</v>
      </c>
      <c r="L1" s="6" t="s">
        <v>8</v>
      </c>
      <c r="M1" s="3" t="s">
        <v>9</v>
      </c>
      <c r="N1" s="3" t="s">
        <v>10</v>
      </c>
      <c r="O1" s="6" t="s">
        <v>11</v>
      </c>
      <c r="P1" s="10" t="s">
        <v>12</v>
      </c>
      <c r="Q1" s="11" t="s">
        <v>13</v>
      </c>
      <c r="R1" s="11" t="s">
        <v>14</v>
      </c>
      <c r="S1" s="11" t="s">
        <v>15</v>
      </c>
      <c r="T1" s="11" t="s">
        <v>2726</v>
      </c>
      <c r="U1" s="11" t="s">
        <v>2727</v>
      </c>
      <c r="V1" s="11" t="s">
        <v>18</v>
      </c>
      <c r="W1" s="161" t="s">
        <v>19</v>
      </c>
      <c r="X1" s="161" t="s">
        <v>20</v>
      </c>
      <c r="Y1" s="11"/>
      <c r="Z1" s="11"/>
    </row>
    <row r="2" spans="1:26" ht="14.25" customHeight="1" x14ac:dyDescent="0.25">
      <c r="A2" s="15"/>
      <c r="B2" s="15"/>
      <c r="C2" s="15"/>
      <c r="D2" s="71" t="s">
        <v>4379</v>
      </c>
      <c r="E2" s="71">
        <v>94286838</v>
      </c>
      <c r="F2" s="71"/>
      <c r="G2" s="17" t="s">
        <v>567</v>
      </c>
      <c r="H2" s="36"/>
      <c r="I2" s="71"/>
      <c r="J2" s="57" t="s">
        <v>567</v>
      </c>
      <c r="K2" s="61"/>
      <c r="L2" s="61"/>
      <c r="M2" s="18" t="s">
        <v>234</v>
      </c>
      <c r="N2" s="64"/>
      <c r="O2" s="61"/>
      <c r="P2" s="66"/>
      <c r="Q2" s="15" t="s">
        <v>4380</v>
      </c>
      <c r="R2" s="15" t="s">
        <v>234</v>
      </c>
      <c r="S2" s="15"/>
      <c r="T2" s="71" t="s">
        <v>2754</v>
      </c>
      <c r="U2" s="71" t="s">
        <v>4381</v>
      </c>
      <c r="V2" s="47" t="s">
        <v>311</v>
      </c>
      <c r="W2" s="103" t="s">
        <v>26</v>
      </c>
      <c r="X2" s="15" t="s">
        <v>2563</v>
      </c>
      <c r="Y2" s="15"/>
      <c r="Z2" s="15"/>
    </row>
    <row r="3" spans="1:26" ht="14.25" customHeight="1" x14ac:dyDescent="0.25">
      <c r="A3" s="15"/>
      <c r="B3" s="15"/>
      <c r="C3" s="15"/>
      <c r="D3" s="71" t="s">
        <v>4382</v>
      </c>
      <c r="E3" s="71">
        <v>93449043</v>
      </c>
      <c r="F3" s="71">
        <v>3154055334</v>
      </c>
      <c r="G3" s="17" t="s">
        <v>4383</v>
      </c>
      <c r="H3" s="36" t="s">
        <v>2730</v>
      </c>
      <c r="I3" s="71" t="s">
        <v>421</v>
      </c>
      <c r="J3" s="57">
        <v>82000</v>
      </c>
      <c r="K3" s="61"/>
      <c r="L3" s="61">
        <f t="shared" ref="L3:L14" si="0">J3</f>
        <v>82000</v>
      </c>
      <c r="M3" s="57" t="s">
        <v>234</v>
      </c>
      <c r="N3" s="64"/>
      <c r="O3" s="65"/>
      <c r="P3" s="66"/>
      <c r="Q3" s="15" t="s">
        <v>4380</v>
      </c>
      <c r="R3" s="15" t="s">
        <v>20</v>
      </c>
      <c r="S3" s="15"/>
      <c r="T3" s="71" t="s">
        <v>3413</v>
      </c>
      <c r="U3" s="71" t="s">
        <v>4384</v>
      </c>
      <c r="V3" s="162" t="s">
        <v>4385</v>
      </c>
      <c r="W3" s="67" t="s">
        <v>234</v>
      </c>
      <c r="X3" s="15"/>
      <c r="Y3" s="15"/>
      <c r="Z3" s="15"/>
    </row>
    <row r="4" spans="1:26" ht="14.25" customHeight="1" x14ac:dyDescent="0.25">
      <c r="A4" s="15"/>
      <c r="B4" s="15"/>
      <c r="C4" s="15"/>
      <c r="D4" s="71" t="s">
        <v>4386</v>
      </c>
      <c r="E4" s="71">
        <v>9801573</v>
      </c>
      <c r="F4" s="71">
        <v>3152771175</v>
      </c>
      <c r="G4" s="17" t="s">
        <v>3224</v>
      </c>
      <c r="H4" s="36" t="s">
        <v>2730</v>
      </c>
      <c r="I4" s="71" t="s">
        <v>421</v>
      </c>
      <c r="J4" s="57">
        <v>82000</v>
      </c>
      <c r="K4" s="61"/>
      <c r="L4" s="61">
        <f t="shared" si="0"/>
        <v>82000</v>
      </c>
      <c r="M4" s="57" t="s">
        <v>234</v>
      </c>
      <c r="N4" s="64"/>
      <c r="O4" s="65"/>
      <c r="P4" s="66"/>
      <c r="Q4" s="15" t="s">
        <v>4380</v>
      </c>
      <c r="R4" s="15" t="s">
        <v>20</v>
      </c>
      <c r="S4" s="15"/>
      <c r="T4" s="71" t="s">
        <v>3413</v>
      </c>
      <c r="U4" s="71" t="s">
        <v>4387</v>
      </c>
      <c r="V4" s="162" t="s">
        <v>4388</v>
      </c>
      <c r="W4" s="15"/>
      <c r="X4" s="15"/>
      <c r="Y4" s="15"/>
      <c r="Z4" s="15"/>
    </row>
    <row r="5" spans="1:26" ht="14.25" customHeight="1" x14ac:dyDescent="0.25">
      <c r="A5" s="15"/>
      <c r="B5" s="15"/>
      <c r="C5" s="15"/>
      <c r="D5" s="71" t="s">
        <v>4389</v>
      </c>
      <c r="E5" s="71">
        <v>1005089978</v>
      </c>
      <c r="F5" s="71">
        <v>3155043609</v>
      </c>
      <c r="G5" s="17" t="s">
        <v>4390</v>
      </c>
      <c r="H5" s="36" t="s">
        <v>2730</v>
      </c>
      <c r="I5" s="71" t="s">
        <v>421</v>
      </c>
      <c r="J5" s="57">
        <v>82000</v>
      </c>
      <c r="K5" s="61"/>
      <c r="L5" s="61">
        <f t="shared" si="0"/>
        <v>82000</v>
      </c>
      <c r="M5" s="57" t="s">
        <v>234</v>
      </c>
      <c r="N5" s="64"/>
      <c r="O5" s="65"/>
      <c r="P5" s="66"/>
      <c r="Q5" s="15" t="s">
        <v>4380</v>
      </c>
      <c r="R5" s="15" t="s">
        <v>20</v>
      </c>
      <c r="S5" s="15"/>
      <c r="T5" s="71" t="s">
        <v>3413</v>
      </c>
      <c r="U5" s="71" t="s">
        <v>4387</v>
      </c>
      <c r="V5" s="162" t="s">
        <v>4391</v>
      </c>
      <c r="W5" s="15"/>
      <c r="X5" s="15"/>
      <c r="Y5" s="15"/>
      <c r="Z5" s="15"/>
    </row>
    <row r="6" spans="1:26" ht="14.25" customHeight="1" x14ac:dyDescent="0.25">
      <c r="A6" s="15"/>
      <c r="B6" s="15"/>
      <c r="C6" s="15"/>
      <c r="D6" s="71" t="s">
        <v>4392</v>
      </c>
      <c r="E6" s="71">
        <v>94253222</v>
      </c>
      <c r="F6" s="71">
        <v>3136552979</v>
      </c>
      <c r="G6" s="17" t="s">
        <v>4393</v>
      </c>
      <c r="H6" s="36" t="s">
        <v>2730</v>
      </c>
      <c r="I6" s="71" t="s">
        <v>421</v>
      </c>
      <c r="J6" s="57">
        <v>82000</v>
      </c>
      <c r="K6" s="61"/>
      <c r="L6" s="61">
        <f t="shared" si="0"/>
        <v>82000</v>
      </c>
      <c r="M6" s="57" t="s">
        <v>234</v>
      </c>
      <c r="N6" s="64"/>
      <c r="O6" s="65"/>
      <c r="P6" s="66"/>
      <c r="Q6" s="15" t="s">
        <v>4380</v>
      </c>
      <c r="R6" s="15" t="s">
        <v>20</v>
      </c>
      <c r="S6" s="15"/>
      <c r="T6" s="71" t="s">
        <v>3413</v>
      </c>
      <c r="U6" s="71" t="s">
        <v>4394</v>
      </c>
      <c r="V6" s="162" t="s">
        <v>4395</v>
      </c>
      <c r="W6" s="15"/>
      <c r="X6" s="15"/>
      <c r="Y6" s="15"/>
      <c r="Z6" s="15"/>
    </row>
    <row r="7" spans="1:26" ht="14.25" customHeight="1" x14ac:dyDescent="0.25">
      <c r="A7" s="15"/>
      <c r="B7" s="15"/>
      <c r="C7" s="15"/>
      <c r="D7" s="71" t="s">
        <v>4396</v>
      </c>
      <c r="E7" s="71">
        <v>38755691</v>
      </c>
      <c r="F7" s="71">
        <v>3113602102</v>
      </c>
      <c r="G7" s="17" t="s">
        <v>3343</v>
      </c>
      <c r="H7" s="36" t="s">
        <v>2730</v>
      </c>
      <c r="I7" s="71" t="s">
        <v>4397</v>
      </c>
      <c r="J7" s="57">
        <v>67000</v>
      </c>
      <c r="K7" s="61"/>
      <c r="L7" s="61">
        <f t="shared" si="0"/>
        <v>67000</v>
      </c>
      <c r="M7" s="57" t="s">
        <v>234</v>
      </c>
      <c r="N7" s="64"/>
      <c r="O7" s="65"/>
      <c r="P7" s="66"/>
      <c r="Q7" s="15" t="s">
        <v>4380</v>
      </c>
      <c r="R7" s="15" t="s">
        <v>20</v>
      </c>
      <c r="S7" s="15"/>
      <c r="T7" s="71" t="s">
        <v>4398</v>
      </c>
      <c r="U7" s="71" t="s">
        <v>2730</v>
      </c>
      <c r="V7" s="162" t="s">
        <v>4399</v>
      </c>
      <c r="W7" s="15"/>
      <c r="X7" s="15"/>
      <c r="Y7" s="15"/>
      <c r="Z7" s="15"/>
    </row>
    <row r="8" spans="1:26" ht="14.25" customHeight="1" x14ac:dyDescent="0.25">
      <c r="A8" s="15"/>
      <c r="B8" s="15"/>
      <c r="C8" s="15"/>
      <c r="D8" s="71" t="s">
        <v>4396</v>
      </c>
      <c r="E8" s="71">
        <v>38755691</v>
      </c>
      <c r="F8" s="71">
        <v>3113602102</v>
      </c>
      <c r="G8" s="17" t="s">
        <v>3348</v>
      </c>
      <c r="H8" s="36" t="s">
        <v>2730</v>
      </c>
      <c r="I8" s="71" t="s">
        <v>4397</v>
      </c>
      <c r="J8" s="57">
        <v>67000</v>
      </c>
      <c r="K8" s="61"/>
      <c r="L8" s="61">
        <f t="shared" si="0"/>
        <v>67000</v>
      </c>
      <c r="M8" s="57" t="s">
        <v>234</v>
      </c>
      <c r="N8" s="64"/>
      <c r="O8" s="65"/>
      <c r="P8" s="66"/>
      <c r="Q8" s="15" t="s">
        <v>4380</v>
      </c>
      <c r="R8" s="15" t="s">
        <v>20</v>
      </c>
      <c r="S8" s="15"/>
      <c r="T8" s="71" t="s">
        <v>4398</v>
      </c>
      <c r="U8" s="71" t="s">
        <v>2730</v>
      </c>
      <c r="V8" s="162" t="s">
        <v>4399</v>
      </c>
      <c r="W8" s="15"/>
      <c r="X8" s="15"/>
      <c r="Y8" s="15"/>
      <c r="Z8" s="15"/>
    </row>
    <row r="9" spans="1:26" ht="14.25" customHeight="1" x14ac:dyDescent="0.25">
      <c r="A9" s="15"/>
      <c r="B9" s="15"/>
      <c r="C9" s="15"/>
      <c r="D9" s="71" t="s">
        <v>4400</v>
      </c>
      <c r="E9" s="71">
        <v>1115188640</v>
      </c>
      <c r="F9" s="71">
        <v>3218507522</v>
      </c>
      <c r="G9" s="17" t="s">
        <v>4401</v>
      </c>
      <c r="H9" s="36" t="s">
        <v>2730</v>
      </c>
      <c r="I9" s="71" t="s">
        <v>421</v>
      </c>
      <c r="J9" s="57">
        <v>82000</v>
      </c>
      <c r="K9" s="61"/>
      <c r="L9" s="61">
        <f t="shared" si="0"/>
        <v>82000</v>
      </c>
      <c r="M9" s="57" t="s">
        <v>234</v>
      </c>
      <c r="N9" s="64"/>
      <c r="O9" s="65"/>
      <c r="P9" s="66"/>
      <c r="Q9" s="15" t="s">
        <v>4380</v>
      </c>
      <c r="R9" s="15" t="s">
        <v>20</v>
      </c>
      <c r="S9" s="15"/>
      <c r="T9" s="71" t="s">
        <v>4398</v>
      </c>
      <c r="U9" s="71" t="s">
        <v>4402</v>
      </c>
      <c r="V9" s="162" t="s">
        <v>4403</v>
      </c>
      <c r="W9" s="15"/>
      <c r="X9" s="15"/>
      <c r="Y9" s="15"/>
      <c r="Z9" s="15"/>
    </row>
    <row r="10" spans="1:26" ht="14.25" customHeight="1" x14ac:dyDescent="0.25">
      <c r="A10" s="15"/>
      <c r="B10" s="15"/>
      <c r="C10" s="15"/>
      <c r="D10" s="71" t="s">
        <v>4404</v>
      </c>
      <c r="E10" s="71">
        <v>59176948</v>
      </c>
      <c r="F10" s="71">
        <v>3136933898</v>
      </c>
      <c r="G10" s="17" t="s">
        <v>4405</v>
      </c>
      <c r="H10" s="36" t="s">
        <v>2730</v>
      </c>
      <c r="I10" s="71" t="s">
        <v>421</v>
      </c>
      <c r="J10" s="57">
        <v>82000</v>
      </c>
      <c r="K10" s="61"/>
      <c r="L10" s="61">
        <f t="shared" si="0"/>
        <v>82000</v>
      </c>
      <c r="M10" s="57" t="s">
        <v>234</v>
      </c>
      <c r="N10" s="64"/>
      <c r="O10" s="65"/>
      <c r="P10" s="66"/>
      <c r="Q10" s="15" t="s">
        <v>4380</v>
      </c>
      <c r="R10" s="15" t="s">
        <v>20</v>
      </c>
      <c r="S10" s="15"/>
      <c r="T10" s="71" t="s">
        <v>4398</v>
      </c>
      <c r="U10" s="71" t="s">
        <v>3155</v>
      </c>
      <c r="V10" s="162" t="s">
        <v>4406</v>
      </c>
      <c r="W10" s="15"/>
      <c r="X10" s="15"/>
      <c r="Y10" s="15"/>
      <c r="Z10" s="15"/>
    </row>
    <row r="11" spans="1:26" ht="14.25" customHeight="1" x14ac:dyDescent="0.25">
      <c r="A11" s="15"/>
      <c r="B11" s="15"/>
      <c r="C11" s="15"/>
      <c r="D11" s="71" t="s">
        <v>4407</v>
      </c>
      <c r="E11" s="71">
        <v>12269056</v>
      </c>
      <c r="F11" s="71">
        <v>3113546402</v>
      </c>
      <c r="G11" s="17" t="s">
        <v>3263</v>
      </c>
      <c r="H11" s="36" t="s">
        <v>2730</v>
      </c>
      <c r="I11" s="71" t="s">
        <v>421</v>
      </c>
      <c r="J11" s="57">
        <v>82000</v>
      </c>
      <c r="K11" s="61"/>
      <c r="L11" s="61">
        <f t="shared" si="0"/>
        <v>82000</v>
      </c>
      <c r="M11" s="57" t="s">
        <v>234</v>
      </c>
      <c r="N11" s="64"/>
      <c r="O11" s="65"/>
      <c r="P11" s="66"/>
      <c r="Q11" s="15" t="s">
        <v>4380</v>
      </c>
      <c r="R11" s="15" t="s">
        <v>20</v>
      </c>
      <c r="S11" s="15"/>
      <c r="T11" s="71" t="s">
        <v>4398</v>
      </c>
      <c r="U11" s="71" t="s">
        <v>1681</v>
      </c>
      <c r="V11" s="162" t="s">
        <v>4408</v>
      </c>
      <c r="W11" s="15"/>
      <c r="X11" s="15"/>
      <c r="Y11" s="15"/>
      <c r="Z11" s="15"/>
    </row>
    <row r="12" spans="1:26" ht="14.25" customHeight="1" x14ac:dyDescent="0.25">
      <c r="A12" s="15"/>
      <c r="B12" s="15"/>
      <c r="C12" s="15"/>
      <c r="D12" s="71" t="s">
        <v>4409</v>
      </c>
      <c r="E12" s="71">
        <v>6464399</v>
      </c>
      <c r="F12" s="71">
        <v>3185781363</v>
      </c>
      <c r="G12" s="17" t="s">
        <v>4410</v>
      </c>
      <c r="H12" s="36" t="s">
        <v>2730</v>
      </c>
      <c r="I12" s="71" t="s">
        <v>421</v>
      </c>
      <c r="J12" s="57">
        <v>82000</v>
      </c>
      <c r="K12" s="61"/>
      <c r="L12" s="61">
        <f t="shared" si="0"/>
        <v>82000</v>
      </c>
      <c r="M12" s="57" t="s">
        <v>234</v>
      </c>
      <c r="N12" s="64"/>
      <c r="O12" s="65"/>
      <c r="P12" s="66"/>
      <c r="Q12" s="15" t="s">
        <v>4380</v>
      </c>
      <c r="R12" s="15" t="s">
        <v>20</v>
      </c>
      <c r="S12" s="15"/>
      <c r="T12" s="71" t="s">
        <v>3142</v>
      </c>
      <c r="U12" s="71" t="s">
        <v>4411</v>
      </c>
      <c r="V12" s="162" t="s">
        <v>4412</v>
      </c>
      <c r="W12" s="15"/>
      <c r="X12" s="15"/>
      <c r="Y12" s="15"/>
      <c r="Z12" s="15"/>
    </row>
    <row r="13" spans="1:26" ht="14.25" customHeight="1" x14ac:dyDescent="0.25">
      <c r="A13" s="15"/>
      <c r="B13" s="15"/>
      <c r="C13" s="15"/>
      <c r="D13" s="71" t="s">
        <v>4413</v>
      </c>
      <c r="E13" s="71">
        <v>29818660</v>
      </c>
      <c r="F13" s="71">
        <v>3107290310</v>
      </c>
      <c r="G13" s="17" t="s">
        <v>4414</v>
      </c>
      <c r="H13" s="36" t="s">
        <v>2730</v>
      </c>
      <c r="I13" s="71" t="s">
        <v>3135</v>
      </c>
      <c r="J13" s="57">
        <v>122000</v>
      </c>
      <c r="K13" s="61"/>
      <c r="L13" s="61">
        <f t="shared" si="0"/>
        <v>122000</v>
      </c>
      <c r="M13" s="57" t="s">
        <v>234</v>
      </c>
      <c r="N13" s="64"/>
      <c r="O13" s="65"/>
      <c r="P13" s="66"/>
      <c r="Q13" s="15" t="s">
        <v>4380</v>
      </c>
      <c r="R13" s="15" t="s">
        <v>20</v>
      </c>
      <c r="S13" s="15"/>
      <c r="T13" s="71" t="s">
        <v>3365</v>
      </c>
      <c r="U13" s="71" t="s">
        <v>4415</v>
      </c>
      <c r="V13" s="162" t="s">
        <v>4416</v>
      </c>
      <c r="W13" s="15"/>
      <c r="X13" s="15"/>
      <c r="Y13" s="15"/>
      <c r="Z13" s="15"/>
    </row>
    <row r="14" spans="1:26" ht="14.25" customHeight="1" x14ac:dyDescent="0.25">
      <c r="A14" s="15"/>
      <c r="B14" s="15"/>
      <c r="C14" s="15"/>
      <c r="D14" s="71" t="s">
        <v>4417</v>
      </c>
      <c r="E14" s="71">
        <v>94281716</v>
      </c>
      <c r="F14" s="71">
        <v>3157792793</v>
      </c>
      <c r="G14" s="17" t="s">
        <v>4418</v>
      </c>
      <c r="H14" s="36" t="s">
        <v>3141</v>
      </c>
      <c r="I14" s="71" t="s">
        <v>421</v>
      </c>
      <c r="J14" s="57">
        <v>82000</v>
      </c>
      <c r="K14" s="61"/>
      <c r="L14" s="61">
        <f t="shared" si="0"/>
        <v>82000</v>
      </c>
      <c r="M14" s="57" t="s">
        <v>234</v>
      </c>
      <c r="N14" s="64"/>
      <c r="O14" s="65"/>
      <c r="P14" s="66"/>
      <c r="Q14" s="15" t="s">
        <v>4380</v>
      </c>
      <c r="R14" s="15" t="s">
        <v>20</v>
      </c>
      <c r="S14" s="15"/>
      <c r="T14" s="71" t="s">
        <v>4419</v>
      </c>
      <c r="U14" s="71" t="s">
        <v>4420</v>
      </c>
      <c r="V14" s="162" t="s">
        <v>4421</v>
      </c>
      <c r="W14" s="15"/>
      <c r="X14" s="15"/>
      <c r="Y14" s="15"/>
      <c r="Z14" s="15"/>
    </row>
    <row r="15" spans="1:26" ht="14.25" customHeight="1" x14ac:dyDescent="0.25">
      <c r="A15" s="15"/>
      <c r="B15" s="15"/>
      <c r="C15" s="15"/>
      <c r="D15" s="71" t="s">
        <v>4422</v>
      </c>
      <c r="E15" s="71">
        <v>94284769</v>
      </c>
      <c r="F15" s="71">
        <v>3147801119</v>
      </c>
      <c r="G15" s="17" t="s">
        <v>4423</v>
      </c>
      <c r="H15" s="36" t="s">
        <v>2730</v>
      </c>
      <c r="I15" s="71" t="s">
        <v>4424</v>
      </c>
      <c r="J15" s="57">
        <v>164000</v>
      </c>
      <c r="K15" s="61"/>
      <c r="L15" s="61">
        <v>164000</v>
      </c>
      <c r="M15" s="57" t="s">
        <v>234</v>
      </c>
      <c r="N15" s="64"/>
      <c r="O15" s="65"/>
      <c r="P15" s="66"/>
      <c r="Q15" s="15" t="s">
        <v>4380</v>
      </c>
      <c r="R15" s="15" t="s">
        <v>20</v>
      </c>
      <c r="S15" s="15"/>
      <c r="T15" s="71"/>
      <c r="U15" s="71" t="s">
        <v>4425</v>
      </c>
      <c r="V15" s="162" t="s">
        <v>4426</v>
      </c>
      <c r="W15" s="15"/>
      <c r="X15" s="15"/>
      <c r="Y15" s="15"/>
      <c r="Z15" s="15"/>
    </row>
    <row r="16" spans="1:26" ht="14.25" customHeight="1" x14ac:dyDescent="0.25">
      <c r="A16" s="15"/>
      <c r="B16" s="15"/>
      <c r="C16" s="15"/>
      <c r="D16" s="71" t="s">
        <v>4427</v>
      </c>
      <c r="E16" s="71">
        <v>31255156</v>
      </c>
      <c r="F16" s="71">
        <v>3174361577</v>
      </c>
      <c r="G16" s="17" t="s">
        <v>4428</v>
      </c>
      <c r="H16" s="36" t="s">
        <v>2730</v>
      </c>
      <c r="I16" s="71" t="s">
        <v>4424</v>
      </c>
      <c r="J16" s="57">
        <v>152000</v>
      </c>
      <c r="K16" s="61"/>
      <c r="L16" s="61">
        <f t="shared" ref="L16:L26" si="1">J16</f>
        <v>152000</v>
      </c>
      <c r="M16" s="57" t="s">
        <v>234</v>
      </c>
      <c r="N16" s="64"/>
      <c r="O16" s="65"/>
      <c r="P16" s="66"/>
      <c r="Q16" s="15" t="s">
        <v>4380</v>
      </c>
      <c r="R16" s="15" t="s">
        <v>20</v>
      </c>
      <c r="S16" s="15"/>
      <c r="T16" s="71" t="s">
        <v>3288</v>
      </c>
      <c r="U16" s="71" t="s">
        <v>4429</v>
      </c>
      <c r="V16" s="162" t="s">
        <v>4430</v>
      </c>
      <c r="W16" s="15"/>
      <c r="X16" s="15"/>
      <c r="Y16" s="15"/>
      <c r="Z16" s="15"/>
    </row>
    <row r="17" spans="1:26" ht="14.25" customHeight="1" x14ac:dyDescent="0.25">
      <c r="A17" s="15"/>
      <c r="B17" s="15"/>
      <c r="C17" s="15"/>
      <c r="D17" s="17" t="s">
        <v>4431</v>
      </c>
      <c r="E17" s="17">
        <v>1115358412</v>
      </c>
      <c r="F17" s="17">
        <v>3232906761</v>
      </c>
      <c r="G17" s="17" t="s">
        <v>3257</v>
      </c>
      <c r="H17" s="63" t="s">
        <v>2730</v>
      </c>
      <c r="I17" s="71" t="s">
        <v>421</v>
      </c>
      <c r="J17" s="93">
        <v>82000</v>
      </c>
      <c r="K17" s="78"/>
      <c r="L17" s="78">
        <f t="shared" si="1"/>
        <v>82000</v>
      </c>
      <c r="M17" s="57" t="s">
        <v>234</v>
      </c>
      <c r="N17" s="84"/>
      <c r="O17" s="85"/>
      <c r="P17" s="30"/>
      <c r="Q17" s="15" t="s">
        <v>4380</v>
      </c>
      <c r="R17" s="15" t="s">
        <v>20</v>
      </c>
      <c r="S17" s="15"/>
      <c r="T17" s="17" t="s">
        <v>3445</v>
      </c>
      <c r="U17" s="17" t="s">
        <v>4432</v>
      </c>
      <c r="V17" s="162" t="s">
        <v>4433</v>
      </c>
      <c r="W17" s="15"/>
      <c r="X17" s="15"/>
      <c r="Y17" s="15"/>
      <c r="Z17" s="15"/>
    </row>
    <row r="18" spans="1:26" ht="15" customHeight="1" x14ac:dyDescent="0.25">
      <c r="A18" s="15"/>
      <c r="B18" s="15"/>
      <c r="C18" s="15"/>
      <c r="D18" s="71" t="s">
        <v>4434</v>
      </c>
      <c r="E18" s="71">
        <v>1113303145</v>
      </c>
      <c r="F18" s="71">
        <v>3183784826</v>
      </c>
      <c r="G18" s="17" t="s">
        <v>4435</v>
      </c>
      <c r="H18" s="36" t="s">
        <v>3141</v>
      </c>
      <c r="I18" s="71" t="s">
        <v>421</v>
      </c>
      <c r="J18" s="57">
        <v>82000</v>
      </c>
      <c r="K18" s="61"/>
      <c r="L18" s="61">
        <f t="shared" si="1"/>
        <v>82000</v>
      </c>
      <c r="M18" s="57" t="s">
        <v>234</v>
      </c>
      <c r="N18" s="64"/>
      <c r="O18" s="65"/>
      <c r="P18" s="66"/>
      <c r="Q18" s="15" t="s">
        <v>4380</v>
      </c>
      <c r="R18" s="15" t="s">
        <v>20</v>
      </c>
      <c r="S18" s="15"/>
      <c r="T18" s="71" t="s">
        <v>3450</v>
      </c>
      <c r="U18" s="71" t="s">
        <v>4436</v>
      </c>
      <c r="V18" s="162" t="s">
        <v>4437</v>
      </c>
      <c r="W18" s="15"/>
      <c r="X18" s="15"/>
      <c r="Y18" s="15"/>
      <c r="Z18" s="15"/>
    </row>
    <row r="19" spans="1:26" ht="15" customHeight="1" x14ac:dyDescent="0.25">
      <c r="A19" s="15"/>
      <c r="B19" s="15"/>
      <c r="C19" s="15"/>
      <c r="D19" s="71" t="s">
        <v>4438</v>
      </c>
      <c r="E19" s="71">
        <v>18397477</v>
      </c>
      <c r="F19" s="71">
        <v>3206393234</v>
      </c>
      <c r="G19" s="17" t="s">
        <v>4439</v>
      </c>
      <c r="H19" s="36" t="s">
        <v>3141</v>
      </c>
      <c r="I19" s="71" t="s">
        <v>421</v>
      </c>
      <c r="J19" s="57">
        <v>82000</v>
      </c>
      <c r="K19" s="61"/>
      <c r="L19" s="61">
        <f t="shared" si="1"/>
        <v>82000</v>
      </c>
      <c r="M19" s="57" t="s">
        <v>234</v>
      </c>
      <c r="N19" s="64"/>
      <c r="O19" s="65"/>
      <c r="P19" s="66"/>
      <c r="Q19" s="15" t="s">
        <v>4380</v>
      </c>
      <c r="R19" s="15" t="s">
        <v>20</v>
      </c>
      <c r="S19" s="15"/>
      <c r="T19" s="71" t="s">
        <v>4440</v>
      </c>
      <c r="U19" s="71" t="s">
        <v>1681</v>
      </c>
      <c r="V19" s="163" t="s">
        <v>4441</v>
      </c>
      <c r="W19" s="15"/>
      <c r="X19" s="15"/>
      <c r="Y19" s="15"/>
      <c r="Z19" s="15"/>
    </row>
    <row r="20" spans="1:26" ht="14.25" customHeight="1" x14ac:dyDescent="0.25">
      <c r="A20" s="15"/>
      <c r="B20" s="15"/>
      <c r="C20" s="15"/>
      <c r="D20" s="71" t="s">
        <v>4442</v>
      </c>
      <c r="E20" s="71">
        <v>94287096</v>
      </c>
      <c r="F20" s="71">
        <v>3117417167</v>
      </c>
      <c r="G20" s="17" t="s">
        <v>4443</v>
      </c>
      <c r="H20" s="36" t="s">
        <v>3141</v>
      </c>
      <c r="I20" s="71" t="s">
        <v>421</v>
      </c>
      <c r="J20" s="57">
        <v>82000</v>
      </c>
      <c r="K20" s="61"/>
      <c r="L20" s="61">
        <f t="shared" si="1"/>
        <v>82000</v>
      </c>
      <c r="M20" s="57" t="s">
        <v>234</v>
      </c>
      <c r="N20" s="64"/>
      <c r="O20" s="65"/>
      <c r="P20" s="66"/>
      <c r="Q20" s="15" t="s">
        <v>4380</v>
      </c>
      <c r="R20" s="15" t="s">
        <v>20</v>
      </c>
      <c r="S20" s="15"/>
      <c r="T20" s="71" t="s">
        <v>3142</v>
      </c>
      <c r="U20" s="71" t="s">
        <v>4444</v>
      </c>
      <c r="V20" s="162" t="s">
        <v>4445</v>
      </c>
      <c r="W20" s="15"/>
      <c r="X20" s="15"/>
      <c r="Y20" s="15"/>
      <c r="Z20" s="15"/>
    </row>
    <row r="21" spans="1:26" s="306" customFormat="1" ht="15.75" customHeight="1" x14ac:dyDescent="0.25">
      <c r="A21" s="297"/>
      <c r="B21" s="297"/>
      <c r="C21" s="298"/>
      <c r="D21" s="299" t="s">
        <v>4446</v>
      </c>
      <c r="E21" s="299">
        <v>1116723098</v>
      </c>
      <c r="F21" s="299">
        <v>3172327838</v>
      </c>
      <c r="G21" s="300" t="s">
        <v>4447</v>
      </c>
      <c r="H21" s="301" t="s">
        <v>3141</v>
      </c>
      <c r="I21" s="299" t="s">
        <v>421</v>
      </c>
      <c r="J21" s="302">
        <v>82000</v>
      </c>
      <c r="K21" s="303"/>
      <c r="L21" s="303">
        <f t="shared" si="1"/>
        <v>82000</v>
      </c>
      <c r="M21" s="57" t="s">
        <v>234</v>
      </c>
      <c r="N21" s="301"/>
      <c r="O21" s="303"/>
      <c r="P21" s="304"/>
      <c r="Q21" s="297" t="s">
        <v>4380</v>
      </c>
      <c r="R21" s="297" t="s">
        <v>20</v>
      </c>
      <c r="S21" s="297"/>
      <c r="T21" s="299" t="s">
        <v>4448</v>
      </c>
      <c r="U21" s="299" t="s">
        <v>4449</v>
      </c>
      <c r="V21" s="305" t="s">
        <v>4441</v>
      </c>
      <c r="W21" s="297"/>
      <c r="X21" s="297"/>
      <c r="Y21" s="297"/>
      <c r="Z21" s="297"/>
    </row>
    <row r="22" spans="1:26" ht="14.25" customHeight="1" x14ac:dyDescent="0.25">
      <c r="A22" s="15"/>
      <c r="B22" s="15"/>
      <c r="C22" s="15"/>
      <c r="D22" s="71" t="s">
        <v>4450</v>
      </c>
      <c r="E22" s="71">
        <v>1115194439</v>
      </c>
      <c r="F22" s="71">
        <v>3172936451</v>
      </c>
      <c r="G22" s="17" t="s">
        <v>4451</v>
      </c>
      <c r="H22" s="36" t="s">
        <v>3141</v>
      </c>
      <c r="I22" s="71" t="s">
        <v>421</v>
      </c>
      <c r="J22" s="57">
        <v>82000</v>
      </c>
      <c r="K22" s="61"/>
      <c r="L22" s="61">
        <f t="shared" si="1"/>
        <v>82000</v>
      </c>
      <c r="M22" s="57" t="s">
        <v>234</v>
      </c>
      <c r="N22" s="64"/>
      <c r="O22" s="65"/>
      <c r="P22" s="66"/>
      <c r="Q22" s="15" t="s">
        <v>4380</v>
      </c>
      <c r="R22" s="15" t="s">
        <v>20</v>
      </c>
      <c r="S22" s="15"/>
      <c r="T22" s="71" t="s">
        <v>4440</v>
      </c>
      <c r="U22" s="71" t="s">
        <v>1681</v>
      </c>
      <c r="V22" s="162" t="s">
        <v>4452</v>
      </c>
      <c r="W22" s="15"/>
      <c r="X22" s="15"/>
      <c r="Y22" s="15"/>
      <c r="Z22" s="15"/>
    </row>
    <row r="23" spans="1:26" ht="14.25" customHeight="1" x14ac:dyDescent="0.25">
      <c r="A23" s="15"/>
      <c r="B23" s="15"/>
      <c r="C23" s="15"/>
      <c r="D23" s="71" t="s">
        <v>4453</v>
      </c>
      <c r="E23" s="71">
        <v>1112621920</v>
      </c>
      <c r="F23" s="71">
        <v>3173599928</v>
      </c>
      <c r="G23" s="17" t="s">
        <v>4454</v>
      </c>
      <c r="H23" s="36" t="s">
        <v>2730</v>
      </c>
      <c r="I23" s="71" t="s">
        <v>421</v>
      </c>
      <c r="J23" s="57">
        <v>82000</v>
      </c>
      <c r="K23" s="61"/>
      <c r="L23" s="61">
        <f t="shared" si="1"/>
        <v>82000</v>
      </c>
      <c r="M23" s="57" t="s">
        <v>234</v>
      </c>
      <c r="N23" s="64"/>
      <c r="O23" s="65"/>
      <c r="P23" s="66"/>
      <c r="Q23" s="15" t="s">
        <v>4380</v>
      </c>
      <c r="R23" s="15" t="s">
        <v>20</v>
      </c>
      <c r="S23" s="15"/>
      <c r="T23" s="71" t="s">
        <v>4455</v>
      </c>
      <c r="U23" s="71" t="s">
        <v>4456</v>
      </c>
      <c r="V23" s="162" t="s">
        <v>4457</v>
      </c>
      <c r="W23" s="15"/>
      <c r="X23" s="15"/>
      <c r="Y23" s="15"/>
      <c r="Z23" s="15"/>
    </row>
    <row r="24" spans="1:26" ht="17.25" customHeight="1" x14ac:dyDescent="0.25">
      <c r="A24" s="15"/>
      <c r="B24" s="15"/>
      <c r="C24" s="15"/>
      <c r="D24" s="71" t="s">
        <v>4458</v>
      </c>
      <c r="E24" s="71">
        <v>1004827425</v>
      </c>
      <c r="F24" s="71">
        <v>3112910978</v>
      </c>
      <c r="G24" s="17" t="s">
        <v>4459</v>
      </c>
      <c r="H24" s="36" t="s">
        <v>3141</v>
      </c>
      <c r="I24" s="71" t="s">
        <v>3135</v>
      </c>
      <c r="J24" s="57">
        <v>122000</v>
      </c>
      <c r="K24" s="61"/>
      <c r="L24" s="61">
        <f t="shared" si="1"/>
        <v>122000</v>
      </c>
      <c r="M24" s="57" t="s">
        <v>234</v>
      </c>
      <c r="N24" s="64"/>
      <c r="O24" s="65"/>
      <c r="P24" s="66"/>
      <c r="Q24" s="15" t="s">
        <v>4380</v>
      </c>
      <c r="R24" s="15" t="s">
        <v>20</v>
      </c>
      <c r="S24" s="15"/>
      <c r="T24" s="71" t="s">
        <v>4419</v>
      </c>
      <c r="U24" s="71" t="s">
        <v>3085</v>
      </c>
      <c r="V24" s="162" t="s">
        <v>4460</v>
      </c>
      <c r="W24" s="15"/>
      <c r="X24" s="15"/>
      <c r="Y24" s="15"/>
      <c r="Z24" s="15"/>
    </row>
    <row r="25" spans="1:26" ht="14.25" customHeight="1" x14ac:dyDescent="0.25">
      <c r="A25" s="15"/>
      <c r="B25" s="15"/>
      <c r="C25" s="15" t="s">
        <v>4461</v>
      </c>
      <c r="D25" s="71" t="s">
        <v>4462</v>
      </c>
      <c r="E25" s="71">
        <v>1113309129</v>
      </c>
      <c r="F25" s="71">
        <v>3028515437</v>
      </c>
      <c r="G25" s="17" t="s">
        <v>4463</v>
      </c>
      <c r="H25" s="36" t="s">
        <v>3141</v>
      </c>
      <c r="I25" s="71" t="s">
        <v>421</v>
      </c>
      <c r="J25" s="57">
        <v>82000</v>
      </c>
      <c r="K25" s="61"/>
      <c r="L25" s="61">
        <f t="shared" si="1"/>
        <v>82000</v>
      </c>
      <c r="M25" s="57" t="s">
        <v>234</v>
      </c>
      <c r="N25" s="64"/>
      <c r="O25" s="65"/>
      <c r="P25" s="66"/>
      <c r="Q25" s="15" t="s">
        <v>4380</v>
      </c>
      <c r="R25" s="15" t="s">
        <v>20</v>
      </c>
      <c r="S25" s="15"/>
      <c r="T25" s="71" t="s">
        <v>4464</v>
      </c>
      <c r="U25" s="71" t="s">
        <v>4465</v>
      </c>
      <c r="V25" s="162" t="s">
        <v>4466</v>
      </c>
      <c r="W25" s="15"/>
      <c r="X25" s="15"/>
      <c r="Y25" s="15"/>
      <c r="Z25" s="15"/>
    </row>
    <row r="26" spans="1:26" ht="17.25" customHeight="1" x14ac:dyDescent="0.25">
      <c r="A26" s="15"/>
      <c r="B26" s="15"/>
      <c r="C26" s="15"/>
      <c r="D26" s="71" t="s">
        <v>4467</v>
      </c>
      <c r="E26" s="71">
        <v>42086583</v>
      </c>
      <c r="F26" s="71">
        <v>3105172879</v>
      </c>
      <c r="G26" s="17" t="s">
        <v>4468</v>
      </c>
      <c r="H26" s="36" t="s">
        <v>3028</v>
      </c>
      <c r="I26" s="71" t="s">
        <v>421</v>
      </c>
      <c r="J26" s="57">
        <v>82000</v>
      </c>
      <c r="K26" s="61"/>
      <c r="L26" s="61">
        <f t="shared" si="1"/>
        <v>82000</v>
      </c>
      <c r="M26" s="57" t="s">
        <v>234</v>
      </c>
      <c r="N26" s="64"/>
      <c r="O26" s="65"/>
      <c r="P26" s="66"/>
      <c r="Q26" s="15" t="s">
        <v>4380</v>
      </c>
      <c r="R26" s="15" t="s">
        <v>20</v>
      </c>
      <c r="S26" s="15"/>
      <c r="T26" s="71" t="s">
        <v>4469</v>
      </c>
      <c r="U26" s="71" t="s">
        <v>4470</v>
      </c>
      <c r="V26" s="163" t="s">
        <v>4441</v>
      </c>
      <c r="W26" s="15"/>
      <c r="X26" s="15"/>
      <c r="Y26" s="15"/>
      <c r="Z26" s="15"/>
    </row>
    <row r="27" spans="1:26" ht="15.75" customHeight="1" x14ac:dyDescent="0.25">
      <c r="A27" s="15"/>
      <c r="B27" s="15"/>
      <c r="C27" s="15"/>
      <c r="D27" s="71" t="s">
        <v>4471</v>
      </c>
      <c r="E27" s="71">
        <v>821002251</v>
      </c>
      <c r="F27" s="71" t="s">
        <v>4472</v>
      </c>
      <c r="G27" s="17" t="s">
        <v>4473</v>
      </c>
      <c r="H27" s="36" t="s">
        <v>2730</v>
      </c>
      <c r="I27" s="71" t="s">
        <v>421</v>
      </c>
      <c r="J27" s="57">
        <v>82000</v>
      </c>
      <c r="K27" s="61">
        <v>15580</v>
      </c>
      <c r="L27" s="61">
        <v>97580</v>
      </c>
      <c r="M27" s="57" t="s">
        <v>234</v>
      </c>
      <c r="N27" s="64"/>
      <c r="O27" s="65"/>
      <c r="P27" s="66"/>
      <c r="Q27" s="15" t="s">
        <v>4380</v>
      </c>
      <c r="R27" s="15" t="s">
        <v>20</v>
      </c>
      <c r="S27" s="15"/>
      <c r="T27" s="71"/>
      <c r="U27" s="71" t="s">
        <v>4474</v>
      </c>
      <c r="V27" s="163" t="s">
        <v>4441</v>
      </c>
      <c r="W27" s="15"/>
      <c r="X27" s="15"/>
      <c r="Y27" s="15"/>
      <c r="Z27" s="15"/>
    </row>
    <row r="28" spans="1:26" ht="14.25" customHeight="1" x14ac:dyDescent="0.25">
      <c r="A28" s="15"/>
      <c r="B28" s="15"/>
      <c r="C28" s="15"/>
      <c r="D28" s="71" t="s">
        <v>4478</v>
      </c>
      <c r="E28" s="71">
        <v>29831173</v>
      </c>
      <c r="F28" s="71">
        <v>3164421260</v>
      </c>
      <c r="G28" s="17" t="s">
        <v>4479</v>
      </c>
      <c r="H28" s="36" t="s">
        <v>3141</v>
      </c>
      <c r="I28" s="71" t="s">
        <v>4424</v>
      </c>
      <c r="J28" s="57">
        <v>152000</v>
      </c>
      <c r="K28" s="61"/>
      <c r="L28" s="61">
        <f t="shared" ref="L28:L37" si="2">J28</f>
        <v>152000</v>
      </c>
      <c r="M28" s="57" t="s">
        <v>234</v>
      </c>
      <c r="N28" s="64"/>
      <c r="O28" s="65"/>
      <c r="P28" s="66"/>
      <c r="Q28" s="15" t="s">
        <v>4380</v>
      </c>
      <c r="R28" s="15" t="s">
        <v>20</v>
      </c>
      <c r="S28" s="15"/>
      <c r="T28" s="71" t="s">
        <v>4419</v>
      </c>
      <c r="U28" s="71" t="s">
        <v>4480</v>
      </c>
      <c r="V28" s="162" t="s">
        <v>4481</v>
      </c>
      <c r="W28" s="15"/>
      <c r="X28" s="15"/>
      <c r="Y28" s="15"/>
      <c r="Z28" s="15"/>
    </row>
    <row r="29" spans="1:26" ht="14.25" customHeight="1" x14ac:dyDescent="0.25">
      <c r="A29" s="15"/>
      <c r="B29" s="15"/>
      <c r="C29" s="15"/>
      <c r="D29" s="71" t="s">
        <v>4482</v>
      </c>
      <c r="E29" s="71">
        <v>7551796</v>
      </c>
      <c r="F29" s="71">
        <v>3108204887</v>
      </c>
      <c r="G29" s="17" t="s">
        <v>4483</v>
      </c>
      <c r="H29" s="36" t="s">
        <v>2730</v>
      </c>
      <c r="I29" s="71" t="s">
        <v>3135</v>
      </c>
      <c r="J29" s="57">
        <v>122000</v>
      </c>
      <c r="K29" s="61"/>
      <c r="L29" s="61">
        <f t="shared" si="2"/>
        <v>122000</v>
      </c>
      <c r="M29" s="57" t="s">
        <v>234</v>
      </c>
      <c r="N29" s="64"/>
      <c r="O29" s="65"/>
      <c r="P29" s="66"/>
      <c r="Q29" s="15" t="s">
        <v>4380</v>
      </c>
      <c r="R29" s="15" t="s">
        <v>20</v>
      </c>
      <c r="S29" s="15"/>
      <c r="T29" s="71" t="s">
        <v>3450</v>
      </c>
      <c r="U29" s="71" t="s">
        <v>4484</v>
      </c>
      <c r="V29" s="162" t="s">
        <v>4485</v>
      </c>
      <c r="W29" s="15"/>
      <c r="X29" s="15"/>
      <c r="Y29" s="15"/>
      <c r="Z29" s="15"/>
    </row>
    <row r="30" spans="1:26" ht="14.25" customHeight="1" x14ac:dyDescent="0.25">
      <c r="A30" s="15"/>
      <c r="B30" s="15"/>
      <c r="C30" s="15"/>
      <c r="D30" s="71" t="s">
        <v>4486</v>
      </c>
      <c r="E30" s="71">
        <v>9081892</v>
      </c>
      <c r="F30" s="71">
        <v>3148116820</v>
      </c>
      <c r="G30" s="17" t="s">
        <v>4487</v>
      </c>
      <c r="H30" s="36" t="s">
        <v>2730</v>
      </c>
      <c r="I30" s="71" t="s">
        <v>421</v>
      </c>
      <c r="J30" s="57">
        <v>82000</v>
      </c>
      <c r="K30" s="61"/>
      <c r="L30" s="61">
        <f t="shared" si="2"/>
        <v>82000</v>
      </c>
      <c r="M30" s="57" t="s">
        <v>234</v>
      </c>
      <c r="N30" s="64"/>
      <c r="O30" s="65"/>
      <c r="P30" s="66"/>
      <c r="Q30" s="15" t="s">
        <v>4380</v>
      </c>
      <c r="R30" s="15" t="s">
        <v>20</v>
      </c>
      <c r="S30" s="15"/>
      <c r="T30" s="71" t="s">
        <v>4488</v>
      </c>
      <c r="U30" s="71" t="s">
        <v>4489</v>
      </c>
      <c r="V30" s="162" t="s">
        <v>4490</v>
      </c>
      <c r="W30" s="15"/>
      <c r="X30" s="15"/>
      <c r="Y30" s="15"/>
      <c r="Z30" s="15"/>
    </row>
    <row r="31" spans="1:26" ht="14.25" customHeight="1" x14ac:dyDescent="0.25">
      <c r="A31" s="15"/>
      <c r="B31" s="15"/>
      <c r="C31" s="15"/>
      <c r="D31" s="71" t="s">
        <v>4491</v>
      </c>
      <c r="E31" s="71">
        <v>16364078</v>
      </c>
      <c r="F31" s="71">
        <v>3162792909</v>
      </c>
      <c r="G31" s="17" t="s">
        <v>4492</v>
      </c>
      <c r="H31" s="36" t="s">
        <v>3141</v>
      </c>
      <c r="I31" s="71" t="s">
        <v>421</v>
      </c>
      <c r="J31" s="57">
        <v>82000</v>
      </c>
      <c r="K31" s="61"/>
      <c r="L31" s="61">
        <f t="shared" si="2"/>
        <v>82000</v>
      </c>
      <c r="M31" s="57" t="s">
        <v>234</v>
      </c>
      <c r="N31" s="64"/>
      <c r="O31" s="65"/>
      <c r="P31" s="66"/>
      <c r="Q31" s="15" t="s">
        <v>4380</v>
      </c>
      <c r="R31" s="15" t="s">
        <v>20</v>
      </c>
      <c r="S31" s="15"/>
      <c r="T31" s="71" t="s">
        <v>3142</v>
      </c>
      <c r="U31" s="71" t="s">
        <v>4493</v>
      </c>
      <c r="V31" s="162" t="s">
        <v>4494</v>
      </c>
      <c r="W31" s="15"/>
      <c r="X31" s="15"/>
      <c r="Y31" s="15"/>
      <c r="Z31" s="15"/>
    </row>
    <row r="32" spans="1:26" ht="14.25" customHeight="1" x14ac:dyDescent="0.25">
      <c r="A32" s="15"/>
      <c r="B32" s="15"/>
      <c r="C32" s="15"/>
      <c r="D32" s="63" t="s">
        <v>4495</v>
      </c>
      <c r="E32" s="63">
        <v>1115190102</v>
      </c>
      <c r="F32" s="36">
        <v>3147474734</v>
      </c>
      <c r="G32" s="17" t="s">
        <v>4496</v>
      </c>
      <c r="H32" s="36" t="s">
        <v>2730</v>
      </c>
      <c r="I32" s="71" t="s">
        <v>421</v>
      </c>
      <c r="J32" s="57">
        <v>82000</v>
      </c>
      <c r="K32" s="61"/>
      <c r="L32" s="61">
        <f t="shared" si="2"/>
        <v>82000</v>
      </c>
      <c r="M32" s="57" t="s">
        <v>234</v>
      </c>
      <c r="N32" s="64"/>
      <c r="O32" s="65"/>
      <c r="P32" s="66"/>
      <c r="Q32" s="15" t="s">
        <v>4380</v>
      </c>
      <c r="R32" s="15" t="s">
        <v>20</v>
      </c>
      <c r="S32" s="15"/>
      <c r="T32" s="36" t="s">
        <v>4497</v>
      </c>
      <c r="U32" s="36" t="s">
        <v>3172</v>
      </c>
      <c r="V32" s="53" t="s">
        <v>4498</v>
      </c>
      <c r="W32" s="15"/>
      <c r="X32" s="15"/>
      <c r="Y32" s="15"/>
      <c r="Z32" s="15"/>
    </row>
    <row r="33" spans="1:26" ht="14.25" customHeight="1" x14ac:dyDescent="0.25">
      <c r="A33" s="15"/>
      <c r="B33" s="15"/>
      <c r="C33" s="15"/>
      <c r="D33" s="36" t="s">
        <v>4499</v>
      </c>
      <c r="E33" s="36">
        <v>94281782</v>
      </c>
      <c r="F33" s="36">
        <v>3173313502</v>
      </c>
      <c r="G33" s="17" t="s">
        <v>4500</v>
      </c>
      <c r="H33" s="36" t="s">
        <v>3141</v>
      </c>
      <c r="I33" s="71" t="s">
        <v>421</v>
      </c>
      <c r="J33" s="57">
        <v>82000</v>
      </c>
      <c r="K33" s="61"/>
      <c r="L33" s="61">
        <f t="shared" si="2"/>
        <v>82000</v>
      </c>
      <c r="M33" s="57" t="s">
        <v>234</v>
      </c>
      <c r="N33" s="64"/>
      <c r="O33" s="65"/>
      <c r="P33" s="66"/>
      <c r="Q33" s="15" t="s">
        <v>4380</v>
      </c>
      <c r="R33" s="15" t="s">
        <v>20</v>
      </c>
      <c r="S33" s="15"/>
      <c r="T33" s="36" t="s">
        <v>4501</v>
      </c>
      <c r="U33" s="36" t="s">
        <v>4380</v>
      </c>
      <c r="V33" s="165" t="s">
        <v>4502</v>
      </c>
      <c r="W33" s="15"/>
      <c r="X33" s="15"/>
      <c r="Y33" s="15"/>
      <c r="Z33" s="15"/>
    </row>
    <row r="34" spans="1:26" ht="14.25" customHeight="1" x14ac:dyDescent="0.25">
      <c r="A34" s="15"/>
      <c r="B34" s="15"/>
      <c r="C34" s="15"/>
      <c r="D34" s="36" t="s">
        <v>4503</v>
      </c>
      <c r="E34" s="36">
        <v>79577729</v>
      </c>
      <c r="F34" s="36">
        <v>3206636381</v>
      </c>
      <c r="G34" s="17" t="s">
        <v>4504</v>
      </c>
      <c r="H34" s="36" t="s">
        <v>2730</v>
      </c>
      <c r="I34" s="71" t="s">
        <v>421</v>
      </c>
      <c r="J34" s="57">
        <v>82000</v>
      </c>
      <c r="K34" s="61"/>
      <c r="L34" s="61">
        <f t="shared" si="2"/>
        <v>82000</v>
      </c>
      <c r="M34" s="57" t="s">
        <v>234</v>
      </c>
      <c r="N34" s="64"/>
      <c r="O34" s="65"/>
      <c r="P34" s="66"/>
      <c r="Q34" s="15" t="s">
        <v>4380</v>
      </c>
      <c r="R34" s="15" t="s">
        <v>20</v>
      </c>
      <c r="S34" s="15"/>
      <c r="T34" s="36" t="s">
        <v>4505</v>
      </c>
      <c r="U34" s="36" t="s">
        <v>4506</v>
      </c>
      <c r="V34" s="53" t="s">
        <v>4507</v>
      </c>
      <c r="W34" s="15"/>
      <c r="X34" s="15"/>
      <c r="Y34" s="15"/>
      <c r="Z34" s="15"/>
    </row>
    <row r="35" spans="1:26" ht="14.25" customHeight="1" x14ac:dyDescent="0.25">
      <c r="A35" s="15"/>
      <c r="B35" s="15"/>
      <c r="C35" s="15"/>
      <c r="D35" s="36" t="s">
        <v>4508</v>
      </c>
      <c r="E35" s="36">
        <v>4758971</v>
      </c>
      <c r="F35" s="36">
        <v>3234597891</v>
      </c>
      <c r="G35" s="36" t="s">
        <v>4509</v>
      </c>
      <c r="H35" s="36" t="s">
        <v>2730</v>
      </c>
      <c r="I35" s="71" t="s">
        <v>421</v>
      </c>
      <c r="J35" s="57">
        <v>82000</v>
      </c>
      <c r="K35" s="57"/>
      <c r="L35" s="61">
        <f t="shared" si="2"/>
        <v>82000</v>
      </c>
      <c r="M35" s="57" t="s">
        <v>234</v>
      </c>
      <c r="N35" s="64"/>
      <c r="O35" s="65"/>
      <c r="P35" s="66"/>
      <c r="Q35" s="15" t="s">
        <v>4380</v>
      </c>
      <c r="R35" s="15" t="s">
        <v>20</v>
      </c>
      <c r="S35" s="15"/>
      <c r="T35" s="36" t="s">
        <v>3397</v>
      </c>
      <c r="U35" s="36" t="s">
        <v>4510</v>
      </c>
      <c r="V35" s="53" t="s">
        <v>4511</v>
      </c>
      <c r="W35" s="15"/>
      <c r="X35" s="15"/>
      <c r="Y35" s="15"/>
      <c r="Z35" s="15"/>
    </row>
    <row r="36" spans="1:26" ht="14.25" customHeight="1" x14ac:dyDescent="0.25">
      <c r="A36" s="15"/>
      <c r="B36" s="15"/>
      <c r="C36" s="15"/>
      <c r="D36" s="36" t="s">
        <v>4512</v>
      </c>
      <c r="E36" s="36">
        <v>1115192230</v>
      </c>
      <c r="F36" s="36">
        <v>3126942241</v>
      </c>
      <c r="G36" s="36" t="s">
        <v>4513</v>
      </c>
      <c r="H36" s="36" t="s">
        <v>4514</v>
      </c>
      <c r="I36" s="71" t="s">
        <v>421</v>
      </c>
      <c r="J36" s="57">
        <v>82000</v>
      </c>
      <c r="K36" s="57"/>
      <c r="L36" s="61">
        <f t="shared" si="2"/>
        <v>82000</v>
      </c>
      <c r="M36" s="57" t="s">
        <v>234</v>
      </c>
      <c r="N36" s="64"/>
      <c r="O36" s="65"/>
      <c r="P36" s="66"/>
      <c r="Q36" s="15" t="s">
        <v>4380</v>
      </c>
      <c r="R36" s="15" t="s">
        <v>20</v>
      </c>
      <c r="S36" s="15"/>
      <c r="T36" s="36" t="s">
        <v>3418</v>
      </c>
      <c r="U36" s="36" t="s">
        <v>3462</v>
      </c>
      <c r="V36" s="53" t="s">
        <v>4515</v>
      </c>
      <c r="W36" s="15"/>
      <c r="X36" s="15"/>
      <c r="Y36" s="15"/>
      <c r="Z36" s="15"/>
    </row>
    <row r="37" spans="1:26" ht="14.25" customHeight="1" x14ac:dyDescent="0.25">
      <c r="A37" s="15"/>
      <c r="B37" s="15"/>
      <c r="C37" s="15"/>
      <c r="D37" s="36" t="s">
        <v>4516</v>
      </c>
      <c r="E37" s="36">
        <v>94395950</v>
      </c>
      <c r="F37" s="36">
        <v>3229527657</v>
      </c>
      <c r="G37" s="36" t="s">
        <v>3282</v>
      </c>
      <c r="H37" s="36" t="s">
        <v>3141</v>
      </c>
      <c r="I37" s="71" t="s">
        <v>421</v>
      </c>
      <c r="J37" s="57">
        <v>82000</v>
      </c>
      <c r="K37" s="57"/>
      <c r="L37" s="61">
        <f t="shared" si="2"/>
        <v>82000</v>
      </c>
      <c r="M37" s="57" t="s">
        <v>234</v>
      </c>
      <c r="N37" s="64"/>
      <c r="O37" s="65"/>
      <c r="P37" s="66"/>
      <c r="Q37" s="15" t="s">
        <v>4380</v>
      </c>
      <c r="R37" s="15" t="s">
        <v>20</v>
      </c>
      <c r="S37" s="15"/>
      <c r="T37" s="36" t="s">
        <v>4440</v>
      </c>
      <c r="U37" s="36" t="s">
        <v>4517</v>
      </c>
      <c r="V37" s="47" t="s">
        <v>4518</v>
      </c>
      <c r="W37" s="15"/>
      <c r="X37" s="15"/>
      <c r="Y37" s="15"/>
      <c r="Z37" s="15"/>
    </row>
    <row r="38" spans="1:26" ht="14.25" customHeight="1" x14ac:dyDescent="0.25">
      <c r="A38" s="15"/>
      <c r="B38" s="15"/>
      <c r="C38" s="15"/>
      <c r="D38" s="36" t="s">
        <v>4519</v>
      </c>
      <c r="E38" s="36">
        <v>6461244</v>
      </c>
      <c r="F38" s="36">
        <v>3168081366</v>
      </c>
      <c r="G38" s="36" t="s">
        <v>4520</v>
      </c>
      <c r="H38" s="36" t="s">
        <v>2730</v>
      </c>
      <c r="I38" s="71" t="s">
        <v>421</v>
      </c>
      <c r="J38" s="57">
        <v>82000</v>
      </c>
      <c r="K38" s="57"/>
      <c r="L38" s="61">
        <v>82000</v>
      </c>
      <c r="M38" s="57" t="s">
        <v>234</v>
      </c>
      <c r="N38" s="64"/>
      <c r="O38" s="65"/>
      <c r="P38" s="66"/>
      <c r="Q38" s="15" t="s">
        <v>4380</v>
      </c>
      <c r="R38" s="15" t="s">
        <v>20</v>
      </c>
      <c r="S38" s="15"/>
      <c r="T38" s="36" t="s">
        <v>4521</v>
      </c>
      <c r="U38" s="36" t="s">
        <v>4522</v>
      </c>
      <c r="V38" s="47" t="s">
        <v>4523</v>
      </c>
      <c r="W38" s="15"/>
      <c r="X38" s="15"/>
      <c r="Y38" s="15"/>
      <c r="Z38" s="15"/>
    </row>
    <row r="39" spans="1:26" ht="14.25" customHeight="1" x14ac:dyDescent="0.25">
      <c r="A39" s="15"/>
      <c r="B39" s="15"/>
      <c r="C39" s="15"/>
      <c r="D39" s="15" t="s">
        <v>4524</v>
      </c>
      <c r="E39" s="17">
        <v>29327249</v>
      </c>
      <c r="F39" s="17" t="s">
        <v>4525</v>
      </c>
      <c r="G39" s="15" t="s">
        <v>4526</v>
      </c>
      <c r="H39" s="36" t="s">
        <v>2730</v>
      </c>
      <c r="I39" s="71" t="s">
        <v>421</v>
      </c>
      <c r="J39" s="57">
        <v>82000</v>
      </c>
      <c r="K39" s="57"/>
      <c r="L39" s="61">
        <v>82000</v>
      </c>
      <c r="M39" s="57" t="s">
        <v>234</v>
      </c>
      <c r="N39" s="64"/>
      <c r="O39" s="65"/>
      <c r="P39" s="66"/>
      <c r="Q39" s="15" t="s">
        <v>4380</v>
      </c>
      <c r="R39" s="15" t="s">
        <v>20</v>
      </c>
      <c r="S39" s="15"/>
      <c r="T39" s="36" t="s">
        <v>3365</v>
      </c>
      <c r="U39" s="36" t="s">
        <v>4527</v>
      </c>
      <c r="V39" s="47" t="s">
        <v>4528</v>
      </c>
      <c r="W39" s="15"/>
      <c r="X39" s="15"/>
      <c r="Y39" s="15"/>
      <c r="Z39" s="15"/>
    </row>
    <row r="40" spans="1:26" ht="14.25" customHeight="1" x14ac:dyDescent="0.25">
      <c r="A40" s="15"/>
      <c r="B40" s="15"/>
      <c r="C40" s="15"/>
      <c r="D40" s="36" t="s">
        <v>4529</v>
      </c>
      <c r="E40" s="36">
        <v>1086136372</v>
      </c>
      <c r="F40" s="36" t="s">
        <v>4530</v>
      </c>
      <c r="G40" s="36" t="s">
        <v>4531</v>
      </c>
      <c r="H40" s="36" t="s">
        <v>3141</v>
      </c>
      <c r="I40" s="71" t="s">
        <v>421</v>
      </c>
      <c r="J40" s="57">
        <v>82000</v>
      </c>
      <c r="K40" s="57"/>
      <c r="L40" s="61">
        <v>82000</v>
      </c>
      <c r="M40" s="57" t="s">
        <v>234</v>
      </c>
      <c r="N40" s="64"/>
      <c r="O40" s="65"/>
      <c r="P40" s="66"/>
      <c r="Q40" s="15" t="s">
        <v>4380</v>
      </c>
      <c r="R40" s="15" t="s">
        <v>20</v>
      </c>
      <c r="S40" s="15"/>
      <c r="T40" s="36" t="s">
        <v>3450</v>
      </c>
      <c r="U40" s="36" t="s">
        <v>4532</v>
      </c>
      <c r="V40" s="47" t="s">
        <v>4533</v>
      </c>
      <c r="W40" s="15"/>
      <c r="X40" s="15"/>
      <c r="Y40" s="15"/>
      <c r="Z40" s="15"/>
    </row>
    <row r="41" spans="1:26" ht="14.25" customHeight="1" x14ac:dyDescent="0.25">
      <c r="A41" s="15"/>
      <c r="B41" s="15"/>
      <c r="C41" s="15"/>
      <c r="D41" s="36" t="s">
        <v>4534</v>
      </c>
      <c r="E41" s="36">
        <v>9731210</v>
      </c>
      <c r="F41" s="36">
        <v>3146822890</v>
      </c>
      <c r="G41" s="36" t="s">
        <v>3166</v>
      </c>
      <c r="H41" s="36" t="s">
        <v>2730</v>
      </c>
      <c r="I41" s="71" t="s">
        <v>421</v>
      </c>
      <c r="J41" s="57">
        <v>82000</v>
      </c>
      <c r="K41" s="57"/>
      <c r="L41" s="61">
        <v>82000</v>
      </c>
      <c r="M41" s="57" t="s">
        <v>234</v>
      </c>
      <c r="N41" s="64"/>
      <c r="O41" s="65"/>
      <c r="P41" s="66"/>
      <c r="Q41" s="15" t="s">
        <v>4380</v>
      </c>
      <c r="R41" s="15" t="s">
        <v>20</v>
      </c>
      <c r="S41" s="15"/>
      <c r="T41" s="36" t="s">
        <v>3413</v>
      </c>
      <c r="U41" s="36" t="s">
        <v>4535</v>
      </c>
      <c r="V41" s="47" t="s">
        <v>311</v>
      </c>
      <c r="W41" s="15"/>
      <c r="X41" s="15"/>
      <c r="Y41" s="15"/>
      <c r="Z41" s="15"/>
    </row>
    <row r="42" spans="1:26" ht="14.25" customHeight="1" x14ac:dyDescent="0.25">
      <c r="A42" s="15"/>
      <c r="B42" s="15"/>
      <c r="C42" s="15"/>
      <c r="D42" s="36" t="s">
        <v>4536</v>
      </c>
      <c r="E42" s="36">
        <v>94281893</v>
      </c>
      <c r="F42" s="36">
        <v>3127665245</v>
      </c>
      <c r="G42" s="36" t="s">
        <v>3104</v>
      </c>
      <c r="H42" s="36" t="s">
        <v>3141</v>
      </c>
      <c r="I42" s="71" t="s">
        <v>421</v>
      </c>
      <c r="J42" s="57">
        <v>82000</v>
      </c>
      <c r="K42" s="57"/>
      <c r="L42" s="61">
        <v>82000</v>
      </c>
      <c r="M42" s="57" t="s">
        <v>234</v>
      </c>
      <c r="N42" s="64"/>
      <c r="O42" s="65"/>
      <c r="P42" s="66"/>
      <c r="Q42" s="15" t="s">
        <v>4380</v>
      </c>
      <c r="R42" s="15" t="s">
        <v>20</v>
      </c>
      <c r="S42" s="15"/>
      <c r="T42" s="36" t="s">
        <v>4419</v>
      </c>
      <c r="U42" s="36" t="s">
        <v>4537</v>
      </c>
      <c r="V42" s="47" t="s">
        <v>4538</v>
      </c>
      <c r="W42" s="15"/>
      <c r="X42" s="15"/>
      <c r="Y42" s="15"/>
      <c r="Z42" s="15"/>
    </row>
    <row r="43" spans="1:26" ht="14.25" customHeight="1" x14ac:dyDescent="0.25">
      <c r="A43" s="15"/>
      <c r="B43" s="15"/>
      <c r="C43" s="15"/>
      <c r="D43" s="36" t="s">
        <v>4539</v>
      </c>
      <c r="E43" s="36">
        <v>94282616</v>
      </c>
      <c r="F43" s="36">
        <v>3148302896</v>
      </c>
      <c r="G43" s="36" t="s">
        <v>4540</v>
      </c>
      <c r="H43" s="36" t="s">
        <v>3141</v>
      </c>
      <c r="I43" s="71" t="s">
        <v>421</v>
      </c>
      <c r="J43" s="57">
        <v>82000</v>
      </c>
      <c r="K43" s="57"/>
      <c r="L43" s="61">
        <v>82000</v>
      </c>
      <c r="M43" s="57" t="s">
        <v>234</v>
      </c>
      <c r="N43" s="64"/>
      <c r="O43" s="65"/>
      <c r="P43" s="66"/>
      <c r="Q43" s="15" t="s">
        <v>4380</v>
      </c>
      <c r="R43" s="15" t="s">
        <v>20</v>
      </c>
      <c r="S43" s="15"/>
      <c r="T43" s="36" t="s">
        <v>4419</v>
      </c>
      <c r="U43" s="36" t="s">
        <v>4541</v>
      </c>
      <c r="V43" s="47" t="s">
        <v>4542</v>
      </c>
      <c r="W43" s="15"/>
      <c r="X43" s="15"/>
      <c r="Y43" s="15"/>
      <c r="Z43" s="15"/>
    </row>
    <row r="44" spans="1:26" ht="14.25" customHeight="1" x14ac:dyDescent="0.25">
      <c r="A44" s="15"/>
      <c r="B44" s="15"/>
      <c r="C44" s="15"/>
      <c r="D44" s="36" t="s">
        <v>4543</v>
      </c>
      <c r="E44" s="36">
        <v>1116494223</v>
      </c>
      <c r="F44" s="36" t="s">
        <v>4544</v>
      </c>
      <c r="G44" s="36" t="s">
        <v>4545</v>
      </c>
      <c r="H44" s="36" t="s">
        <v>2730</v>
      </c>
      <c r="I44" s="71" t="s">
        <v>421</v>
      </c>
      <c r="J44" s="57">
        <v>82000</v>
      </c>
      <c r="K44" s="57"/>
      <c r="L44" s="61">
        <v>82000</v>
      </c>
      <c r="M44" s="57" t="s">
        <v>234</v>
      </c>
      <c r="N44" s="64"/>
      <c r="O44" s="65"/>
      <c r="P44" s="66"/>
      <c r="Q44" s="15" t="s">
        <v>4380</v>
      </c>
      <c r="R44" s="15" t="s">
        <v>20</v>
      </c>
      <c r="S44" s="15"/>
      <c r="T44" s="36" t="s">
        <v>4546</v>
      </c>
      <c r="U44" s="36" t="s">
        <v>4547</v>
      </c>
      <c r="V44" s="47" t="s">
        <v>4548</v>
      </c>
      <c r="W44" s="15"/>
      <c r="X44" s="15"/>
      <c r="Y44" s="15"/>
      <c r="Z44" s="15"/>
    </row>
    <row r="45" spans="1:26" ht="14.25" customHeight="1" x14ac:dyDescent="0.25">
      <c r="A45" s="15"/>
      <c r="B45" s="15"/>
      <c r="C45" s="15"/>
      <c r="D45" s="36" t="s">
        <v>4549</v>
      </c>
      <c r="E45" s="36">
        <v>10270952</v>
      </c>
      <c r="F45" s="36">
        <v>3234641452</v>
      </c>
      <c r="G45" s="36" t="s">
        <v>4550</v>
      </c>
      <c r="H45" s="36" t="s">
        <v>3028</v>
      </c>
      <c r="I45" s="71" t="s">
        <v>421</v>
      </c>
      <c r="J45" s="57">
        <v>82000</v>
      </c>
      <c r="K45" s="15"/>
      <c r="L45" s="27">
        <v>82000</v>
      </c>
      <c r="M45" s="57" t="s">
        <v>234</v>
      </c>
      <c r="N45" s="28"/>
      <c r="O45" s="29"/>
      <c r="P45" s="26"/>
      <c r="Q45" s="15" t="s">
        <v>4380</v>
      </c>
      <c r="R45" s="15" t="s">
        <v>20</v>
      </c>
      <c r="S45" s="15"/>
      <c r="T45" s="36" t="s">
        <v>4551</v>
      </c>
      <c r="U45" s="36" t="s">
        <v>4552</v>
      </c>
      <c r="V45" s="47" t="s">
        <v>311</v>
      </c>
      <c r="W45" s="15"/>
      <c r="X45" s="15"/>
      <c r="Y45" s="15"/>
      <c r="Z45" s="15"/>
    </row>
    <row r="46" spans="1:26" ht="14.25" customHeight="1" x14ac:dyDescent="0.25">
      <c r="A46" s="15"/>
      <c r="B46" s="15"/>
      <c r="C46" s="15" t="s">
        <v>4461</v>
      </c>
      <c r="D46" s="36" t="s">
        <v>4553</v>
      </c>
      <c r="E46" s="36">
        <v>94462228</v>
      </c>
      <c r="F46" s="36" t="s">
        <v>4554</v>
      </c>
      <c r="G46" s="36" t="s">
        <v>3080</v>
      </c>
      <c r="H46" s="36" t="s">
        <v>3141</v>
      </c>
      <c r="I46" s="71" t="s">
        <v>421</v>
      </c>
      <c r="J46" s="57">
        <v>82000</v>
      </c>
      <c r="K46" s="57"/>
      <c r="L46" s="61">
        <v>82000</v>
      </c>
      <c r="M46" s="57" t="s">
        <v>234</v>
      </c>
      <c r="N46" s="64"/>
      <c r="O46" s="65"/>
      <c r="P46" s="66"/>
      <c r="Q46" s="15" t="s">
        <v>4380</v>
      </c>
      <c r="R46" s="15" t="s">
        <v>20</v>
      </c>
      <c r="S46" s="15"/>
      <c r="T46" s="36" t="s">
        <v>4555</v>
      </c>
      <c r="U46" s="36" t="s">
        <v>3155</v>
      </c>
      <c r="V46" s="47" t="s">
        <v>4556</v>
      </c>
      <c r="W46" s="15"/>
      <c r="X46" s="15"/>
      <c r="Y46" s="15"/>
      <c r="Z46" s="15"/>
    </row>
    <row r="47" spans="1:26" ht="14.25" customHeight="1" x14ac:dyDescent="0.25">
      <c r="A47" s="14"/>
      <c r="B47" s="13">
        <v>45804</v>
      </c>
      <c r="C47" s="14" t="s">
        <v>419</v>
      </c>
      <c r="D47" s="36" t="s">
        <v>4557</v>
      </c>
      <c r="E47" s="36">
        <v>1115185587</v>
      </c>
      <c r="F47" s="36">
        <v>3105318616</v>
      </c>
      <c r="G47" s="36" t="s">
        <v>4459</v>
      </c>
      <c r="H47" s="36" t="s">
        <v>2730</v>
      </c>
      <c r="I47" s="71" t="s">
        <v>421</v>
      </c>
      <c r="J47" s="57">
        <v>82000</v>
      </c>
      <c r="K47" s="57"/>
      <c r="L47" s="61">
        <v>82000</v>
      </c>
      <c r="M47" s="57" t="s">
        <v>234</v>
      </c>
      <c r="N47" s="64"/>
      <c r="O47" s="65"/>
      <c r="P47" s="66"/>
      <c r="Q47" s="15" t="s">
        <v>4380</v>
      </c>
      <c r="R47" s="15" t="s">
        <v>20</v>
      </c>
      <c r="S47" s="15"/>
      <c r="T47" s="36" t="s">
        <v>3101</v>
      </c>
      <c r="U47" s="36" t="s">
        <v>4558</v>
      </c>
      <c r="V47" s="47" t="s">
        <v>311</v>
      </c>
      <c r="W47" s="14"/>
      <c r="X47" s="14"/>
      <c r="Y47" s="14"/>
      <c r="Z47" s="14"/>
    </row>
    <row r="48" spans="1:26" ht="14.25" customHeight="1" x14ac:dyDescent="0.25">
      <c r="A48" s="14"/>
      <c r="B48" s="127">
        <v>45940</v>
      </c>
      <c r="C48" s="23" t="s">
        <v>4564</v>
      </c>
      <c r="D48" s="69" t="s">
        <v>4565</v>
      </c>
      <c r="E48" s="69">
        <v>1193340584</v>
      </c>
      <c r="F48" s="36" t="s">
        <v>4566</v>
      </c>
      <c r="G48" s="36"/>
      <c r="H48" s="36"/>
      <c r="I48" s="36" t="s">
        <v>421</v>
      </c>
      <c r="J48" s="57">
        <v>82000</v>
      </c>
      <c r="K48" s="57"/>
      <c r="L48" s="61">
        <v>82000</v>
      </c>
      <c r="M48" s="57" t="s">
        <v>234</v>
      </c>
      <c r="N48" s="64"/>
      <c r="O48" s="65"/>
      <c r="P48" s="66"/>
      <c r="Q48" s="15" t="s">
        <v>4380</v>
      </c>
      <c r="R48" s="15" t="s">
        <v>20</v>
      </c>
      <c r="S48" s="15"/>
      <c r="T48" s="36" t="s">
        <v>4567</v>
      </c>
      <c r="U48" s="36" t="s">
        <v>3298</v>
      </c>
      <c r="V48" s="63"/>
      <c r="W48" s="14"/>
      <c r="X48" s="14"/>
      <c r="Y48" s="14"/>
      <c r="Z48" s="14"/>
    </row>
    <row r="49" spans="1:26" ht="14.25" customHeight="1" x14ac:dyDescent="0.25">
      <c r="A49" s="14"/>
      <c r="B49" s="13">
        <v>45940</v>
      </c>
      <c r="C49" s="14" t="s">
        <v>4564</v>
      </c>
      <c r="D49" s="36" t="s">
        <v>4568</v>
      </c>
      <c r="E49" s="36">
        <v>1232597249</v>
      </c>
      <c r="F49" s="36" t="s">
        <v>4569</v>
      </c>
      <c r="G49" s="36"/>
      <c r="H49" s="36"/>
      <c r="I49" s="36" t="s">
        <v>421</v>
      </c>
      <c r="J49" s="57">
        <v>82000</v>
      </c>
      <c r="K49" s="57"/>
      <c r="L49" s="61">
        <v>82000</v>
      </c>
      <c r="M49" s="57" t="s">
        <v>234</v>
      </c>
      <c r="N49" s="64"/>
      <c r="O49" s="65"/>
      <c r="P49" s="66"/>
      <c r="Q49" s="15" t="s">
        <v>4380</v>
      </c>
      <c r="R49" s="15" t="s">
        <v>20</v>
      </c>
      <c r="S49" s="15"/>
      <c r="T49" s="80" t="s">
        <v>4570</v>
      </c>
      <c r="U49" s="36" t="s">
        <v>3288</v>
      </c>
      <c r="V49" s="63"/>
      <c r="W49" s="14"/>
      <c r="X49" s="14"/>
      <c r="Y49" s="14"/>
      <c r="Z49" s="14"/>
    </row>
    <row r="50" spans="1:26" ht="14.25" customHeight="1" x14ac:dyDescent="0.25">
      <c r="A50" s="14"/>
      <c r="B50" s="14"/>
      <c r="C50" s="14"/>
      <c r="D50" s="166" t="s">
        <v>4571</v>
      </c>
      <c r="E50" s="147">
        <v>1113310770</v>
      </c>
      <c r="F50" s="36">
        <v>3113049460</v>
      </c>
      <c r="G50" s="36"/>
      <c r="H50" s="36"/>
      <c r="I50" s="64" t="s">
        <v>421</v>
      </c>
      <c r="J50" s="57"/>
      <c r="K50" s="57"/>
      <c r="L50" s="65">
        <v>82000</v>
      </c>
      <c r="M50" s="57" t="s">
        <v>234</v>
      </c>
      <c r="N50" s="64"/>
      <c r="O50" s="65"/>
      <c r="P50" s="66"/>
      <c r="Q50" s="28" t="s">
        <v>4380</v>
      </c>
      <c r="R50" s="28" t="s">
        <v>20</v>
      </c>
      <c r="S50" s="15"/>
      <c r="T50" s="28" t="s">
        <v>3288</v>
      </c>
      <c r="U50" s="64" t="s">
        <v>4572</v>
      </c>
      <c r="V50" s="63"/>
      <c r="W50" s="14"/>
      <c r="X50" s="14"/>
      <c r="Y50" s="14"/>
      <c r="Z50" s="14"/>
    </row>
    <row r="51" spans="1:26" ht="14.25" customHeight="1" x14ac:dyDescent="0.25">
      <c r="A51" s="14"/>
      <c r="B51" s="14"/>
      <c r="C51" s="14"/>
      <c r="D51" s="36"/>
      <c r="E51" s="36"/>
      <c r="F51" s="36"/>
      <c r="G51" s="36"/>
      <c r="H51" s="36"/>
      <c r="I51" s="36"/>
      <c r="J51" s="57"/>
      <c r="K51" s="57"/>
      <c r="L51" s="61"/>
      <c r="M51" s="57"/>
      <c r="N51" s="36"/>
      <c r="O51" s="61"/>
      <c r="P51" s="66"/>
      <c r="Q51" s="15"/>
      <c r="R51" s="15"/>
      <c r="S51" s="15"/>
      <c r="T51" s="36"/>
      <c r="U51" s="36"/>
      <c r="V51" s="63"/>
      <c r="W51" s="14"/>
      <c r="X51" s="14"/>
      <c r="Y51" s="14"/>
      <c r="Z51" s="14"/>
    </row>
    <row r="52" spans="1:26" ht="14.25" customHeight="1" x14ac:dyDescent="0.25">
      <c r="A52" s="14"/>
      <c r="B52" s="14"/>
      <c r="C52" s="14"/>
      <c r="D52" s="36"/>
      <c r="E52" s="36"/>
      <c r="F52" s="36"/>
      <c r="G52" s="36"/>
      <c r="H52" s="36"/>
      <c r="I52" s="36"/>
      <c r="J52" s="57"/>
      <c r="K52" s="57"/>
      <c r="L52" s="61"/>
      <c r="M52" s="57"/>
      <c r="N52" s="36"/>
      <c r="O52" s="61"/>
      <c r="P52" s="66"/>
      <c r="Q52" s="15"/>
      <c r="R52" s="15"/>
      <c r="S52" s="15"/>
      <c r="T52" s="36"/>
      <c r="U52" s="36"/>
      <c r="V52" s="63"/>
      <c r="W52" s="14"/>
      <c r="X52" s="14"/>
      <c r="Y52" s="14"/>
      <c r="Z52" s="14"/>
    </row>
    <row r="53" spans="1:26" ht="14.25" customHeight="1" x14ac:dyDescent="0.25">
      <c r="A53" s="14"/>
      <c r="B53" s="14"/>
      <c r="C53" s="14"/>
      <c r="D53" s="36"/>
      <c r="E53" s="36"/>
      <c r="F53" s="36"/>
      <c r="G53" s="36"/>
      <c r="H53" s="36"/>
      <c r="I53" s="36"/>
      <c r="J53" s="57"/>
      <c r="K53" s="57"/>
      <c r="L53" s="61"/>
      <c r="M53" s="57"/>
      <c r="N53" s="36"/>
      <c r="O53" s="61"/>
      <c r="P53" s="66"/>
      <c r="Q53" s="15"/>
      <c r="R53" s="15"/>
      <c r="S53" s="15"/>
      <c r="T53" s="36"/>
      <c r="U53" s="36"/>
      <c r="V53" s="63"/>
      <c r="W53" s="14"/>
      <c r="X53" s="14"/>
      <c r="Y53" s="14"/>
      <c r="Z53" s="14"/>
    </row>
    <row r="54" spans="1:26" ht="14.25" customHeight="1" x14ac:dyDescent="0.25">
      <c r="A54" s="14"/>
      <c r="B54" s="14"/>
      <c r="C54" s="14"/>
      <c r="D54" s="36"/>
      <c r="E54" s="36"/>
      <c r="F54" s="36"/>
      <c r="G54" s="36"/>
      <c r="H54" s="36"/>
      <c r="I54" s="36"/>
      <c r="J54" s="57"/>
      <c r="K54" s="57"/>
      <c r="L54" s="61"/>
      <c r="M54" s="57"/>
      <c r="N54" s="36"/>
      <c r="O54" s="61"/>
      <c r="P54" s="66"/>
      <c r="Q54" s="15"/>
      <c r="R54" s="15"/>
      <c r="S54" s="15"/>
      <c r="T54" s="36"/>
      <c r="U54" s="36"/>
      <c r="V54" s="63"/>
      <c r="W54" s="14"/>
      <c r="X54" s="14"/>
      <c r="Y54" s="14"/>
      <c r="Z54" s="14"/>
    </row>
    <row r="55" spans="1:26" ht="14.25" customHeight="1" x14ac:dyDescent="0.25">
      <c r="A55" s="14"/>
      <c r="B55" s="14"/>
      <c r="C55" s="14"/>
      <c r="D55" s="36"/>
      <c r="E55" s="36"/>
      <c r="F55" s="36"/>
      <c r="G55" s="36"/>
      <c r="H55" s="36"/>
      <c r="I55" s="36"/>
      <c r="J55" s="57"/>
      <c r="K55" s="57"/>
      <c r="L55" s="61"/>
      <c r="M55" s="57"/>
      <c r="N55" s="36"/>
      <c r="O55" s="61"/>
      <c r="P55" s="66"/>
      <c r="Q55" s="15"/>
      <c r="R55" s="15"/>
      <c r="S55" s="15"/>
      <c r="T55" s="36"/>
      <c r="U55" s="36"/>
      <c r="V55" s="63"/>
      <c r="W55" s="14"/>
      <c r="X55" s="14"/>
      <c r="Y55" s="14"/>
      <c r="Z55" s="14"/>
    </row>
    <row r="56" spans="1:26" ht="14.25" customHeight="1" x14ac:dyDescent="0.25">
      <c r="A56" s="14"/>
      <c r="B56" s="14"/>
      <c r="C56" s="14"/>
      <c r="D56" s="36"/>
      <c r="E56" s="36"/>
      <c r="F56" s="36"/>
      <c r="G56" s="36"/>
      <c r="H56" s="36"/>
      <c r="I56" s="36"/>
      <c r="J56" s="57"/>
      <c r="K56" s="57"/>
      <c r="L56" s="61"/>
      <c r="M56" s="57"/>
      <c r="N56" s="36"/>
      <c r="O56" s="61"/>
      <c r="P56" s="66"/>
      <c r="Q56" s="15"/>
      <c r="R56" s="15"/>
      <c r="S56" s="15"/>
      <c r="T56" s="36"/>
      <c r="U56" s="36"/>
      <c r="V56" s="63"/>
      <c r="W56" s="14"/>
      <c r="X56" s="14"/>
      <c r="Y56" s="14"/>
      <c r="Z56" s="14"/>
    </row>
    <row r="57" spans="1:26" ht="14.25" customHeight="1" x14ac:dyDescent="0.25">
      <c r="A57" s="14"/>
      <c r="B57" s="14"/>
      <c r="C57" s="14"/>
      <c r="D57" s="36"/>
      <c r="E57" s="36"/>
      <c r="F57" s="36"/>
      <c r="G57" s="36"/>
      <c r="H57" s="36"/>
      <c r="I57" s="36"/>
      <c r="J57" s="57"/>
      <c r="K57" s="57"/>
      <c r="L57" s="61"/>
      <c r="M57" s="57"/>
      <c r="N57" s="36"/>
      <c r="O57" s="61"/>
      <c r="P57" s="66"/>
      <c r="Q57" s="15"/>
      <c r="R57" s="15"/>
      <c r="S57" s="15"/>
      <c r="T57" s="36"/>
      <c r="U57" s="36"/>
      <c r="V57" s="63"/>
      <c r="W57" s="14"/>
      <c r="X57" s="14"/>
      <c r="Y57" s="14"/>
      <c r="Z57" s="14"/>
    </row>
    <row r="58" spans="1:26" ht="14.25" customHeight="1" x14ac:dyDescent="0.25">
      <c r="A58" s="14"/>
      <c r="B58" s="14"/>
      <c r="C58" s="14"/>
      <c r="D58" s="36"/>
      <c r="E58" s="36"/>
      <c r="F58" s="36"/>
      <c r="G58" s="36"/>
      <c r="H58" s="36"/>
      <c r="I58" s="36"/>
      <c r="J58" s="57"/>
      <c r="K58" s="57"/>
      <c r="L58" s="61"/>
      <c r="M58" s="57"/>
      <c r="N58" s="36"/>
      <c r="O58" s="61"/>
      <c r="P58" s="66"/>
      <c r="Q58" s="15"/>
      <c r="R58" s="15"/>
      <c r="S58" s="15"/>
      <c r="T58" s="36"/>
      <c r="U58" s="36"/>
      <c r="V58" s="63"/>
      <c r="W58" s="14"/>
      <c r="X58" s="14"/>
      <c r="Y58" s="14"/>
      <c r="Z58" s="14"/>
    </row>
    <row r="59" spans="1:26" ht="14.25" customHeight="1" x14ac:dyDescent="0.25">
      <c r="A59" s="14"/>
      <c r="B59" s="14"/>
      <c r="C59" s="14"/>
      <c r="D59" s="36"/>
      <c r="E59" s="36"/>
      <c r="F59" s="36"/>
      <c r="G59" s="36"/>
      <c r="H59" s="36"/>
      <c r="I59" s="36"/>
      <c r="J59" s="57"/>
      <c r="K59" s="57"/>
      <c r="L59" s="61"/>
      <c r="M59" s="57"/>
      <c r="N59" s="36"/>
      <c r="O59" s="61"/>
      <c r="P59" s="66"/>
      <c r="Q59" s="15"/>
      <c r="R59" s="15"/>
      <c r="S59" s="15"/>
      <c r="T59" s="36"/>
      <c r="U59" s="36"/>
      <c r="V59" s="63"/>
      <c r="W59" s="14"/>
      <c r="X59" s="14"/>
      <c r="Y59" s="14"/>
      <c r="Z59" s="14"/>
    </row>
    <row r="60" spans="1:26" ht="14.25" customHeight="1" x14ac:dyDescent="0.25">
      <c r="A60" s="14"/>
      <c r="B60" s="14"/>
      <c r="C60" s="14"/>
      <c r="D60" s="36"/>
      <c r="E60" s="36"/>
      <c r="F60" s="36"/>
      <c r="G60" s="36"/>
      <c r="H60" s="36"/>
      <c r="I60" s="36"/>
      <c r="J60" s="57"/>
      <c r="K60" s="57"/>
      <c r="L60" s="61"/>
      <c r="M60" s="57"/>
      <c r="N60" s="36"/>
      <c r="O60" s="61"/>
      <c r="P60" s="66"/>
      <c r="Q60" s="15"/>
      <c r="R60" s="15"/>
      <c r="S60" s="15"/>
      <c r="T60" s="36"/>
      <c r="U60" s="36"/>
      <c r="V60" s="63"/>
      <c r="W60" s="14"/>
      <c r="X60" s="14"/>
      <c r="Y60" s="14"/>
      <c r="Z60" s="14"/>
    </row>
    <row r="61" spans="1:26" ht="14.25" customHeight="1" x14ac:dyDescent="0.25">
      <c r="A61" s="14"/>
      <c r="B61" s="14"/>
      <c r="C61" s="14"/>
      <c r="D61" s="36"/>
      <c r="E61" s="36"/>
      <c r="F61" s="36"/>
      <c r="G61" s="36"/>
      <c r="H61" s="36"/>
      <c r="I61" s="36"/>
      <c r="J61" s="57"/>
      <c r="K61" s="57"/>
      <c r="L61" s="61"/>
      <c r="M61" s="57"/>
      <c r="N61" s="36"/>
      <c r="O61" s="61"/>
      <c r="P61" s="66"/>
      <c r="Q61" s="15"/>
      <c r="R61" s="15"/>
      <c r="S61" s="15"/>
      <c r="T61" s="36"/>
      <c r="U61" s="36"/>
      <c r="V61" s="63"/>
      <c r="W61" s="14"/>
      <c r="X61" s="14"/>
      <c r="Y61" s="14"/>
      <c r="Z61" s="14"/>
    </row>
    <row r="62" spans="1:26" ht="14.25" customHeight="1" x14ac:dyDescent="0.25">
      <c r="A62" s="14"/>
      <c r="B62" s="14"/>
      <c r="C62" s="14"/>
      <c r="D62" s="36"/>
      <c r="E62" s="36"/>
      <c r="F62" s="36"/>
      <c r="G62" s="36"/>
      <c r="H62" s="36"/>
      <c r="I62" s="36"/>
      <c r="J62" s="57"/>
      <c r="K62" s="57"/>
      <c r="L62" s="61"/>
      <c r="M62" s="57"/>
      <c r="N62" s="36"/>
      <c r="O62" s="61"/>
      <c r="P62" s="66"/>
      <c r="Q62" s="15"/>
      <c r="R62" s="15"/>
      <c r="S62" s="15"/>
      <c r="T62" s="36"/>
      <c r="U62" s="36"/>
      <c r="V62" s="63"/>
      <c r="W62" s="14"/>
      <c r="X62" s="14"/>
      <c r="Y62" s="14"/>
      <c r="Z62" s="14"/>
    </row>
    <row r="63" spans="1:26" ht="14.25" customHeight="1" x14ac:dyDescent="0.25">
      <c r="A63" s="14"/>
      <c r="B63" s="14"/>
      <c r="C63" s="14"/>
      <c r="D63" s="36"/>
      <c r="E63" s="36"/>
      <c r="F63" s="36"/>
      <c r="G63" s="36"/>
      <c r="H63" s="36"/>
      <c r="I63" s="36"/>
      <c r="J63" s="57"/>
      <c r="K63" s="57"/>
      <c r="L63" s="61"/>
      <c r="M63" s="57"/>
      <c r="N63" s="36"/>
      <c r="O63" s="61"/>
      <c r="P63" s="66"/>
      <c r="Q63" s="15"/>
      <c r="R63" s="15"/>
      <c r="S63" s="15"/>
      <c r="T63" s="36"/>
      <c r="U63" s="36"/>
      <c r="V63" s="63"/>
      <c r="W63" s="14"/>
      <c r="X63" s="14"/>
      <c r="Y63" s="14"/>
      <c r="Z63" s="14"/>
    </row>
    <row r="64" spans="1:26" ht="14.25" customHeight="1" x14ac:dyDescent="0.25">
      <c r="A64" s="14"/>
      <c r="B64" s="14"/>
      <c r="C64" s="14"/>
      <c r="D64" s="36"/>
      <c r="E64" s="36"/>
      <c r="F64" s="36"/>
      <c r="G64" s="36"/>
      <c r="H64" s="36"/>
      <c r="I64" s="36"/>
      <c r="J64" s="57"/>
      <c r="K64" s="57"/>
      <c r="L64" s="61"/>
      <c r="M64" s="57"/>
      <c r="N64" s="36"/>
      <c r="O64" s="61"/>
      <c r="P64" s="66"/>
      <c r="Q64" s="15"/>
      <c r="R64" s="15"/>
      <c r="S64" s="15"/>
      <c r="T64" s="36"/>
      <c r="U64" s="36"/>
      <c r="V64" s="63"/>
      <c r="W64" s="14"/>
      <c r="X64" s="14"/>
      <c r="Y64" s="14"/>
      <c r="Z64" s="14"/>
    </row>
    <row r="65" spans="1:26" ht="14.25" customHeight="1" x14ac:dyDescent="0.25">
      <c r="A65" s="14"/>
      <c r="B65" s="14"/>
      <c r="C65" s="14"/>
      <c r="D65" s="15"/>
      <c r="E65" s="17"/>
      <c r="F65" s="36"/>
      <c r="G65" s="36"/>
      <c r="H65" s="36"/>
      <c r="I65" s="36"/>
      <c r="J65" s="57"/>
      <c r="K65" s="57"/>
      <c r="L65" s="61"/>
      <c r="M65" s="57"/>
      <c r="N65" s="36"/>
      <c r="O65" s="61"/>
      <c r="P65" s="66"/>
      <c r="Q65" s="15"/>
      <c r="R65" s="15"/>
      <c r="S65" s="15"/>
      <c r="T65" s="15"/>
      <c r="U65" s="36"/>
      <c r="V65" s="63"/>
      <c r="W65" s="14"/>
      <c r="X65" s="14"/>
      <c r="Y65" s="14"/>
      <c r="Z65" s="14"/>
    </row>
    <row r="66" spans="1:26" ht="14.25" customHeight="1" x14ac:dyDescent="0.25">
      <c r="A66" s="14"/>
      <c r="B66" s="14"/>
      <c r="C66" s="14"/>
      <c r="D66" s="15"/>
      <c r="E66" s="17"/>
      <c r="F66" s="17"/>
      <c r="G66" s="17"/>
      <c r="H66" s="17"/>
      <c r="I66" s="36"/>
      <c r="J66" s="57"/>
      <c r="K66" s="57"/>
      <c r="L66" s="61"/>
      <c r="M66" s="57"/>
      <c r="N66" s="36"/>
      <c r="O66" s="61"/>
      <c r="P66" s="66"/>
      <c r="Q66" s="15"/>
      <c r="R66" s="15"/>
      <c r="S66" s="15"/>
      <c r="T66" s="15"/>
      <c r="U66" s="36"/>
      <c r="V66" s="63"/>
      <c r="W66" s="14"/>
      <c r="X66" s="14"/>
      <c r="Y66" s="14"/>
      <c r="Z66" s="14"/>
    </row>
    <row r="67" spans="1:26" ht="14.25" customHeight="1" x14ac:dyDescent="0.25">
      <c r="A67" s="14"/>
      <c r="B67" s="14"/>
      <c r="C67" s="14"/>
      <c r="D67" s="36"/>
      <c r="E67" s="36"/>
      <c r="F67" s="36"/>
      <c r="G67" s="36"/>
      <c r="H67" s="36"/>
      <c r="I67" s="36"/>
      <c r="J67" s="57"/>
      <c r="K67" s="57"/>
      <c r="L67" s="61"/>
      <c r="M67" s="57"/>
      <c r="N67" s="36"/>
      <c r="O67" s="61"/>
      <c r="P67" s="66"/>
      <c r="Q67" s="15"/>
      <c r="R67" s="15"/>
      <c r="S67" s="15"/>
      <c r="T67" s="36"/>
      <c r="U67" s="36"/>
      <c r="V67" s="63"/>
      <c r="W67" s="14"/>
      <c r="X67" s="14"/>
      <c r="Y67" s="14"/>
      <c r="Z67" s="14"/>
    </row>
    <row r="68" spans="1:26" ht="14.25" customHeight="1" x14ac:dyDescent="0.25">
      <c r="A68" s="14"/>
      <c r="B68" s="14"/>
      <c r="C68" s="14"/>
      <c r="D68" s="36"/>
      <c r="E68" s="36"/>
      <c r="F68" s="36"/>
      <c r="G68" s="36"/>
      <c r="H68" s="36"/>
      <c r="I68" s="36"/>
      <c r="J68" s="57"/>
      <c r="K68" s="57"/>
      <c r="L68" s="61"/>
      <c r="M68" s="57"/>
      <c r="N68" s="36"/>
      <c r="O68" s="61"/>
      <c r="P68" s="66"/>
      <c r="Q68" s="15"/>
      <c r="R68" s="15"/>
      <c r="S68" s="15"/>
      <c r="T68" s="36"/>
      <c r="U68" s="36"/>
      <c r="V68" s="63"/>
      <c r="W68" s="14"/>
      <c r="X68" s="14"/>
      <c r="Y68" s="14"/>
      <c r="Z68" s="14"/>
    </row>
    <row r="69" spans="1:26" ht="14.25" customHeight="1" x14ac:dyDescent="0.25">
      <c r="A69" s="14"/>
      <c r="B69" s="14"/>
      <c r="C69" s="14"/>
      <c r="D69" s="36"/>
      <c r="E69" s="36"/>
      <c r="F69" s="36"/>
      <c r="G69" s="36"/>
      <c r="H69" s="36"/>
      <c r="I69" s="36"/>
      <c r="J69" s="57"/>
      <c r="K69" s="57"/>
      <c r="L69" s="61"/>
      <c r="M69" s="57"/>
      <c r="N69" s="36"/>
      <c r="O69" s="61"/>
      <c r="P69" s="66"/>
      <c r="Q69" s="15"/>
      <c r="R69" s="15"/>
      <c r="S69" s="15"/>
      <c r="T69" s="36"/>
      <c r="U69" s="36"/>
      <c r="V69" s="63"/>
      <c r="W69" s="14"/>
      <c r="X69" s="14"/>
      <c r="Y69" s="14"/>
      <c r="Z69" s="14"/>
    </row>
    <row r="70" spans="1:26" ht="14.25" customHeight="1" x14ac:dyDescent="0.25">
      <c r="A70" s="14"/>
      <c r="B70" s="14"/>
      <c r="C70" s="14"/>
      <c r="D70" s="36"/>
      <c r="E70" s="36"/>
      <c r="F70" s="36"/>
      <c r="G70" s="36"/>
      <c r="H70" s="36"/>
      <c r="I70" s="36"/>
      <c r="J70" s="57"/>
      <c r="K70" s="57"/>
      <c r="L70" s="61"/>
      <c r="M70" s="57"/>
      <c r="N70" s="36"/>
      <c r="O70" s="61"/>
      <c r="P70" s="66"/>
      <c r="Q70" s="15"/>
      <c r="R70" s="15"/>
      <c r="S70" s="15"/>
      <c r="T70" s="36"/>
      <c r="U70" s="36"/>
      <c r="V70" s="63"/>
      <c r="W70" s="14"/>
      <c r="X70" s="14"/>
      <c r="Y70" s="14"/>
      <c r="Z70" s="14"/>
    </row>
    <row r="71" spans="1:26" ht="14.25" customHeight="1" x14ac:dyDescent="0.25">
      <c r="A71" s="14"/>
      <c r="B71" s="14"/>
      <c r="C71" s="14"/>
      <c r="D71" s="36"/>
      <c r="E71" s="36"/>
      <c r="F71" s="36"/>
      <c r="G71" s="36"/>
      <c r="H71" s="36"/>
      <c r="I71" s="36"/>
      <c r="J71" s="57"/>
      <c r="K71" s="57"/>
      <c r="L71" s="61"/>
      <c r="M71" s="57"/>
      <c r="N71" s="36"/>
      <c r="O71" s="61"/>
      <c r="P71" s="66"/>
      <c r="Q71" s="15"/>
      <c r="R71" s="15"/>
      <c r="S71" s="15"/>
      <c r="T71" s="36"/>
      <c r="U71" s="36"/>
      <c r="V71" s="63"/>
      <c r="W71" s="14"/>
      <c r="X71" s="14"/>
      <c r="Y71" s="14"/>
      <c r="Z71" s="14"/>
    </row>
    <row r="72" spans="1:26" ht="14.25" customHeight="1" x14ac:dyDescent="0.25">
      <c r="A72" s="14"/>
      <c r="B72" s="14"/>
      <c r="C72" s="14"/>
      <c r="D72" s="36"/>
      <c r="E72" s="36"/>
      <c r="F72" s="36"/>
      <c r="G72" s="36"/>
      <c r="H72" s="36"/>
      <c r="I72" s="36"/>
      <c r="J72" s="57"/>
      <c r="K72" s="57"/>
      <c r="L72" s="61"/>
      <c r="M72" s="57"/>
      <c r="N72" s="36"/>
      <c r="O72" s="61"/>
      <c r="P72" s="66"/>
      <c r="Q72" s="15"/>
      <c r="R72" s="15"/>
      <c r="S72" s="15"/>
      <c r="T72" s="36"/>
      <c r="U72" s="36"/>
      <c r="V72" s="63"/>
      <c r="W72" s="14"/>
      <c r="X72" s="14"/>
      <c r="Y72" s="14"/>
      <c r="Z72" s="14"/>
    </row>
    <row r="73" spans="1:26" ht="14.25" customHeight="1" x14ac:dyDescent="0.25">
      <c r="A73" s="14"/>
      <c r="B73" s="14"/>
      <c r="C73" s="14"/>
      <c r="D73" s="36"/>
      <c r="E73" s="36"/>
      <c r="F73" s="36"/>
      <c r="G73" s="36"/>
      <c r="H73" s="36"/>
      <c r="I73" s="36"/>
      <c r="J73" s="57"/>
      <c r="K73" s="57"/>
      <c r="L73" s="61"/>
      <c r="M73" s="57"/>
      <c r="N73" s="36"/>
      <c r="O73" s="61"/>
      <c r="P73" s="66"/>
      <c r="Q73" s="15"/>
      <c r="R73" s="15"/>
      <c r="S73" s="15"/>
      <c r="T73" s="36"/>
      <c r="U73" s="36"/>
      <c r="V73" s="63"/>
      <c r="W73" s="14"/>
      <c r="X73" s="14"/>
      <c r="Y73" s="14"/>
      <c r="Z73" s="14"/>
    </row>
    <row r="74" spans="1:26" ht="14.25" customHeight="1" x14ac:dyDescent="0.25">
      <c r="A74" s="14"/>
      <c r="B74" s="14"/>
      <c r="C74" s="14"/>
      <c r="D74" s="36"/>
      <c r="E74" s="36"/>
      <c r="F74" s="36"/>
      <c r="G74" s="36"/>
      <c r="H74" s="36"/>
      <c r="I74" s="36"/>
      <c r="J74" s="57"/>
      <c r="K74" s="57"/>
      <c r="L74" s="61"/>
      <c r="M74" s="57"/>
      <c r="N74" s="36"/>
      <c r="O74" s="61"/>
      <c r="P74" s="66"/>
      <c r="Q74" s="15"/>
      <c r="R74" s="15"/>
      <c r="S74" s="15"/>
      <c r="T74" s="36"/>
      <c r="U74" s="36"/>
      <c r="V74" s="63"/>
      <c r="W74" s="14"/>
      <c r="X74" s="14"/>
      <c r="Y74" s="14"/>
      <c r="Z74" s="14"/>
    </row>
    <row r="75" spans="1:26" ht="14.25" customHeight="1" x14ac:dyDescent="0.25">
      <c r="A75" s="14"/>
      <c r="B75" s="14"/>
      <c r="C75" s="14"/>
      <c r="D75" s="36"/>
      <c r="E75" s="36"/>
      <c r="F75" s="36"/>
      <c r="G75" s="36"/>
      <c r="H75" s="36"/>
      <c r="I75" s="36"/>
      <c r="J75" s="57"/>
      <c r="K75" s="57"/>
      <c r="L75" s="61"/>
      <c r="M75" s="57"/>
      <c r="N75" s="36"/>
      <c r="O75" s="61"/>
      <c r="P75" s="66"/>
      <c r="Q75" s="15"/>
      <c r="R75" s="15"/>
      <c r="S75" s="15"/>
      <c r="T75" s="36"/>
      <c r="U75" s="36"/>
      <c r="V75" s="63"/>
      <c r="W75" s="14"/>
      <c r="X75" s="14"/>
      <c r="Y75" s="14"/>
      <c r="Z75" s="14"/>
    </row>
    <row r="76" spans="1:26" ht="14.25" customHeight="1" x14ac:dyDescent="0.25">
      <c r="A76" s="14"/>
      <c r="B76" s="14"/>
      <c r="C76" s="14"/>
      <c r="D76" s="36"/>
      <c r="E76" s="36"/>
      <c r="F76" s="36"/>
      <c r="G76" s="36"/>
      <c r="H76" s="36"/>
      <c r="I76" s="36"/>
      <c r="J76" s="57"/>
      <c r="K76" s="57"/>
      <c r="L76" s="61"/>
      <c r="M76" s="57"/>
      <c r="N76" s="36"/>
      <c r="O76" s="61"/>
      <c r="P76" s="66"/>
      <c r="Q76" s="15"/>
      <c r="R76" s="15"/>
      <c r="S76" s="15"/>
      <c r="T76" s="36"/>
      <c r="U76" s="36"/>
      <c r="V76" s="63"/>
      <c r="W76" s="14"/>
      <c r="X76" s="14"/>
      <c r="Y76" s="14"/>
      <c r="Z76" s="14"/>
    </row>
    <row r="77" spans="1:26" ht="14.25" customHeight="1" x14ac:dyDescent="0.25">
      <c r="A77" s="14"/>
      <c r="B77" s="14"/>
      <c r="C77" s="14"/>
      <c r="D77" s="36"/>
      <c r="E77" s="36"/>
      <c r="F77" s="36"/>
      <c r="G77" s="36"/>
      <c r="H77" s="36"/>
      <c r="I77" s="36"/>
      <c r="J77" s="57"/>
      <c r="K77" s="57"/>
      <c r="L77" s="61"/>
      <c r="M77" s="57"/>
      <c r="N77" s="36"/>
      <c r="O77" s="61"/>
      <c r="P77" s="66"/>
      <c r="Q77" s="15"/>
      <c r="R77" s="15"/>
      <c r="S77" s="15"/>
      <c r="T77" s="36"/>
      <c r="U77" s="36"/>
      <c r="V77" s="63"/>
      <c r="W77" s="14"/>
      <c r="X77" s="14"/>
      <c r="Y77" s="14"/>
      <c r="Z77" s="14"/>
    </row>
    <row r="78" spans="1:26" ht="14.25" customHeight="1" x14ac:dyDescent="0.25">
      <c r="A78" s="14"/>
      <c r="B78" s="14"/>
      <c r="C78" s="14"/>
      <c r="D78" s="36"/>
      <c r="E78" s="36"/>
      <c r="F78" s="36"/>
      <c r="G78" s="36"/>
      <c r="H78" s="36"/>
      <c r="I78" s="36"/>
      <c r="J78" s="57"/>
      <c r="K78" s="57"/>
      <c r="L78" s="61"/>
      <c r="M78" s="57"/>
      <c r="N78" s="36"/>
      <c r="O78" s="61"/>
      <c r="P78" s="66"/>
      <c r="Q78" s="15"/>
      <c r="R78" s="15"/>
      <c r="S78" s="15"/>
      <c r="T78" s="36"/>
      <c r="U78" s="36"/>
      <c r="V78" s="63"/>
      <c r="W78" s="14"/>
      <c r="X78" s="14"/>
      <c r="Y78" s="14"/>
      <c r="Z78" s="14"/>
    </row>
    <row r="79" spans="1:26" ht="14.25" customHeight="1" x14ac:dyDescent="0.25">
      <c r="A79" s="14"/>
      <c r="B79" s="14"/>
      <c r="C79" s="14"/>
      <c r="D79" s="36"/>
      <c r="E79" s="36"/>
      <c r="F79" s="36"/>
      <c r="G79" s="36"/>
      <c r="H79" s="36"/>
      <c r="I79" s="36"/>
      <c r="J79" s="57"/>
      <c r="K79" s="57"/>
      <c r="L79" s="61"/>
      <c r="M79" s="57"/>
      <c r="N79" s="36"/>
      <c r="O79" s="61"/>
      <c r="P79" s="66"/>
      <c r="Q79" s="15"/>
      <c r="R79" s="15"/>
      <c r="S79" s="15"/>
      <c r="T79" s="36"/>
      <c r="U79" s="36"/>
      <c r="V79" s="63"/>
      <c r="W79" s="14"/>
      <c r="X79" s="14"/>
      <c r="Y79" s="14"/>
      <c r="Z79" s="14"/>
    </row>
    <row r="80" spans="1:26" ht="14.25" customHeight="1" x14ac:dyDescent="0.25">
      <c r="A80" s="14"/>
      <c r="B80" s="14"/>
      <c r="C80" s="14"/>
      <c r="D80" s="36"/>
      <c r="E80" s="36"/>
      <c r="F80" s="36"/>
      <c r="G80" s="36"/>
      <c r="H80" s="36"/>
      <c r="I80" s="36"/>
      <c r="J80" s="57"/>
      <c r="K80" s="57"/>
      <c r="L80" s="61"/>
      <c r="M80" s="57"/>
      <c r="N80" s="36"/>
      <c r="O80" s="61"/>
      <c r="P80" s="66"/>
      <c r="Q80" s="15"/>
      <c r="R80" s="15"/>
      <c r="S80" s="15"/>
      <c r="T80" s="36"/>
      <c r="U80" s="36"/>
      <c r="V80" s="63"/>
      <c r="W80" s="14"/>
      <c r="X80" s="14"/>
      <c r="Y80" s="14"/>
      <c r="Z80" s="14"/>
    </row>
    <row r="81" spans="1:26" ht="14.25" customHeight="1" x14ac:dyDescent="0.25">
      <c r="A81" s="14"/>
      <c r="B81" s="14"/>
      <c r="C81" s="14"/>
      <c r="D81" s="36"/>
      <c r="E81" s="36"/>
      <c r="F81" s="36"/>
      <c r="G81" s="36"/>
      <c r="H81" s="36"/>
      <c r="I81" s="36"/>
      <c r="J81" s="57"/>
      <c r="K81" s="57"/>
      <c r="L81" s="61"/>
      <c r="M81" s="57"/>
      <c r="N81" s="36"/>
      <c r="O81" s="61"/>
      <c r="P81" s="66"/>
      <c r="Q81" s="15"/>
      <c r="R81" s="15"/>
      <c r="S81" s="15"/>
      <c r="T81" s="36"/>
      <c r="U81" s="36"/>
      <c r="V81" s="63"/>
      <c r="W81" s="14"/>
      <c r="X81" s="14"/>
      <c r="Y81" s="14"/>
      <c r="Z81" s="14"/>
    </row>
    <row r="82" spans="1:26" ht="14.25" customHeight="1" x14ac:dyDescent="0.25">
      <c r="A82" s="14"/>
      <c r="B82" s="14"/>
      <c r="C82" s="14"/>
      <c r="D82" s="36"/>
      <c r="E82" s="36"/>
      <c r="F82" s="36"/>
      <c r="G82" s="36"/>
      <c r="H82" s="36"/>
      <c r="I82" s="36"/>
      <c r="J82" s="57"/>
      <c r="K82" s="57"/>
      <c r="L82" s="61"/>
      <c r="M82" s="57"/>
      <c r="N82" s="36"/>
      <c r="O82" s="61"/>
      <c r="P82" s="66"/>
      <c r="Q82" s="15"/>
      <c r="R82" s="15"/>
      <c r="S82" s="15"/>
      <c r="T82" s="36"/>
      <c r="U82" s="36"/>
      <c r="V82" s="63"/>
      <c r="W82" s="14"/>
      <c r="X82" s="14"/>
      <c r="Y82" s="14"/>
      <c r="Z82" s="14"/>
    </row>
    <row r="83" spans="1:26" ht="14.25" customHeight="1" x14ac:dyDescent="0.25">
      <c r="A83" s="14"/>
      <c r="B83" s="14"/>
      <c r="C83" s="14"/>
      <c r="D83" s="36"/>
      <c r="E83" s="36"/>
      <c r="F83" s="36"/>
      <c r="G83" s="36"/>
      <c r="H83" s="36"/>
      <c r="I83" s="36"/>
      <c r="J83" s="57"/>
      <c r="K83" s="57"/>
      <c r="L83" s="61"/>
      <c r="M83" s="57"/>
      <c r="N83" s="36"/>
      <c r="O83" s="61"/>
      <c r="P83" s="66"/>
      <c r="Q83" s="15"/>
      <c r="R83" s="15"/>
      <c r="S83" s="15"/>
      <c r="T83" s="36"/>
      <c r="U83" s="36"/>
      <c r="V83" s="63"/>
      <c r="W83" s="14"/>
      <c r="X83" s="14"/>
      <c r="Y83" s="14"/>
      <c r="Z83" s="14"/>
    </row>
    <row r="84" spans="1:26" ht="14.25" customHeight="1" x14ac:dyDescent="0.25">
      <c r="A84" s="14"/>
      <c r="B84" s="14"/>
      <c r="C84" s="14"/>
      <c r="D84" s="36"/>
      <c r="E84" s="36"/>
      <c r="F84" s="36"/>
      <c r="G84" s="36"/>
      <c r="H84" s="36"/>
      <c r="I84" s="36"/>
      <c r="J84" s="57"/>
      <c r="K84" s="57"/>
      <c r="L84" s="61"/>
      <c r="M84" s="57"/>
      <c r="N84" s="36"/>
      <c r="O84" s="61"/>
      <c r="P84" s="66"/>
      <c r="Q84" s="15"/>
      <c r="R84" s="15"/>
      <c r="S84" s="15"/>
      <c r="T84" s="36"/>
      <c r="U84" s="36"/>
      <c r="V84" s="63"/>
      <c r="W84" s="14"/>
      <c r="X84" s="14"/>
      <c r="Y84" s="14"/>
      <c r="Z84" s="14"/>
    </row>
    <row r="85" spans="1:26" ht="14.25" customHeight="1" x14ac:dyDescent="0.25">
      <c r="A85" s="14"/>
      <c r="B85" s="14"/>
      <c r="C85" s="14"/>
      <c r="D85" s="36"/>
      <c r="E85" s="36"/>
      <c r="F85" s="36"/>
      <c r="G85" s="36"/>
      <c r="H85" s="36"/>
      <c r="I85" s="36"/>
      <c r="J85" s="57"/>
      <c r="K85" s="57"/>
      <c r="L85" s="61"/>
      <c r="M85" s="57"/>
      <c r="N85" s="36"/>
      <c r="O85" s="61"/>
      <c r="P85" s="66"/>
      <c r="Q85" s="15"/>
      <c r="R85" s="15"/>
      <c r="S85" s="15"/>
      <c r="T85" s="36"/>
      <c r="U85" s="36"/>
      <c r="V85" s="63"/>
      <c r="W85" s="14"/>
      <c r="X85" s="14"/>
      <c r="Y85" s="14"/>
      <c r="Z85" s="14"/>
    </row>
    <row r="86" spans="1:26" ht="14.25" customHeight="1" x14ac:dyDescent="0.25">
      <c r="A86" s="14"/>
      <c r="B86" s="14"/>
      <c r="C86" s="14"/>
      <c r="D86" s="36"/>
      <c r="E86" s="36"/>
      <c r="F86" s="36"/>
      <c r="G86" s="36"/>
      <c r="H86" s="36"/>
      <c r="I86" s="36"/>
      <c r="J86" s="57"/>
      <c r="K86" s="57"/>
      <c r="L86" s="61"/>
      <c r="M86" s="57"/>
      <c r="N86" s="36"/>
      <c r="O86" s="61"/>
      <c r="P86" s="66"/>
      <c r="Q86" s="15"/>
      <c r="R86" s="15"/>
      <c r="S86" s="15"/>
      <c r="T86" s="36"/>
      <c r="U86" s="36"/>
      <c r="V86" s="63"/>
      <c r="W86" s="14"/>
      <c r="X86" s="14"/>
      <c r="Y86" s="14"/>
      <c r="Z86" s="14"/>
    </row>
    <row r="87" spans="1:26" ht="14.25" customHeight="1" x14ac:dyDescent="0.25">
      <c r="A87" s="14"/>
      <c r="B87" s="14"/>
      <c r="C87" s="14"/>
      <c r="D87" s="36"/>
      <c r="E87" s="36"/>
      <c r="F87" s="36"/>
      <c r="G87" s="36"/>
      <c r="H87" s="36"/>
      <c r="I87" s="36"/>
      <c r="J87" s="57"/>
      <c r="K87" s="57"/>
      <c r="L87" s="61"/>
      <c r="M87" s="57"/>
      <c r="N87" s="36"/>
      <c r="O87" s="61"/>
      <c r="P87" s="66"/>
      <c r="Q87" s="15"/>
      <c r="R87" s="15"/>
      <c r="S87" s="15"/>
      <c r="T87" s="36"/>
      <c r="U87" s="36"/>
      <c r="V87" s="63"/>
      <c r="W87" s="14"/>
      <c r="X87" s="14"/>
      <c r="Y87" s="14"/>
      <c r="Z87" s="14"/>
    </row>
    <row r="88" spans="1:26" ht="14.25" customHeight="1" x14ac:dyDescent="0.25">
      <c r="A88" s="14"/>
      <c r="B88" s="14"/>
      <c r="C88" s="14"/>
      <c r="D88" s="36"/>
      <c r="E88" s="36"/>
      <c r="F88" s="36"/>
      <c r="G88" s="36"/>
      <c r="H88" s="36"/>
      <c r="I88" s="36"/>
      <c r="J88" s="57"/>
      <c r="K88" s="57"/>
      <c r="L88" s="61"/>
      <c r="M88" s="57"/>
      <c r="N88" s="36"/>
      <c r="O88" s="61"/>
      <c r="P88" s="66"/>
      <c r="Q88" s="15"/>
      <c r="R88" s="15"/>
      <c r="S88" s="15"/>
      <c r="T88" s="36"/>
      <c r="U88" s="36"/>
      <c r="V88" s="63"/>
      <c r="W88" s="14"/>
      <c r="X88" s="14"/>
      <c r="Y88" s="14"/>
      <c r="Z88" s="14"/>
    </row>
    <row r="89" spans="1:26" ht="14.25" customHeight="1" x14ac:dyDescent="0.25">
      <c r="A89" s="14"/>
      <c r="B89" s="14"/>
      <c r="C89" s="14"/>
      <c r="D89" s="36"/>
      <c r="E89" s="36"/>
      <c r="F89" s="36"/>
      <c r="G89" s="36"/>
      <c r="H89" s="36"/>
      <c r="I89" s="36"/>
      <c r="J89" s="57"/>
      <c r="K89" s="57"/>
      <c r="L89" s="61"/>
      <c r="M89" s="57"/>
      <c r="N89" s="36"/>
      <c r="O89" s="61"/>
      <c r="P89" s="66"/>
      <c r="Q89" s="15"/>
      <c r="R89" s="15"/>
      <c r="S89" s="15"/>
      <c r="T89" s="36"/>
      <c r="U89" s="36"/>
      <c r="V89" s="63"/>
      <c r="W89" s="14"/>
      <c r="X89" s="14"/>
      <c r="Y89" s="14"/>
      <c r="Z89" s="14"/>
    </row>
    <row r="90" spans="1:26" ht="14.25" customHeight="1" x14ac:dyDescent="0.25">
      <c r="A90" s="14"/>
      <c r="B90" s="14"/>
      <c r="C90" s="14"/>
      <c r="D90" s="36"/>
      <c r="E90" s="36"/>
      <c r="F90" s="36"/>
      <c r="G90" s="36"/>
      <c r="H90" s="36"/>
      <c r="I90" s="36"/>
      <c r="J90" s="57"/>
      <c r="K90" s="57"/>
      <c r="L90" s="61"/>
      <c r="M90" s="57"/>
      <c r="N90" s="36"/>
      <c r="O90" s="61"/>
      <c r="P90" s="66"/>
      <c r="Q90" s="15"/>
      <c r="R90" s="15"/>
      <c r="S90" s="15"/>
      <c r="T90" s="36"/>
      <c r="U90" s="36"/>
      <c r="V90" s="63"/>
      <c r="W90" s="14"/>
      <c r="X90" s="14"/>
      <c r="Y90" s="14"/>
      <c r="Z90" s="14"/>
    </row>
    <row r="91" spans="1:26" ht="14.25" customHeight="1" x14ac:dyDescent="0.25">
      <c r="A91" s="14"/>
      <c r="B91" s="14"/>
      <c r="C91" s="14"/>
      <c r="D91" s="36"/>
      <c r="E91" s="36"/>
      <c r="F91" s="36"/>
      <c r="G91" s="36"/>
      <c r="H91" s="36"/>
      <c r="I91" s="36"/>
      <c r="J91" s="57"/>
      <c r="K91" s="57"/>
      <c r="L91" s="61"/>
      <c r="M91" s="57"/>
      <c r="N91" s="36"/>
      <c r="O91" s="61"/>
      <c r="P91" s="66"/>
      <c r="Q91" s="15"/>
      <c r="R91" s="15"/>
      <c r="S91" s="15"/>
      <c r="T91" s="36"/>
      <c r="U91" s="36"/>
      <c r="V91" s="63"/>
      <c r="W91" s="14"/>
      <c r="X91" s="14"/>
      <c r="Y91" s="14"/>
      <c r="Z91" s="14"/>
    </row>
    <row r="92" spans="1:26" ht="14.25" customHeight="1" x14ac:dyDescent="0.25">
      <c r="A92" s="14"/>
      <c r="B92" s="14"/>
      <c r="C92" s="14"/>
      <c r="D92" s="36"/>
      <c r="E92" s="36"/>
      <c r="F92" s="36"/>
      <c r="G92" s="36"/>
      <c r="H92" s="36"/>
      <c r="I92" s="36"/>
      <c r="J92" s="57"/>
      <c r="K92" s="57"/>
      <c r="L92" s="61"/>
      <c r="M92" s="57"/>
      <c r="N92" s="36"/>
      <c r="O92" s="61"/>
      <c r="P92" s="66"/>
      <c r="Q92" s="15"/>
      <c r="R92" s="15"/>
      <c r="S92" s="15"/>
      <c r="T92" s="36"/>
      <c r="U92" s="36"/>
      <c r="V92" s="63"/>
      <c r="W92" s="14"/>
      <c r="X92" s="14"/>
      <c r="Y92" s="14"/>
      <c r="Z92" s="14"/>
    </row>
    <row r="93" spans="1:26" ht="14.25" customHeight="1" x14ac:dyDescent="0.25">
      <c r="A93" s="14"/>
      <c r="B93" s="14"/>
      <c r="C93" s="14"/>
      <c r="D93" s="36"/>
      <c r="E93" s="36"/>
      <c r="F93" s="36"/>
      <c r="G93" s="36"/>
      <c r="H93" s="36"/>
      <c r="I93" s="36"/>
      <c r="J93" s="57"/>
      <c r="K93" s="57"/>
      <c r="L93" s="61"/>
      <c r="M93" s="57"/>
      <c r="N93" s="36"/>
      <c r="O93" s="61"/>
      <c r="P93" s="66"/>
      <c r="Q93" s="15"/>
      <c r="R93" s="15"/>
      <c r="S93" s="15"/>
      <c r="T93" s="36"/>
      <c r="U93" s="36"/>
      <c r="V93" s="63"/>
      <c r="W93" s="14"/>
      <c r="X93" s="14"/>
      <c r="Y93" s="14"/>
      <c r="Z93" s="14"/>
    </row>
    <row r="94" spans="1:26" ht="14.25" customHeight="1" x14ac:dyDescent="0.25">
      <c r="A94" s="14"/>
      <c r="B94" s="14"/>
      <c r="C94" s="14"/>
      <c r="D94" s="36"/>
      <c r="E94" s="36"/>
      <c r="F94" s="36"/>
      <c r="G94" s="36"/>
      <c r="H94" s="36"/>
      <c r="I94" s="36"/>
      <c r="J94" s="57"/>
      <c r="K94" s="57"/>
      <c r="L94" s="61"/>
      <c r="M94" s="57"/>
      <c r="N94" s="36"/>
      <c r="O94" s="61"/>
      <c r="P94" s="66"/>
      <c r="Q94" s="15"/>
      <c r="R94" s="15"/>
      <c r="S94" s="15"/>
      <c r="T94" s="36"/>
      <c r="U94" s="36"/>
      <c r="V94" s="63"/>
      <c r="W94" s="14"/>
      <c r="X94" s="14"/>
      <c r="Y94" s="14"/>
      <c r="Z94" s="14"/>
    </row>
    <row r="95" spans="1:26" ht="14.25" customHeight="1" x14ac:dyDescent="0.25">
      <c r="A95" s="14"/>
      <c r="B95" s="14"/>
      <c r="C95" s="14"/>
      <c r="D95" s="36"/>
      <c r="E95" s="36"/>
      <c r="F95" s="36"/>
      <c r="G95" s="36"/>
      <c r="H95" s="36"/>
      <c r="I95" s="36"/>
      <c r="J95" s="57"/>
      <c r="K95" s="57"/>
      <c r="L95" s="61"/>
      <c r="M95" s="57"/>
      <c r="N95" s="36"/>
      <c r="O95" s="61"/>
      <c r="P95" s="66"/>
      <c r="Q95" s="15"/>
      <c r="R95" s="15"/>
      <c r="S95" s="15"/>
      <c r="T95" s="36"/>
      <c r="U95" s="36"/>
      <c r="V95" s="63"/>
      <c r="W95" s="14"/>
      <c r="X95" s="14"/>
      <c r="Y95" s="14"/>
      <c r="Z95" s="14"/>
    </row>
    <row r="96" spans="1:26" ht="14.25" customHeight="1" x14ac:dyDescent="0.25">
      <c r="A96" s="14"/>
      <c r="B96" s="14"/>
      <c r="C96" s="14"/>
      <c r="D96" s="36"/>
      <c r="E96" s="36"/>
      <c r="F96" s="36"/>
      <c r="G96" s="36"/>
      <c r="H96" s="36"/>
      <c r="I96" s="36"/>
      <c r="J96" s="57"/>
      <c r="K96" s="57"/>
      <c r="L96" s="61"/>
      <c r="M96" s="57"/>
      <c r="N96" s="36"/>
      <c r="O96" s="61"/>
      <c r="P96" s="66"/>
      <c r="Q96" s="15"/>
      <c r="R96" s="15"/>
      <c r="S96" s="15"/>
      <c r="T96" s="36"/>
      <c r="U96" s="36"/>
      <c r="V96" s="63"/>
      <c r="W96" s="14"/>
      <c r="X96" s="14"/>
      <c r="Y96" s="14"/>
      <c r="Z96" s="14"/>
    </row>
    <row r="97" spans="1:26" ht="14.25" customHeight="1" x14ac:dyDescent="0.25">
      <c r="A97" s="14"/>
      <c r="B97" s="14"/>
      <c r="C97" s="14"/>
      <c r="D97" s="36"/>
      <c r="E97" s="36"/>
      <c r="F97" s="36"/>
      <c r="G97" s="36"/>
      <c r="H97" s="36"/>
      <c r="I97" s="36"/>
      <c r="J97" s="57"/>
      <c r="K97" s="57"/>
      <c r="L97" s="61"/>
      <c r="M97" s="57"/>
      <c r="N97" s="36"/>
      <c r="O97" s="61"/>
      <c r="P97" s="66"/>
      <c r="Q97" s="15"/>
      <c r="R97" s="15"/>
      <c r="S97" s="15"/>
      <c r="T97" s="36"/>
      <c r="U97" s="36"/>
      <c r="V97" s="63"/>
      <c r="W97" s="14"/>
      <c r="X97" s="14"/>
      <c r="Y97" s="14"/>
      <c r="Z97" s="14"/>
    </row>
    <row r="98" spans="1:26" ht="14.25" customHeight="1" x14ac:dyDescent="0.25">
      <c r="A98" s="14"/>
      <c r="B98" s="14"/>
      <c r="C98" s="14"/>
      <c r="D98" s="36"/>
      <c r="E98" s="36"/>
      <c r="F98" s="36"/>
      <c r="G98" s="36"/>
      <c r="H98" s="36"/>
      <c r="I98" s="36"/>
      <c r="J98" s="57"/>
      <c r="K98" s="57"/>
      <c r="L98" s="61"/>
      <c r="M98" s="57"/>
      <c r="N98" s="36"/>
      <c r="O98" s="61"/>
      <c r="P98" s="66"/>
      <c r="Q98" s="15"/>
      <c r="R98" s="15"/>
      <c r="S98" s="15"/>
      <c r="T98" s="36"/>
      <c r="U98" s="36"/>
      <c r="V98" s="63"/>
      <c r="W98" s="14"/>
      <c r="X98" s="14"/>
      <c r="Y98" s="14"/>
      <c r="Z98" s="14"/>
    </row>
    <row r="99" spans="1:26" ht="14.25" customHeight="1" x14ac:dyDescent="0.25">
      <c r="A99" s="14"/>
      <c r="B99" s="14"/>
      <c r="C99" s="14"/>
      <c r="D99" s="36"/>
      <c r="E99" s="36"/>
      <c r="F99" s="36"/>
      <c r="G99" s="36"/>
      <c r="H99" s="36"/>
      <c r="I99" s="36"/>
      <c r="J99" s="57"/>
      <c r="K99" s="57"/>
      <c r="L99" s="61"/>
      <c r="M99" s="57"/>
      <c r="N99" s="36"/>
      <c r="O99" s="61"/>
      <c r="P99" s="66"/>
      <c r="Q99" s="15"/>
      <c r="R99" s="15"/>
      <c r="S99" s="15"/>
      <c r="T99" s="36"/>
      <c r="U99" s="36"/>
      <c r="V99" s="63"/>
      <c r="W99" s="14"/>
      <c r="X99" s="14"/>
      <c r="Y99" s="14"/>
      <c r="Z99" s="14"/>
    </row>
    <row r="100" spans="1:26" ht="14.25" customHeight="1" x14ac:dyDescent="0.25">
      <c r="A100" s="14"/>
      <c r="B100" s="14"/>
      <c r="C100" s="14"/>
      <c r="D100" s="36"/>
      <c r="E100" s="36"/>
      <c r="F100" s="36"/>
      <c r="G100" s="36"/>
      <c r="H100" s="36"/>
      <c r="I100" s="36"/>
      <c r="J100" s="57"/>
      <c r="K100" s="57"/>
      <c r="L100" s="61"/>
      <c r="M100" s="57"/>
      <c r="N100" s="36"/>
      <c r="O100" s="61"/>
      <c r="P100" s="66"/>
      <c r="Q100" s="15"/>
      <c r="R100" s="15"/>
      <c r="S100" s="15"/>
      <c r="T100" s="36"/>
      <c r="U100" s="36"/>
      <c r="V100" s="63"/>
      <c r="W100" s="14"/>
      <c r="X100" s="14"/>
      <c r="Y100" s="14"/>
      <c r="Z100" s="14"/>
    </row>
    <row r="101" spans="1:26" ht="14.25" customHeight="1" x14ac:dyDescent="0.25">
      <c r="A101" s="14"/>
      <c r="B101" s="14"/>
      <c r="C101" s="14"/>
      <c r="D101" s="36"/>
      <c r="E101" s="36"/>
      <c r="F101" s="36"/>
      <c r="G101" s="36"/>
      <c r="H101" s="36"/>
      <c r="I101" s="36"/>
      <c r="J101" s="57"/>
      <c r="K101" s="57"/>
      <c r="L101" s="61"/>
      <c r="M101" s="57"/>
      <c r="N101" s="36"/>
      <c r="O101" s="61"/>
      <c r="P101" s="66"/>
      <c r="Q101" s="15"/>
      <c r="R101" s="15"/>
      <c r="S101" s="15"/>
      <c r="T101" s="36"/>
      <c r="U101" s="36"/>
      <c r="V101" s="63"/>
      <c r="W101" s="14"/>
      <c r="X101" s="14"/>
      <c r="Y101" s="14"/>
      <c r="Z101" s="14"/>
    </row>
    <row r="102" spans="1:26" ht="14.25" customHeight="1" x14ac:dyDescent="0.25">
      <c r="A102" s="14"/>
      <c r="B102" s="14"/>
      <c r="C102" s="14"/>
      <c r="D102" s="36"/>
      <c r="E102" s="36"/>
      <c r="F102" s="36"/>
      <c r="G102" s="36"/>
      <c r="H102" s="36"/>
      <c r="I102" s="36"/>
      <c r="J102" s="57"/>
      <c r="K102" s="57"/>
      <c r="L102" s="61"/>
      <c r="M102" s="57"/>
      <c r="N102" s="36"/>
      <c r="O102" s="61"/>
      <c r="P102" s="66"/>
      <c r="Q102" s="15"/>
      <c r="R102" s="15"/>
      <c r="S102" s="15"/>
      <c r="T102" s="36"/>
      <c r="U102" s="36"/>
      <c r="V102" s="63"/>
      <c r="W102" s="14"/>
      <c r="X102" s="14"/>
      <c r="Y102" s="14"/>
      <c r="Z102" s="14"/>
    </row>
    <row r="103" spans="1:26" ht="14.25" customHeight="1" x14ac:dyDescent="0.25">
      <c r="A103" s="14"/>
      <c r="B103" s="14"/>
      <c r="C103" s="14"/>
      <c r="D103" s="36"/>
      <c r="E103" s="36"/>
      <c r="F103" s="36"/>
      <c r="G103" s="36"/>
      <c r="H103" s="36"/>
      <c r="I103" s="36"/>
      <c r="J103" s="57"/>
      <c r="K103" s="57"/>
      <c r="L103" s="61"/>
      <c r="M103" s="57"/>
      <c r="N103" s="36"/>
      <c r="O103" s="61"/>
      <c r="P103" s="66"/>
      <c r="Q103" s="15"/>
      <c r="R103" s="15"/>
      <c r="S103" s="15"/>
      <c r="T103" s="36"/>
      <c r="U103" s="36"/>
      <c r="V103" s="63"/>
      <c r="W103" s="14"/>
      <c r="X103" s="14"/>
      <c r="Y103" s="14"/>
      <c r="Z103" s="14"/>
    </row>
    <row r="104" spans="1:26" ht="14.25" customHeight="1" x14ac:dyDescent="0.25">
      <c r="A104" s="14"/>
      <c r="B104" s="14"/>
      <c r="C104" s="14"/>
      <c r="D104" s="36"/>
      <c r="E104" s="36"/>
      <c r="F104" s="36"/>
      <c r="G104" s="36"/>
      <c r="H104" s="36"/>
      <c r="I104" s="36"/>
      <c r="J104" s="57"/>
      <c r="K104" s="57"/>
      <c r="L104" s="61"/>
      <c r="M104" s="57"/>
      <c r="N104" s="36"/>
      <c r="O104" s="61"/>
      <c r="P104" s="66"/>
      <c r="Q104" s="15"/>
      <c r="R104" s="15"/>
      <c r="S104" s="15"/>
      <c r="T104" s="36"/>
      <c r="U104" s="36"/>
      <c r="V104" s="63"/>
      <c r="W104" s="14"/>
      <c r="X104" s="14"/>
      <c r="Y104" s="14"/>
      <c r="Z104" s="14"/>
    </row>
    <row r="105" spans="1:26" ht="14.25" customHeight="1" x14ac:dyDescent="0.25">
      <c r="A105" s="14"/>
      <c r="B105" s="14"/>
      <c r="C105" s="14"/>
      <c r="D105" s="36"/>
      <c r="E105" s="36"/>
      <c r="F105" s="36"/>
      <c r="G105" s="36"/>
      <c r="H105" s="36"/>
      <c r="I105" s="36"/>
      <c r="J105" s="57"/>
      <c r="K105" s="57"/>
      <c r="L105" s="61"/>
      <c r="M105" s="57"/>
      <c r="N105" s="36"/>
      <c r="O105" s="61"/>
      <c r="P105" s="66"/>
      <c r="Q105" s="15"/>
      <c r="R105" s="15"/>
      <c r="S105" s="15"/>
      <c r="T105" s="36"/>
      <c r="U105" s="36"/>
      <c r="V105" s="63"/>
      <c r="W105" s="14"/>
      <c r="X105" s="14"/>
      <c r="Y105" s="14"/>
      <c r="Z105" s="14"/>
    </row>
    <row r="106" spans="1:26" ht="14.25" customHeight="1" x14ac:dyDescent="0.25">
      <c r="A106" s="14"/>
      <c r="B106" s="14"/>
      <c r="C106" s="14"/>
      <c r="D106" s="36"/>
      <c r="E106" s="36"/>
      <c r="F106" s="36"/>
      <c r="G106" s="36"/>
      <c r="H106" s="36"/>
      <c r="I106" s="36"/>
      <c r="J106" s="57"/>
      <c r="K106" s="57"/>
      <c r="L106" s="61"/>
      <c r="M106" s="57"/>
      <c r="N106" s="36"/>
      <c r="O106" s="61"/>
      <c r="P106" s="66"/>
      <c r="Q106" s="15"/>
      <c r="R106" s="15"/>
      <c r="S106" s="15"/>
      <c r="T106" s="36"/>
      <c r="U106" s="36"/>
      <c r="V106" s="63"/>
      <c r="W106" s="14"/>
      <c r="X106" s="14"/>
      <c r="Y106" s="14"/>
      <c r="Z106" s="14"/>
    </row>
    <row r="107" spans="1:26" ht="14.25" customHeight="1" x14ac:dyDescent="0.25">
      <c r="A107" s="14"/>
      <c r="B107" s="14"/>
      <c r="C107" s="14"/>
      <c r="D107" s="36"/>
      <c r="E107" s="36"/>
      <c r="F107" s="36"/>
      <c r="G107" s="36"/>
      <c r="H107" s="36"/>
      <c r="I107" s="36"/>
      <c r="J107" s="57"/>
      <c r="K107" s="57"/>
      <c r="L107" s="61"/>
      <c r="M107" s="57"/>
      <c r="N107" s="36"/>
      <c r="O107" s="61"/>
      <c r="P107" s="66"/>
      <c r="Q107" s="15"/>
      <c r="R107" s="15"/>
      <c r="S107" s="15"/>
      <c r="T107" s="36"/>
      <c r="U107" s="36"/>
      <c r="V107" s="63"/>
      <c r="W107" s="14"/>
      <c r="X107" s="14"/>
      <c r="Y107" s="14"/>
      <c r="Z107" s="14"/>
    </row>
    <row r="108" spans="1:26" ht="14.25" customHeight="1" x14ac:dyDescent="0.25">
      <c r="A108" s="14"/>
      <c r="B108" s="14"/>
      <c r="C108" s="14"/>
      <c r="D108" s="36"/>
      <c r="E108" s="36"/>
      <c r="F108" s="36"/>
      <c r="G108" s="36"/>
      <c r="H108" s="36"/>
      <c r="I108" s="36"/>
      <c r="J108" s="57"/>
      <c r="K108" s="57"/>
      <c r="L108" s="61"/>
      <c r="M108" s="57"/>
      <c r="N108" s="36"/>
      <c r="O108" s="61"/>
      <c r="P108" s="66"/>
      <c r="Q108" s="15"/>
      <c r="R108" s="15"/>
      <c r="S108" s="15"/>
      <c r="T108" s="36"/>
      <c r="U108" s="36"/>
      <c r="V108" s="63"/>
      <c r="W108" s="14"/>
      <c r="X108" s="14"/>
      <c r="Y108" s="14"/>
      <c r="Z108" s="14"/>
    </row>
    <row r="109" spans="1:26" ht="14.25" customHeight="1" x14ac:dyDescent="0.25">
      <c r="A109" s="14"/>
      <c r="B109" s="14"/>
      <c r="C109" s="14"/>
      <c r="D109" s="36"/>
      <c r="E109" s="36"/>
      <c r="F109" s="36"/>
      <c r="G109" s="36"/>
      <c r="H109" s="36"/>
      <c r="I109" s="36"/>
      <c r="J109" s="57"/>
      <c r="K109" s="57"/>
      <c r="L109" s="61"/>
      <c r="M109" s="57"/>
      <c r="N109" s="36"/>
      <c r="O109" s="61"/>
      <c r="P109" s="66"/>
      <c r="Q109" s="15"/>
      <c r="R109" s="15"/>
      <c r="S109" s="15"/>
      <c r="T109" s="36"/>
      <c r="U109" s="36"/>
      <c r="V109" s="63"/>
      <c r="W109" s="14"/>
      <c r="X109" s="14"/>
      <c r="Y109" s="14"/>
      <c r="Z109" s="14"/>
    </row>
    <row r="110" spans="1:26" ht="14.25" customHeight="1" x14ac:dyDescent="0.25">
      <c r="A110" s="14"/>
      <c r="B110" s="14"/>
      <c r="C110" s="14"/>
      <c r="D110" s="36"/>
      <c r="E110" s="36"/>
      <c r="F110" s="36"/>
      <c r="G110" s="36"/>
      <c r="H110" s="36"/>
      <c r="I110" s="36"/>
      <c r="J110" s="57"/>
      <c r="K110" s="57"/>
      <c r="L110" s="61"/>
      <c r="M110" s="57"/>
      <c r="N110" s="36"/>
      <c r="O110" s="61"/>
      <c r="P110" s="66"/>
      <c r="Q110" s="15"/>
      <c r="R110" s="15"/>
      <c r="S110" s="15"/>
      <c r="T110" s="36"/>
      <c r="U110" s="36"/>
      <c r="V110" s="114"/>
      <c r="W110" s="14"/>
      <c r="X110" s="14"/>
      <c r="Y110" s="14"/>
      <c r="Z110" s="14"/>
    </row>
    <row r="111" spans="1:26" ht="14.25" customHeight="1" x14ac:dyDescent="0.25">
      <c r="A111" s="14"/>
      <c r="B111" s="14"/>
      <c r="C111" s="14"/>
      <c r="D111" s="36"/>
      <c r="E111" s="36"/>
      <c r="F111" s="36"/>
      <c r="G111" s="36"/>
      <c r="H111" s="36"/>
      <c r="I111" s="36"/>
      <c r="J111" s="57"/>
      <c r="K111" s="57"/>
      <c r="L111" s="61"/>
      <c r="M111" s="57"/>
      <c r="N111" s="36"/>
      <c r="O111" s="61"/>
      <c r="P111" s="66"/>
      <c r="Q111" s="15"/>
      <c r="R111" s="15"/>
      <c r="S111" s="15"/>
      <c r="T111" s="36"/>
      <c r="U111" s="36"/>
      <c r="V111" s="63"/>
      <c r="W111" s="14"/>
      <c r="X111" s="14"/>
      <c r="Y111" s="14"/>
      <c r="Z111" s="14"/>
    </row>
    <row r="112" spans="1:26" ht="14.25" customHeight="1" x14ac:dyDescent="0.25">
      <c r="A112" s="14"/>
      <c r="B112" s="14"/>
      <c r="C112" s="14"/>
      <c r="D112" s="36"/>
      <c r="E112" s="36"/>
      <c r="F112" s="36"/>
      <c r="G112" s="36"/>
      <c r="H112" s="36"/>
      <c r="I112" s="36"/>
      <c r="J112" s="57"/>
      <c r="K112" s="57"/>
      <c r="L112" s="61"/>
      <c r="M112" s="57"/>
      <c r="N112" s="36"/>
      <c r="O112" s="61"/>
      <c r="P112" s="66"/>
      <c r="Q112" s="15"/>
      <c r="R112" s="15"/>
      <c r="S112" s="15"/>
      <c r="T112" s="36"/>
      <c r="U112" s="36"/>
      <c r="V112" s="63"/>
      <c r="W112" s="14"/>
      <c r="X112" s="14"/>
      <c r="Y112" s="14"/>
      <c r="Z112" s="14"/>
    </row>
    <row r="113" spans="1:26" ht="14.25" customHeight="1" x14ac:dyDescent="0.25">
      <c r="A113" s="14"/>
      <c r="B113" s="14"/>
      <c r="C113" s="14"/>
      <c r="D113" s="36"/>
      <c r="E113" s="36"/>
      <c r="F113" s="36"/>
      <c r="G113" s="36"/>
      <c r="H113" s="36"/>
      <c r="I113" s="36"/>
      <c r="J113" s="57"/>
      <c r="K113" s="57"/>
      <c r="L113" s="61"/>
      <c r="M113" s="57"/>
      <c r="N113" s="36"/>
      <c r="O113" s="61"/>
      <c r="P113" s="66"/>
      <c r="Q113" s="15"/>
      <c r="R113" s="15"/>
      <c r="S113" s="15"/>
      <c r="T113" s="36"/>
      <c r="U113" s="36"/>
      <c r="V113" s="63"/>
      <c r="W113" s="14"/>
      <c r="X113" s="14"/>
      <c r="Y113" s="14"/>
      <c r="Z113" s="14"/>
    </row>
    <row r="114" spans="1:26" ht="14.25" customHeight="1" x14ac:dyDescent="0.25">
      <c r="A114" s="14"/>
      <c r="B114" s="14"/>
      <c r="C114" s="14"/>
      <c r="D114" s="36"/>
      <c r="E114" s="36"/>
      <c r="F114" s="36"/>
      <c r="G114" s="36"/>
      <c r="H114" s="36"/>
      <c r="I114" s="36"/>
      <c r="J114" s="57"/>
      <c r="K114" s="57"/>
      <c r="L114" s="61"/>
      <c r="M114" s="57"/>
      <c r="N114" s="36"/>
      <c r="O114" s="61"/>
      <c r="P114" s="66"/>
      <c r="Q114" s="15"/>
      <c r="R114" s="15"/>
      <c r="S114" s="15"/>
      <c r="T114" s="36"/>
      <c r="U114" s="36"/>
      <c r="V114" s="63"/>
      <c r="W114" s="14"/>
      <c r="X114" s="14"/>
      <c r="Y114" s="14"/>
      <c r="Z114" s="14"/>
    </row>
    <row r="115" spans="1:26" ht="14.25" customHeight="1" x14ac:dyDescent="0.25">
      <c r="A115" s="14"/>
      <c r="B115" s="14"/>
      <c r="C115" s="14"/>
      <c r="D115" s="36"/>
      <c r="E115" s="36"/>
      <c r="F115" s="36"/>
      <c r="G115" s="36"/>
      <c r="H115" s="36"/>
      <c r="I115" s="36"/>
      <c r="J115" s="57"/>
      <c r="K115" s="57"/>
      <c r="L115" s="61"/>
      <c r="M115" s="57"/>
      <c r="N115" s="36"/>
      <c r="O115" s="61"/>
      <c r="P115" s="66"/>
      <c r="Q115" s="15"/>
      <c r="R115" s="15"/>
      <c r="S115" s="15"/>
      <c r="T115" s="36"/>
      <c r="U115" s="36"/>
      <c r="V115" s="63"/>
      <c r="W115" s="14"/>
      <c r="X115" s="14"/>
      <c r="Y115" s="14"/>
      <c r="Z115" s="14"/>
    </row>
    <row r="116" spans="1:26" ht="14.25" customHeight="1" x14ac:dyDescent="0.25">
      <c r="A116" s="14"/>
      <c r="B116" s="14"/>
      <c r="C116" s="14"/>
      <c r="D116" s="36"/>
      <c r="E116" s="36"/>
      <c r="F116" s="36"/>
      <c r="G116" s="36"/>
      <c r="H116" s="36"/>
      <c r="I116" s="36"/>
      <c r="J116" s="57"/>
      <c r="K116" s="57"/>
      <c r="L116" s="61"/>
      <c r="M116" s="57"/>
      <c r="N116" s="36"/>
      <c r="O116" s="61"/>
      <c r="P116" s="66"/>
      <c r="Q116" s="15"/>
      <c r="R116" s="15"/>
      <c r="S116" s="15"/>
      <c r="T116" s="36"/>
      <c r="U116" s="36"/>
      <c r="V116" s="63"/>
      <c r="W116" s="14"/>
      <c r="X116" s="14"/>
      <c r="Y116" s="14"/>
      <c r="Z116" s="14"/>
    </row>
    <row r="117" spans="1:26" ht="14.25" customHeight="1" x14ac:dyDescent="0.25">
      <c r="A117" s="14"/>
      <c r="B117" s="14"/>
      <c r="C117" s="14"/>
      <c r="D117" s="36"/>
      <c r="E117" s="36"/>
      <c r="F117" s="36"/>
      <c r="G117" s="36"/>
      <c r="H117" s="36"/>
      <c r="I117" s="36"/>
      <c r="J117" s="57"/>
      <c r="K117" s="57"/>
      <c r="L117" s="61"/>
      <c r="M117" s="57"/>
      <c r="N117" s="36"/>
      <c r="O117" s="61"/>
      <c r="P117" s="66"/>
      <c r="Q117" s="15"/>
      <c r="R117" s="15"/>
      <c r="S117" s="15"/>
      <c r="T117" s="36"/>
      <c r="U117" s="36"/>
      <c r="V117" s="63"/>
      <c r="W117" s="14"/>
      <c r="X117" s="14"/>
      <c r="Y117" s="14"/>
      <c r="Z117" s="14"/>
    </row>
    <row r="118" spans="1:26" ht="14.25" customHeight="1" x14ac:dyDescent="0.25">
      <c r="A118" s="14"/>
      <c r="B118" s="14"/>
      <c r="C118" s="14"/>
      <c r="D118" s="36"/>
      <c r="E118" s="36"/>
      <c r="F118" s="36"/>
      <c r="G118" s="36"/>
      <c r="H118" s="36"/>
      <c r="I118" s="36"/>
      <c r="J118" s="57"/>
      <c r="K118" s="57"/>
      <c r="L118" s="61"/>
      <c r="M118" s="57"/>
      <c r="N118" s="36"/>
      <c r="O118" s="61"/>
      <c r="P118" s="66"/>
      <c r="Q118" s="15"/>
      <c r="R118" s="15"/>
      <c r="S118" s="15"/>
      <c r="T118" s="36"/>
      <c r="U118" s="36"/>
      <c r="V118" s="63"/>
      <c r="W118" s="14"/>
      <c r="X118" s="14"/>
      <c r="Y118" s="14"/>
      <c r="Z118" s="14"/>
    </row>
    <row r="119" spans="1:26" ht="14.25" customHeight="1" x14ac:dyDescent="0.25">
      <c r="A119" s="14"/>
      <c r="B119" s="14"/>
      <c r="C119" s="14"/>
      <c r="D119" s="36"/>
      <c r="E119" s="36"/>
      <c r="F119" s="36"/>
      <c r="G119" s="36"/>
      <c r="H119" s="36"/>
      <c r="I119" s="36"/>
      <c r="J119" s="57"/>
      <c r="K119" s="57"/>
      <c r="L119" s="61"/>
      <c r="M119" s="57"/>
      <c r="N119" s="36"/>
      <c r="O119" s="61"/>
      <c r="P119" s="66"/>
      <c r="Q119" s="15"/>
      <c r="R119" s="15"/>
      <c r="S119" s="15"/>
      <c r="T119" s="36"/>
      <c r="U119" s="36"/>
      <c r="V119" s="63"/>
      <c r="W119" s="14"/>
      <c r="X119" s="14"/>
      <c r="Y119" s="14"/>
      <c r="Z119" s="14"/>
    </row>
    <row r="120" spans="1:26" ht="14.25" customHeight="1" x14ac:dyDescent="0.25">
      <c r="A120" s="14"/>
      <c r="B120" s="14"/>
      <c r="C120" s="14"/>
      <c r="D120" s="15"/>
      <c r="E120" s="17"/>
      <c r="F120" s="17"/>
      <c r="G120" s="17"/>
      <c r="H120" s="17"/>
      <c r="I120" s="15"/>
      <c r="J120" s="101"/>
      <c r="K120" s="111"/>
      <c r="L120" s="61"/>
      <c r="M120" s="57"/>
      <c r="N120" s="36"/>
      <c r="O120" s="61"/>
      <c r="P120" s="66"/>
      <c r="Q120" s="15"/>
      <c r="R120" s="15"/>
      <c r="S120" s="15"/>
      <c r="T120" s="15"/>
      <c r="U120" s="15"/>
      <c r="V120" s="15"/>
      <c r="W120" s="14"/>
      <c r="X120" s="14"/>
      <c r="Y120" s="14"/>
      <c r="Z120" s="14"/>
    </row>
    <row r="121" spans="1:26" ht="14.25" customHeight="1" x14ac:dyDescent="0.25">
      <c r="A121" s="14"/>
      <c r="B121" s="14"/>
      <c r="C121" s="14"/>
      <c r="D121" s="36"/>
      <c r="E121" s="36"/>
      <c r="F121" s="36"/>
      <c r="G121" s="36"/>
      <c r="H121" s="36"/>
      <c r="I121" s="36"/>
      <c r="J121" s="57"/>
      <c r="K121" s="111"/>
      <c r="L121" s="61"/>
      <c r="M121" s="57"/>
      <c r="N121" s="36"/>
      <c r="O121" s="61"/>
      <c r="P121" s="66"/>
      <c r="Q121" s="15"/>
      <c r="R121" s="15"/>
      <c r="S121" s="15"/>
      <c r="T121" s="36"/>
      <c r="U121" s="36"/>
      <c r="V121" s="63"/>
      <c r="W121" s="14"/>
      <c r="X121" s="14"/>
      <c r="Y121" s="14"/>
      <c r="Z121" s="14"/>
    </row>
    <row r="122" spans="1:26" ht="14.25" customHeight="1" x14ac:dyDescent="0.25">
      <c r="A122" s="14"/>
      <c r="B122" s="14"/>
      <c r="C122" s="14"/>
      <c r="D122" s="36"/>
      <c r="E122" s="36"/>
      <c r="F122" s="36"/>
      <c r="G122" s="36"/>
      <c r="H122" s="36"/>
      <c r="I122" s="36"/>
      <c r="J122" s="57"/>
      <c r="K122" s="57"/>
      <c r="L122" s="61"/>
      <c r="M122" s="57"/>
      <c r="N122" s="36"/>
      <c r="O122" s="61"/>
      <c r="P122" s="66"/>
      <c r="Q122" s="15"/>
      <c r="R122" s="15"/>
      <c r="S122" s="15"/>
      <c r="T122" s="36"/>
      <c r="U122" s="36"/>
      <c r="V122" s="63"/>
      <c r="W122" s="14"/>
      <c r="X122" s="14"/>
      <c r="Y122" s="14"/>
      <c r="Z122" s="14"/>
    </row>
    <row r="123" spans="1:26" ht="14.25" customHeight="1" x14ac:dyDescent="0.25">
      <c r="A123" s="14"/>
      <c r="B123" s="14"/>
      <c r="C123" s="14"/>
      <c r="D123" s="36"/>
      <c r="E123" s="36"/>
      <c r="F123" s="36"/>
      <c r="G123" s="36"/>
      <c r="H123" s="36"/>
      <c r="I123" s="36"/>
      <c r="J123" s="57"/>
      <c r="K123" s="57"/>
      <c r="L123" s="61"/>
      <c r="M123" s="57"/>
      <c r="N123" s="36"/>
      <c r="O123" s="61"/>
      <c r="P123" s="66"/>
      <c r="Q123" s="15"/>
      <c r="R123" s="15"/>
      <c r="S123" s="15"/>
      <c r="T123" s="36"/>
      <c r="U123" s="36"/>
      <c r="V123" s="63"/>
      <c r="W123" s="14"/>
      <c r="X123" s="14"/>
      <c r="Y123" s="14"/>
      <c r="Z123" s="14"/>
    </row>
    <row r="124" spans="1:26" ht="14.25" customHeight="1" x14ac:dyDescent="0.25">
      <c r="A124" s="14"/>
      <c r="B124" s="14"/>
      <c r="C124" s="14"/>
      <c r="D124" s="36"/>
      <c r="E124" s="36"/>
      <c r="F124" s="36"/>
      <c r="G124" s="36"/>
      <c r="H124" s="36"/>
      <c r="I124" s="36"/>
      <c r="J124" s="57"/>
      <c r="K124" s="57"/>
      <c r="L124" s="61"/>
      <c r="M124" s="57"/>
      <c r="N124" s="36"/>
      <c r="O124" s="61"/>
      <c r="P124" s="66"/>
      <c r="Q124" s="15"/>
      <c r="R124" s="15"/>
      <c r="S124" s="15"/>
      <c r="T124" s="36"/>
      <c r="U124" s="36"/>
      <c r="V124" s="63"/>
      <c r="W124" s="14"/>
      <c r="X124" s="14"/>
      <c r="Y124" s="14"/>
      <c r="Z124" s="14"/>
    </row>
    <row r="125" spans="1:26" ht="14.25" customHeight="1" x14ac:dyDescent="0.25">
      <c r="A125" s="14"/>
      <c r="B125" s="14"/>
      <c r="C125" s="14"/>
      <c r="D125" s="36"/>
      <c r="E125" s="36"/>
      <c r="F125" s="36"/>
      <c r="G125" s="36"/>
      <c r="H125" s="36"/>
      <c r="I125" s="36"/>
      <c r="J125" s="57"/>
      <c r="K125" s="57"/>
      <c r="L125" s="61"/>
      <c r="M125" s="57"/>
      <c r="N125" s="36"/>
      <c r="O125" s="61"/>
      <c r="P125" s="66"/>
      <c r="Q125" s="15"/>
      <c r="R125" s="15"/>
      <c r="S125" s="15"/>
      <c r="T125" s="36"/>
      <c r="U125" s="36"/>
      <c r="V125" s="63"/>
      <c r="W125" s="14"/>
      <c r="X125" s="14"/>
      <c r="Y125" s="14"/>
      <c r="Z125" s="14"/>
    </row>
    <row r="126" spans="1:26" ht="14.25" customHeight="1" x14ac:dyDescent="0.25">
      <c r="A126" s="14"/>
      <c r="B126" s="14"/>
      <c r="C126" s="14"/>
      <c r="D126" s="36"/>
      <c r="E126" s="36"/>
      <c r="F126" s="36"/>
      <c r="G126" s="36"/>
      <c r="H126" s="36"/>
      <c r="I126" s="36"/>
      <c r="J126" s="57"/>
      <c r="K126" s="57"/>
      <c r="L126" s="61"/>
      <c r="M126" s="57"/>
      <c r="N126" s="36"/>
      <c r="O126" s="61"/>
      <c r="P126" s="66"/>
      <c r="Q126" s="15"/>
      <c r="R126" s="15"/>
      <c r="S126" s="15"/>
      <c r="T126" s="36"/>
      <c r="U126" s="36"/>
      <c r="V126" s="63"/>
      <c r="W126" s="14"/>
      <c r="X126" s="14"/>
      <c r="Y126" s="14"/>
      <c r="Z126" s="14"/>
    </row>
    <row r="127" spans="1:26" ht="14.25" customHeight="1" x14ac:dyDescent="0.25">
      <c r="A127" s="14"/>
      <c r="B127" s="14"/>
      <c r="C127" s="14"/>
      <c r="D127" s="36"/>
      <c r="E127" s="36"/>
      <c r="F127" s="36"/>
      <c r="G127" s="36"/>
      <c r="H127" s="36"/>
      <c r="I127" s="36"/>
      <c r="J127" s="57"/>
      <c r="K127" s="57"/>
      <c r="L127" s="61"/>
      <c r="M127" s="57"/>
      <c r="N127" s="36"/>
      <c r="O127" s="61"/>
      <c r="P127" s="66"/>
      <c r="Q127" s="15"/>
      <c r="R127" s="15"/>
      <c r="S127" s="15"/>
      <c r="T127" s="36"/>
      <c r="U127" s="36"/>
      <c r="V127" s="63"/>
      <c r="W127" s="14"/>
      <c r="X127" s="14"/>
      <c r="Y127" s="14"/>
      <c r="Z127" s="14"/>
    </row>
    <row r="128" spans="1:26" ht="14.25" customHeight="1" x14ac:dyDescent="0.25">
      <c r="A128" s="14"/>
      <c r="B128" s="14"/>
      <c r="C128" s="14"/>
      <c r="D128" s="36"/>
      <c r="E128" s="36"/>
      <c r="F128" s="36"/>
      <c r="G128" s="36"/>
      <c r="H128" s="36"/>
      <c r="I128" s="36"/>
      <c r="J128" s="57"/>
      <c r="K128" s="57"/>
      <c r="L128" s="61"/>
      <c r="M128" s="57"/>
      <c r="N128" s="36"/>
      <c r="O128" s="61"/>
      <c r="P128" s="66"/>
      <c r="Q128" s="15"/>
      <c r="R128" s="15"/>
      <c r="S128" s="15"/>
      <c r="T128" s="36"/>
      <c r="U128" s="36"/>
      <c r="V128" s="63"/>
      <c r="W128" s="14"/>
      <c r="X128" s="14"/>
      <c r="Y128" s="14"/>
      <c r="Z128" s="14"/>
    </row>
    <row r="129" spans="1:26" ht="14.25" customHeight="1" x14ac:dyDescent="0.25">
      <c r="A129" s="14"/>
      <c r="B129" s="14"/>
      <c r="C129" s="14"/>
      <c r="D129" s="36"/>
      <c r="E129" s="36"/>
      <c r="F129" s="36"/>
      <c r="G129" s="36"/>
      <c r="H129" s="36"/>
      <c r="I129" s="36"/>
      <c r="J129" s="57"/>
      <c r="K129" s="57"/>
      <c r="L129" s="61"/>
      <c r="M129" s="57"/>
      <c r="N129" s="36"/>
      <c r="O129" s="61"/>
      <c r="P129" s="66"/>
      <c r="Q129" s="15"/>
      <c r="R129" s="15"/>
      <c r="S129" s="15"/>
      <c r="T129" s="36"/>
      <c r="U129" s="36"/>
      <c r="V129" s="63"/>
      <c r="W129" s="14"/>
      <c r="X129" s="14"/>
      <c r="Y129" s="14"/>
      <c r="Z129" s="14"/>
    </row>
    <row r="130" spans="1:26" ht="14.25" customHeight="1" x14ac:dyDescent="0.25">
      <c r="A130" s="14"/>
      <c r="B130" s="14"/>
      <c r="C130" s="14"/>
      <c r="D130" s="36"/>
      <c r="E130" s="36"/>
      <c r="F130" s="36"/>
      <c r="G130" s="36"/>
      <c r="H130" s="36"/>
      <c r="I130" s="36"/>
      <c r="J130" s="57"/>
      <c r="K130" s="57"/>
      <c r="L130" s="61"/>
      <c r="M130" s="57"/>
      <c r="N130" s="36"/>
      <c r="O130" s="61"/>
      <c r="P130" s="66"/>
      <c r="Q130" s="15"/>
      <c r="R130" s="15"/>
      <c r="S130" s="15"/>
      <c r="T130" s="36"/>
      <c r="U130" s="36"/>
      <c r="V130" s="63"/>
      <c r="W130" s="14"/>
      <c r="X130" s="14"/>
      <c r="Y130" s="14"/>
      <c r="Z130" s="14"/>
    </row>
    <row r="131" spans="1:26" ht="14.25" customHeight="1" x14ac:dyDescent="0.25">
      <c r="A131" s="14"/>
      <c r="B131" s="14"/>
      <c r="C131" s="14"/>
      <c r="D131" s="36"/>
      <c r="E131" s="36"/>
      <c r="F131" s="36"/>
      <c r="G131" s="36"/>
      <c r="H131" s="36"/>
      <c r="I131" s="36"/>
      <c r="J131" s="57"/>
      <c r="K131" s="57"/>
      <c r="L131" s="61"/>
      <c r="M131" s="57"/>
      <c r="N131" s="36"/>
      <c r="O131" s="61"/>
      <c r="P131" s="66"/>
      <c r="Q131" s="15"/>
      <c r="R131" s="15"/>
      <c r="S131" s="15"/>
      <c r="T131" s="36"/>
      <c r="U131" s="36"/>
      <c r="V131" s="63"/>
      <c r="W131" s="14"/>
      <c r="X131" s="14"/>
      <c r="Y131" s="14"/>
      <c r="Z131" s="14"/>
    </row>
    <row r="132" spans="1:26" ht="14.25" customHeight="1" x14ac:dyDescent="0.25">
      <c r="A132" s="14"/>
      <c r="B132" s="14"/>
      <c r="C132" s="14"/>
      <c r="D132" s="36"/>
      <c r="E132" s="36"/>
      <c r="F132" s="36"/>
      <c r="G132" s="36"/>
      <c r="H132" s="36"/>
      <c r="I132" s="36"/>
      <c r="J132" s="57"/>
      <c r="K132" s="57"/>
      <c r="L132" s="61"/>
      <c r="M132" s="57"/>
      <c r="N132" s="36"/>
      <c r="O132" s="61"/>
      <c r="P132" s="66"/>
      <c r="Q132" s="15"/>
      <c r="R132" s="15"/>
      <c r="S132" s="15"/>
      <c r="T132" s="36"/>
      <c r="U132" s="36"/>
      <c r="V132" s="63"/>
      <c r="W132" s="14"/>
      <c r="X132" s="14"/>
      <c r="Y132" s="14"/>
      <c r="Z132" s="14"/>
    </row>
    <row r="133" spans="1:26" ht="14.25" customHeight="1" x14ac:dyDescent="0.25">
      <c r="A133" s="14"/>
      <c r="B133" s="14"/>
      <c r="C133" s="14"/>
      <c r="D133" s="36"/>
      <c r="E133" s="36"/>
      <c r="F133" s="36"/>
      <c r="G133" s="36"/>
      <c r="H133" s="36"/>
      <c r="I133" s="36"/>
      <c r="J133" s="57"/>
      <c r="K133" s="57"/>
      <c r="L133" s="61"/>
      <c r="M133" s="57"/>
      <c r="N133" s="36"/>
      <c r="O133" s="61"/>
      <c r="P133" s="66"/>
      <c r="Q133" s="15"/>
      <c r="R133" s="15"/>
      <c r="S133" s="15"/>
      <c r="T133" s="36"/>
      <c r="U133" s="36"/>
      <c r="V133" s="63"/>
      <c r="W133" s="14"/>
      <c r="X133" s="14"/>
      <c r="Y133" s="14"/>
      <c r="Z133" s="14"/>
    </row>
    <row r="134" spans="1:26" ht="14.25" customHeight="1" x14ac:dyDescent="0.25">
      <c r="A134" s="14"/>
      <c r="B134" s="14"/>
      <c r="C134" s="14"/>
      <c r="D134" s="36"/>
      <c r="E134" s="36"/>
      <c r="F134" s="36"/>
      <c r="G134" s="36"/>
      <c r="H134" s="36"/>
      <c r="I134" s="36"/>
      <c r="J134" s="57"/>
      <c r="K134" s="57"/>
      <c r="L134" s="61"/>
      <c r="M134" s="57"/>
      <c r="N134" s="36"/>
      <c r="O134" s="61"/>
      <c r="P134" s="66"/>
      <c r="Q134" s="15"/>
      <c r="R134" s="15"/>
      <c r="S134" s="15"/>
      <c r="T134" s="36"/>
      <c r="U134" s="36"/>
      <c r="V134" s="63"/>
      <c r="W134" s="14"/>
      <c r="X134" s="14"/>
      <c r="Y134" s="14"/>
      <c r="Z134" s="14"/>
    </row>
    <row r="135" spans="1:26" ht="14.25" customHeight="1" x14ac:dyDescent="0.25">
      <c r="A135" s="14"/>
      <c r="B135" s="14"/>
      <c r="C135" s="14"/>
      <c r="D135" s="36"/>
      <c r="E135" s="36"/>
      <c r="F135" s="36"/>
      <c r="G135" s="36"/>
      <c r="H135" s="36"/>
      <c r="I135" s="36"/>
      <c r="J135" s="57"/>
      <c r="K135" s="57"/>
      <c r="L135" s="61"/>
      <c r="M135" s="57"/>
      <c r="N135" s="36"/>
      <c r="O135" s="61"/>
      <c r="P135" s="66"/>
      <c r="Q135" s="15"/>
      <c r="R135" s="15"/>
      <c r="S135" s="15"/>
      <c r="T135" s="36"/>
      <c r="U135" s="36"/>
      <c r="V135" s="63"/>
      <c r="W135" s="14"/>
      <c r="X135" s="14"/>
      <c r="Y135" s="14"/>
      <c r="Z135" s="14"/>
    </row>
    <row r="136" spans="1:26" ht="14.25" customHeight="1" x14ac:dyDescent="0.25">
      <c r="A136" s="14"/>
      <c r="B136" s="14"/>
      <c r="C136" s="14"/>
      <c r="D136" s="36"/>
      <c r="E136" s="36"/>
      <c r="F136" s="36"/>
      <c r="G136" s="36"/>
      <c r="H136" s="36"/>
      <c r="I136" s="36"/>
      <c r="J136" s="57"/>
      <c r="K136" s="57"/>
      <c r="L136" s="61"/>
      <c r="M136" s="57"/>
      <c r="N136" s="36"/>
      <c r="O136" s="61"/>
      <c r="P136" s="66"/>
      <c r="Q136" s="15"/>
      <c r="R136" s="15"/>
      <c r="S136" s="15"/>
      <c r="T136" s="36"/>
      <c r="U136" s="36"/>
      <c r="V136" s="63"/>
      <c r="W136" s="14"/>
      <c r="X136" s="14"/>
      <c r="Y136" s="14"/>
      <c r="Z136" s="14"/>
    </row>
    <row r="137" spans="1:26" ht="14.25" customHeight="1" x14ac:dyDescent="0.25">
      <c r="A137" s="14"/>
      <c r="B137" s="14"/>
      <c r="C137" s="14"/>
      <c r="D137" s="36"/>
      <c r="E137" s="36"/>
      <c r="F137" s="36"/>
      <c r="G137" s="36"/>
      <c r="H137" s="36"/>
      <c r="I137" s="36"/>
      <c r="J137" s="57"/>
      <c r="K137" s="57"/>
      <c r="L137" s="61"/>
      <c r="M137" s="57"/>
      <c r="N137" s="36"/>
      <c r="O137" s="61"/>
      <c r="P137" s="66"/>
      <c r="Q137" s="15"/>
      <c r="R137" s="15"/>
      <c r="S137" s="15"/>
      <c r="T137" s="36"/>
      <c r="U137" s="36"/>
      <c r="V137" s="63"/>
      <c r="W137" s="14"/>
      <c r="X137" s="14"/>
      <c r="Y137" s="14"/>
      <c r="Z137" s="14"/>
    </row>
    <row r="138" spans="1:26" ht="14.25" customHeight="1" x14ac:dyDescent="0.25">
      <c r="A138" s="14"/>
      <c r="B138" s="14"/>
      <c r="C138" s="14"/>
      <c r="D138" s="36"/>
      <c r="E138" s="36"/>
      <c r="F138" s="36"/>
      <c r="G138" s="36"/>
      <c r="H138" s="36"/>
      <c r="I138" s="36"/>
      <c r="J138" s="57"/>
      <c r="K138" s="57"/>
      <c r="L138" s="61"/>
      <c r="M138" s="57"/>
      <c r="N138" s="36"/>
      <c r="O138" s="61"/>
      <c r="P138" s="66"/>
      <c r="Q138" s="15"/>
      <c r="R138" s="15"/>
      <c r="S138" s="15"/>
      <c r="T138" s="36"/>
      <c r="U138" s="36"/>
      <c r="V138" s="63"/>
      <c r="W138" s="14"/>
      <c r="X138" s="14"/>
      <c r="Y138" s="14"/>
      <c r="Z138" s="14"/>
    </row>
    <row r="139" spans="1:26" ht="14.25" customHeight="1" x14ac:dyDescent="0.25">
      <c r="A139" s="14"/>
      <c r="B139" s="14"/>
      <c r="C139" s="14"/>
      <c r="D139" s="36"/>
      <c r="E139" s="36"/>
      <c r="F139" s="36"/>
      <c r="G139" s="36"/>
      <c r="H139" s="36"/>
      <c r="I139" s="36"/>
      <c r="J139" s="57"/>
      <c r="K139" s="57"/>
      <c r="L139" s="61"/>
      <c r="M139" s="57"/>
      <c r="N139" s="36"/>
      <c r="O139" s="61"/>
      <c r="P139" s="66"/>
      <c r="Q139" s="15"/>
      <c r="R139" s="15"/>
      <c r="S139" s="15"/>
      <c r="T139" s="36"/>
      <c r="U139" s="36"/>
      <c r="V139" s="63"/>
      <c r="W139" s="14"/>
      <c r="X139" s="14"/>
      <c r="Y139" s="14"/>
      <c r="Z139" s="14"/>
    </row>
    <row r="140" spans="1:26" ht="14.25" customHeight="1" x14ac:dyDescent="0.25">
      <c r="A140" s="14"/>
      <c r="B140" s="14"/>
      <c r="C140" s="14"/>
      <c r="D140" s="36"/>
      <c r="E140" s="36"/>
      <c r="F140" s="36"/>
      <c r="G140" s="36"/>
      <c r="H140" s="36"/>
      <c r="I140" s="36"/>
      <c r="J140" s="57"/>
      <c r="K140" s="57"/>
      <c r="L140" s="61"/>
      <c r="M140" s="57"/>
      <c r="N140" s="36"/>
      <c r="O140" s="61"/>
      <c r="P140" s="66"/>
      <c r="Q140" s="15"/>
      <c r="R140" s="15"/>
      <c r="S140" s="15"/>
      <c r="T140" s="36"/>
      <c r="U140" s="36"/>
      <c r="V140" s="63"/>
      <c r="W140" s="14"/>
      <c r="X140" s="14"/>
      <c r="Y140" s="14"/>
      <c r="Z140" s="14"/>
    </row>
    <row r="141" spans="1:26" ht="14.25" customHeight="1" x14ac:dyDescent="0.25">
      <c r="A141" s="14"/>
      <c r="B141" s="14"/>
      <c r="C141" s="14"/>
      <c r="D141" s="36"/>
      <c r="E141" s="36"/>
      <c r="F141" s="36"/>
      <c r="G141" s="36"/>
      <c r="H141" s="36"/>
      <c r="I141" s="36"/>
      <c r="J141" s="57"/>
      <c r="K141" s="57"/>
      <c r="L141" s="61"/>
      <c r="M141" s="57"/>
      <c r="N141" s="36"/>
      <c r="O141" s="61"/>
      <c r="P141" s="66"/>
      <c r="Q141" s="15"/>
      <c r="R141" s="15"/>
      <c r="S141" s="15"/>
      <c r="T141" s="36"/>
      <c r="U141" s="36"/>
      <c r="V141" s="63"/>
      <c r="W141" s="14"/>
      <c r="X141" s="14"/>
      <c r="Y141" s="14"/>
      <c r="Z141" s="14"/>
    </row>
    <row r="142" spans="1:26" ht="14.25" customHeight="1" x14ac:dyDescent="0.25">
      <c r="A142" s="14"/>
      <c r="B142" s="14"/>
      <c r="C142" s="14"/>
      <c r="D142" s="36"/>
      <c r="E142" s="36"/>
      <c r="F142" s="36"/>
      <c r="G142" s="36"/>
      <c r="H142" s="36"/>
      <c r="I142" s="36"/>
      <c r="J142" s="57"/>
      <c r="K142" s="57"/>
      <c r="L142" s="61"/>
      <c r="M142" s="57"/>
      <c r="N142" s="36"/>
      <c r="O142" s="61"/>
      <c r="P142" s="66"/>
      <c r="Q142" s="15"/>
      <c r="R142" s="15"/>
      <c r="S142" s="15"/>
      <c r="T142" s="36"/>
      <c r="U142" s="36"/>
      <c r="V142" s="63"/>
      <c r="W142" s="14"/>
      <c r="X142" s="14"/>
      <c r="Y142" s="14"/>
      <c r="Z142" s="14"/>
    </row>
    <row r="143" spans="1:26" ht="14.25" customHeight="1" x14ac:dyDescent="0.25">
      <c r="A143" s="14"/>
      <c r="B143" s="14"/>
      <c r="C143" s="14"/>
      <c r="D143" s="36"/>
      <c r="E143" s="36"/>
      <c r="F143" s="36"/>
      <c r="G143" s="36"/>
      <c r="H143" s="36"/>
      <c r="I143" s="36"/>
      <c r="J143" s="57"/>
      <c r="K143" s="57"/>
      <c r="L143" s="61"/>
      <c r="M143" s="57"/>
      <c r="N143" s="36"/>
      <c r="O143" s="61"/>
      <c r="P143" s="66"/>
      <c r="Q143" s="15"/>
      <c r="R143" s="15"/>
      <c r="S143" s="15"/>
      <c r="T143" s="36"/>
      <c r="U143" s="36"/>
      <c r="V143" s="63"/>
      <c r="W143" s="14"/>
      <c r="X143" s="14"/>
      <c r="Y143" s="14"/>
      <c r="Z143" s="14"/>
    </row>
    <row r="144" spans="1:26" ht="14.25" customHeight="1" x14ac:dyDescent="0.25">
      <c r="A144" s="14"/>
      <c r="B144" s="14"/>
      <c r="C144" s="14"/>
      <c r="D144" s="36"/>
      <c r="E144" s="36"/>
      <c r="F144" s="36"/>
      <c r="G144" s="36"/>
      <c r="H144" s="36"/>
      <c r="I144" s="36"/>
      <c r="J144" s="57"/>
      <c r="K144" s="57"/>
      <c r="L144" s="61"/>
      <c r="M144" s="57"/>
      <c r="N144" s="36"/>
      <c r="O144" s="61"/>
      <c r="P144" s="66"/>
      <c r="Q144" s="15"/>
      <c r="R144" s="15"/>
      <c r="S144" s="15"/>
      <c r="T144" s="36"/>
      <c r="U144" s="36"/>
      <c r="V144" s="63"/>
      <c r="W144" s="14"/>
      <c r="X144" s="14"/>
      <c r="Y144" s="14"/>
      <c r="Z144" s="14"/>
    </row>
    <row r="145" spans="1:26" ht="14.25" customHeight="1" x14ac:dyDescent="0.25">
      <c r="A145" s="14"/>
      <c r="B145" s="14"/>
      <c r="C145" s="14"/>
      <c r="D145" s="36"/>
      <c r="E145" s="36"/>
      <c r="F145" s="36"/>
      <c r="G145" s="36"/>
      <c r="H145" s="36"/>
      <c r="I145" s="36"/>
      <c r="J145" s="57"/>
      <c r="K145" s="57"/>
      <c r="L145" s="61"/>
      <c r="M145" s="57"/>
      <c r="N145" s="36"/>
      <c r="O145" s="61"/>
      <c r="P145" s="66"/>
      <c r="Q145" s="15"/>
      <c r="R145" s="15"/>
      <c r="S145" s="15"/>
      <c r="T145" s="36"/>
      <c r="U145" s="36"/>
      <c r="V145" s="114"/>
      <c r="W145" s="14"/>
      <c r="X145" s="14"/>
      <c r="Y145" s="14"/>
      <c r="Z145" s="14"/>
    </row>
    <row r="146" spans="1:26" ht="14.25" customHeight="1" x14ac:dyDescent="0.25">
      <c r="A146" s="14"/>
      <c r="B146" s="14"/>
      <c r="C146" s="14"/>
      <c r="D146" s="36"/>
      <c r="E146" s="36"/>
      <c r="F146" s="36"/>
      <c r="G146" s="36"/>
      <c r="H146" s="36"/>
      <c r="I146" s="36"/>
      <c r="J146" s="57"/>
      <c r="K146" s="57"/>
      <c r="L146" s="61"/>
      <c r="M146" s="57"/>
      <c r="N146" s="36"/>
      <c r="O146" s="61"/>
      <c r="P146" s="66"/>
      <c r="Q146" s="15"/>
      <c r="R146" s="15"/>
      <c r="S146" s="15"/>
      <c r="T146" s="36"/>
      <c r="U146" s="36"/>
      <c r="V146" s="63"/>
      <c r="W146" s="14"/>
      <c r="X146" s="14"/>
      <c r="Y146" s="14"/>
      <c r="Z146" s="14"/>
    </row>
    <row r="147" spans="1:26" ht="14.25" customHeight="1" x14ac:dyDescent="0.25">
      <c r="A147" s="14"/>
      <c r="B147" s="14"/>
      <c r="C147" s="14"/>
      <c r="D147" s="36"/>
      <c r="E147" s="36"/>
      <c r="F147" s="36"/>
      <c r="G147" s="36"/>
      <c r="H147" s="36"/>
      <c r="I147" s="36"/>
      <c r="J147" s="57"/>
      <c r="K147" s="57"/>
      <c r="L147" s="61"/>
      <c r="M147" s="57"/>
      <c r="N147" s="36"/>
      <c r="O147" s="61"/>
      <c r="P147" s="66"/>
      <c r="Q147" s="15"/>
      <c r="R147" s="15"/>
      <c r="S147" s="15"/>
      <c r="T147" s="36"/>
      <c r="U147" s="36"/>
      <c r="V147" s="63"/>
      <c r="W147" s="14"/>
      <c r="X147" s="14"/>
      <c r="Y147" s="14"/>
      <c r="Z147" s="14"/>
    </row>
    <row r="148" spans="1:26" ht="14.25" customHeight="1" x14ac:dyDescent="0.25">
      <c r="A148" s="14"/>
      <c r="B148" s="14"/>
      <c r="C148" s="14"/>
      <c r="D148" s="36"/>
      <c r="E148" s="36"/>
      <c r="F148" s="36"/>
      <c r="G148" s="36"/>
      <c r="H148" s="36"/>
      <c r="I148" s="36"/>
      <c r="J148" s="57"/>
      <c r="K148" s="57"/>
      <c r="L148" s="61"/>
      <c r="M148" s="57"/>
      <c r="N148" s="36"/>
      <c r="O148" s="61"/>
      <c r="P148" s="66"/>
      <c r="Q148" s="15"/>
      <c r="R148" s="15"/>
      <c r="S148" s="15"/>
      <c r="T148" s="36"/>
      <c r="U148" s="36"/>
      <c r="V148" s="63"/>
      <c r="W148" s="14"/>
      <c r="X148" s="14"/>
      <c r="Y148" s="14"/>
      <c r="Z148" s="14"/>
    </row>
    <row r="149" spans="1:26" ht="14.25" customHeight="1" x14ac:dyDescent="0.25">
      <c r="A149" s="14"/>
      <c r="B149" s="14"/>
      <c r="C149" s="14"/>
      <c r="D149" s="36"/>
      <c r="E149" s="36"/>
      <c r="F149" s="36"/>
      <c r="G149" s="36"/>
      <c r="H149" s="36"/>
      <c r="I149" s="36"/>
      <c r="J149" s="57"/>
      <c r="K149" s="57"/>
      <c r="L149" s="61"/>
      <c r="M149" s="57"/>
      <c r="N149" s="36"/>
      <c r="O149" s="61"/>
      <c r="P149" s="66"/>
      <c r="Q149" s="15"/>
      <c r="R149" s="15"/>
      <c r="S149" s="15"/>
      <c r="T149" s="36"/>
      <c r="U149" s="36"/>
      <c r="V149" s="63"/>
      <c r="W149" s="14"/>
      <c r="X149" s="14"/>
      <c r="Y149" s="14"/>
      <c r="Z149" s="14"/>
    </row>
    <row r="150" spans="1:26" ht="14.25" customHeight="1" x14ac:dyDescent="0.25">
      <c r="A150" s="14"/>
      <c r="B150" s="14"/>
      <c r="C150" s="14"/>
      <c r="D150" s="36"/>
      <c r="E150" s="36"/>
      <c r="F150" s="36"/>
      <c r="G150" s="36"/>
      <c r="H150" s="36"/>
      <c r="I150" s="36"/>
      <c r="J150" s="57"/>
      <c r="K150" s="57"/>
      <c r="L150" s="61"/>
      <c r="M150" s="57"/>
      <c r="N150" s="36"/>
      <c r="O150" s="61"/>
      <c r="P150" s="66"/>
      <c r="Q150" s="15"/>
      <c r="R150" s="15"/>
      <c r="S150" s="15"/>
      <c r="T150" s="36"/>
      <c r="U150" s="36"/>
      <c r="V150" s="63"/>
      <c r="W150" s="14"/>
      <c r="X150" s="14"/>
      <c r="Y150" s="14"/>
      <c r="Z150" s="14"/>
    </row>
    <row r="151" spans="1:26" ht="14.25" customHeight="1" x14ac:dyDescent="0.25">
      <c r="A151" s="14"/>
      <c r="B151" s="14"/>
      <c r="C151" s="14"/>
      <c r="D151" s="36"/>
      <c r="E151" s="36"/>
      <c r="F151" s="36"/>
      <c r="G151" s="36"/>
      <c r="H151" s="36"/>
      <c r="I151" s="36"/>
      <c r="J151" s="57"/>
      <c r="K151" s="57"/>
      <c r="L151" s="61"/>
      <c r="M151" s="57"/>
      <c r="N151" s="36"/>
      <c r="O151" s="61"/>
      <c r="P151" s="66"/>
      <c r="Q151" s="15"/>
      <c r="R151" s="15"/>
      <c r="S151" s="15"/>
      <c r="T151" s="36"/>
      <c r="U151" s="36"/>
      <c r="V151" s="63"/>
      <c r="W151" s="14"/>
      <c r="X151" s="14"/>
      <c r="Y151" s="14"/>
      <c r="Z151" s="14"/>
    </row>
    <row r="152" spans="1:26" ht="14.25" customHeight="1" x14ac:dyDescent="0.25">
      <c r="A152" s="14"/>
      <c r="B152" s="14"/>
      <c r="C152" s="14"/>
      <c r="D152" s="36"/>
      <c r="E152" s="36"/>
      <c r="F152" s="36"/>
      <c r="G152" s="36"/>
      <c r="H152" s="36"/>
      <c r="I152" s="36"/>
      <c r="J152" s="57"/>
      <c r="K152" s="57"/>
      <c r="L152" s="61"/>
      <c r="M152" s="57"/>
      <c r="N152" s="36"/>
      <c r="O152" s="61"/>
      <c r="P152" s="66"/>
      <c r="Q152" s="15"/>
      <c r="R152" s="15"/>
      <c r="S152" s="15"/>
      <c r="T152" s="36"/>
      <c r="U152" s="36"/>
      <c r="V152" s="63"/>
      <c r="W152" s="14"/>
      <c r="X152" s="14"/>
      <c r="Y152" s="14"/>
      <c r="Z152" s="14"/>
    </row>
    <row r="153" spans="1:26" ht="14.25" customHeight="1" x14ac:dyDescent="0.25">
      <c r="A153" s="14"/>
      <c r="B153" s="14"/>
      <c r="C153" s="14"/>
      <c r="D153" s="36"/>
      <c r="E153" s="36"/>
      <c r="F153" s="36"/>
      <c r="G153" s="36"/>
      <c r="H153" s="36"/>
      <c r="I153" s="36"/>
      <c r="J153" s="57"/>
      <c r="K153" s="57"/>
      <c r="L153" s="61"/>
      <c r="M153" s="57"/>
      <c r="N153" s="36"/>
      <c r="O153" s="61"/>
      <c r="P153" s="66"/>
      <c r="Q153" s="15"/>
      <c r="R153" s="15"/>
      <c r="S153" s="15"/>
      <c r="T153" s="36"/>
      <c r="U153" s="36"/>
      <c r="V153" s="63"/>
      <c r="W153" s="14"/>
      <c r="X153" s="14"/>
      <c r="Y153" s="14"/>
      <c r="Z153" s="14"/>
    </row>
    <row r="154" spans="1:26" ht="14.25" customHeight="1" x14ac:dyDescent="0.25">
      <c r="A154" s="14"/>
      <c r="B154" s="14"/>
      <c r="C154" s="14"/>
      <c r="D154" s="36"/>
      <c r="E154" s="36"/>
      <c r="F154" s="36"/>
      <c r="G154" s="36"/>
      <c r="H154" s="36"/>
      <c r="I154" s="36"/>
      <c r="J154" s="57"/>
      <c r="K154" s="57"/>
      <c r="L154" s="61"/>
      <c r="M154" s="57"/>
      <c r="N154" s="36"/>
      <c r="O154" s="61"/>
      <c r="P154" s="66"/>
      <c r="Q154" s="15"/>
      <c r="R154" s="15"/>
      <c r="S154" s="15"/>
      <c r="T154" s="36"/>
      <c r="U154" s="36"/>
      <c r="V154" s="63"/>
      <c r="W154" s="14"/>
      <c r="X154" s="14"/>
      <c r="Y154" s="14"/>
      <c r="Z154" s="14"/>
    </row>
    <row r="155" spans="1:26" ht="14.25" customHeight="1" x14ac:dyDescent="0.25">
      <c r="A155" s="14"/>
      <c r="B155" s="14"/>
      <c r="C155" s="14"/>
      <c r="D155" s="36"/>
      <c r="E155" s="36"/>
      <c r="F155" s="36"/>
      <c r="G155" s="36"/>
      <c r="H155" s="36"/>
      <c r="I155" s="36"/>
      <c r="J155" s="57"/>
      <c r="K155" s="57"/>
      <c r="L155" s="61"/>
      <c r="M155" s="57"/>
      <c r="N155" s="36"/>
      <c r="O155" s="61"/>
      <c r="P155" s="66"/>
      <c r="Q155" s="15"/>
      <c r="R155" s="15"/>
      <c r="S155" s="15"/>
      <c r="T155" s="36"/>
      <c r="U155" s="36"/>
      <c r="V155" s="63"/>
      <c r="W155" s="14"/>
      <c r="X155" s="14"/>
      <c r="Y155" s="14"/>
      <c r="Z155" s="14"/>
    </row>
    <row r="156" spans="1:26" ht="14.25" customHeight="1" x14ac:dyDescent="0.25">
      <c r="A156" s="14"/>
      <c r="B156" s="14"/>
      <c r="C156" s="14"/>
      <c r="D156" s="36"/>
      <c r="E156" s="36"/>
      <c r="F156" s="36"/>
      <c r="G156" s="36"/>
      <c r="H156" s="36"/>
      <c r="I156" s="36"/>
      <c r="J156" s="57"/>
      <c r="K156" s="57"/>
      <c r="L156" s="61"/>
      <c r="M156" s="57"/>
      <c r="N156" s="36"/>
      <c r="O156" s="61"/>
      <c r="P156" s="66"/>
      <c r="Q156" s="15"/>
      <c r="R156" s="15"/>
      <c r="S156" s="15"/>
      <c r="T156" s="36"/>
      <c r="U156" s="36"/>
      <c r="V156" s="63"/>
      <c r="W156" s="14"/>
      <c r="X156" s="14"/>
      <c r="Y156" s="14"/>
      <c r="Z156" s="14"/>
    </row>
    <row r="157" spans="1:26" ht="14.25" customHeight="1" x14ac:dyDescent="0.25">
      <c r="A157" s="14"/>
      <c r="B157" s="14"/>
      <c r="C157" s="14"/>
      <c r="D157" s="36"/>
      <c r="E157" s="36"/>
      <c r="F157" s="36"/>
      <c r="G157" s="36"/>
      <c r="H157" s="36"/>
      <c r="I157" s="36"/>
      <c r="J157" s="57"/>
      <c r="K157" s="57"/>
      <c r="L157" s="61"/>
      <c r="M157" s="57"/>
      <c r="N157" s="36"/>
      <c r="O157" s="61"/>
      <c r="P157" s="66"/>
      <c r="Q157" s="15"/>
      <c r="R157" s="15"/>
      <c r="S157" s="15"/>
      <c r="T157" s="36"/>
      <c r="U157" s="36"/>
      <c r="V157" s="63"/>
      <c r="W157" s="14"/>
      <c r="X157" s="14"/>
      <c r="Y157" s="14"/>
      <c r="Z157" s="14"/>
    </row>
    <row r="158" spans="1:26" ht="14.25" customHeight="1" x14ac:dyDescent="0.25">
      <c r="A158" s="14"/>
      <c r="B158" s="14"/>
      <c r="C158" s="14"/>
      <c r="D158" s="36"/>
      <c r="E158" s="36"/>
      <c r="F158" s="36"/>
      <c r="G158" s="36"/>
      <c r="H158" s="36"/>
      <c r="I158" s="36"/>
      <c r="J158" s="57"/>
      <c r="K158" s="57"/>
      <c r="L158" s="61"/>
      <c r="M158" s="57"/>
      <c r="N158" s="36"/>
      <c r="O158" s="61"/>
      <c r="P158" s="66"/>
      <c r="Q158" s="15"/>
      <c r="R158" s="15"/>
      <c r="S158" s="15"/>
      <c r="T158" s="36"/>
      <c r="U158" s="36"/>
      <c r="V158" s="63"/>
      <c r="W158" s="14"/>
      <c r="X158" s="14"/>
      <c r="Y158" s="14"/>
      <c r="Z158" s="14"/>
    </row>
    <row r="159" spans="1:26" ht="14.25" customHeight="1" x14ac:dyDescent="0.25">
      <c r="A159" s="14"/>
      <c r="B159" s="14"/>
      <c r="C159" s="14"/>
      <c r="D159" s="36"/>
      <c r="E159" s="36"/>
      <c r="F159" s="36"/>
      <c r="G159" s="36"/>
      <c r="H159" s="36"/>
      <c r="I159" s="36"/>
      <c r="J159" s="57"/>
      <c r="K159" s="57"/>
      <c r="L159" s="61"/>
      <c r="M159" s="57"/>
      <c r="N159" s="36"/>
      <c r="O159" s="61"/>
      <c r="P159" s="66"/>
      <c r="Q159" s="15"/>
      <c r="R159" s="15"/>
      <c r="S159" s="15"/>
      <c r="T159" s="36"/>
      <c r="U159" s="36"/>
      <c r="V159" s="63"/>
      <c r="W159" s="14"/>
      <c r="X159" s="14"/>
      <c r="Y159" s="14"/>
      <c r="Z159" s="14"/>
    </row>
    <row r="160" spans="1:26" ht="14.25" customHeight="1" x14ac:dyDescent="0.25">
      <c r="A160" s="14"/>
      <c r="B160" s="14"/>
      <c r="C160" s="14"/>
      <c r="D160" s="36"/>
      <c r="E160" s="36"/>
      <c r="F160" s="36"/>
      <c r="G160" s="36"/>
      <c r="H160" s="36"/>
      <c r="I160" s="36"/>
      <c r="J160" s="57"/>
      <c r="K160" s="57"/>
      <c r="L160" s="61"/>
      <c r="M160" s="57"/>
      <c r="N160" s="36"/>
      <c r="O160" s="61"/>
      <c r="P160" s="66"/>
      <c r="Q160" s="15"/>
      <c r="R160" s="15"/>
      <c r="S160" s="15"/>
      <c r="T160" s="36"/>
      <c r="U160" s="36"/>
      <c r="V160" s="63"/>
      <c r="W160" s="14"/>
      <c r="X160" s="14"/>
      <c r="Y160" s="14"/>
      <c r="Z160" s="14"/>
    </row>
    <row r="161" spans="1:26" ht="14.25" customHeight="1" x14ac:dyDescent="0.25">
      <c r="A161" s="14"/>
      <c r="B161" s="14"/>
      <c r="C161" s="14"/>
      <c r="D161" s="36"/>
      <c r="E161" s="36"/>
      <c r="F161" s="36"/>
      <c r="G161" s="36"/>
      <c r="H161" s="36"/>
      <c r="I161" s="36"/>
      <c r="J161" s="57"/>
      <c r="K161" s="57"/>
      <c r="L161" s="61"/>
      <c r="M161" s="57"/>
      <c r="N161" s="36"/>
      <c r="O161" s="61"/>
      <c r="P161" s="66"/>
      <c r="Q161" s="15"/>
      <c r="R161" s="15"/>
      <c r="S161" s="15"/>
      <c r="T161" s="36"/>
      <c r="U161" s="36"/>
      <c r="V161" s="63"/>
      <c r="W161" s="14"/>
      <c r="X161" s="14"/>
      <c r="Y161" s="14"/>
      <c r="Z161" s="14"/>
    </row>
    <row r="162" spans="1:26" ht="14.25" customHeight="1" x14ac:dyDescent="0.25">
      <c r="A162" s="14"/>
      <c r="B162" s="14"/>
      <c r="C162" s="14"/>
      <c r="D162" s="36"/>
      <c r="E162" s="36"/>
      <c r="F162" s="36"/>
      <c r="G162" s="36"/>
      <c r="H162" s="36"/>
      <c r="I162" s="36"/>
      <c r="J162" s="57"/>
      <c r="K162" s="57"/>
      <c r="L162" s="61"/>
      <c r="M162" s="57"/>
      <c r="N162" s="36"/>
      <c r="O162" s="61"/>
      <c r="P162" s="66"/>
      <c r="Q162" s="15"/>
      <c r="R162" s="15"/>
      <c r="S162" s="15"/>
      <c r="T162" s="36"/>
      <c r="U162" s="36"/>
      <c r="V162" s="63"/>
      <c r="W162" s="14"/>
      <c r="X162" s="14"/>
      <c r="Y162" s="14"/>
      <c r="Z162" s="14"/>
    </row>
    <row r="163" spans="1:26" ht="14.25" customHeight="1" x14ac:dyDescent="0.25">
      <c r="A163" s="14"/>
      <c r="B163" s="14"/>
      <c r="C163" s="14"/>
      <c r="D163" s="36"/>
      <c r="E163" s="36"/>
      <c r="F163" s="36"/>
      <c r="G163" s="36"/>
      <c r="H163" s="36"/>
      <c r="I163" s="36"/>
      <c r="J163" s="57"/>
      <c r="K163" s="57"/>
      <c r="L163" s="61"/>
      <c r="M163" s="57"/>
      <c r="N163" s="36"/>
      <c r="O163" s="61"/>
      <c r="P163" s="66"/>
      <c r="Q163" s="15"/>
      <c r="R163" s="15"/>
      <c r="S163" s="15"/>
      <c r="T163" s="36"/>
      <c r="U163" s="36"/>
      <c r="V163" s="63"/>
      <c r="W163" s="14"/>
      <c r="X163" s="14"/>
      <c r="Y163" s="14"/>
      <c r="Z163" s="14"/>
    </row>
    <row r="164" spans="1:26" ht="14.25" customHeight="1" x14ac:dyDescent="0.25">
      <c r="A164" s="14"/>
      <c r="B164" s="14"/>
      <c r="C164" s="14"/>
      <c r="D164" s="36"/>
      <c r="E164" s="36"/>
      <c r="F164" s="36"/>
      <c r="G164" s="36"/>
      <c r="H164" s="36"/>
      <c r="I164" s="36"/>
      <c r="J164" s="57"/>
      <c r="K164" s="57"/>
      <c r="L164" s="61"/>
      <c r="M164" s="57"/>
      <c r="N164" s="36"/>
      <c r="O164" s="61"/>
      <c r="P164" s="66"/>
      <c r="Q164" s="15"/>
      <c r="R164" s="15"/>
      <c r="S164" s="15"/>
      <c r="T164" s="36"/>
      <c r="U164" s="36"/>
      <c r="V164" s="63"/>
      <c r="W164" s="14"/>
      <c r="X164" s="14"/>
      <c r="Y164" s="14"/>
      <c r="Z164" s="14"/>
    </row>
    <row r="165" spans="1:26" ht="14.25" customHeight="1" x14ac:dyDescent="0.25">
      <c r="A165" s="14"/>
      <c r="B165" s="14"/>
      <c r="C165" s="14"/>
      <c r="D165" s="36"/>
      <c r="E165" s="36"/>
      <c r="F165" s="36"/>
      <c r="G165" s="36"/>
      <c r="H165" s="36"/>
      <c r="I165" s="36"/>
      <c r="J165" s="57"/>
      <c r="K165" s="57"/>
      <c r="L165" s="61"/>
      <c r="M165" s="57"/>
      <c r="N165" s="36"/>
      <c r="O165" s="61"/>
      <c r="P165" s="66"/>
      <c r="Q165" s="15"/>
      <c r="R165" s="15"/>
      <c r="S165" s="15"/>
      <c r="T165" s="36"/>
      <c r="U165" s="36"/>
      <c r="V165" s="63"/>
      <c r="W165" s="14"/>
      <c r="X165" s="14"/>
      <c r="Y165" s="14"/>
      <c r="Z165" s="14"/>
    </row>
    <row r="166" spans="1:26" ht="14.25" customHeight="1" x14ac:dyDescent="0.25">
      <c r="A166" s="14"/>
      <c r="B166" s="14"/>
      <c r="C166" s="14"/>
      <c r="D166" s="36"/>
      <c r="E166" s="36"/>
      <c r="F166" s="36"/>
      <c r="G166" s="36"/>
      <c r="H166" s="36"/>
      <c r="I166" s="36"/>
      <c r="J166" s="57"/>
      <c r="K166" s="57"/>
      <c r="L166" s="61"/>
      <c r="M166" s="57"/>
      <c r="N166" s="36"/>
      <c r="O166" s="61"/>
      <c r="P166" s="66"/>
      <c r="Q166" s="15"/>
      <c r="R166" s="15"/>
      <c r="S166" s="15"/>
      <c r="T166" s="36"/>
      <c r="U166" s="36"/>
      <c r="V166" s="63"/>
      <c r="W166" s="14"/>
      <c r="X166" s="14"/>
      <c r="Y166" s="14"/>
      <c r="Z166" s="14"/>
    </row>
    <row r="167" spans="1:26" ht="14.25" customHeight="1" x14ac:dyDescent="0.25">
      <c r="A167" s="14"/>
      <c r="B167" s="14"/>
      <c r="C167" s="14"/>
      <c r="D167" s="36"/>
      <c r="E167" s="36"/>
      <c r="F167" s="36"/>
      <c r="G167" s="36"/>
      <c r="H167" s="36"/>
      <c r="I167" s="36"/>
      <c r="J167" s="57"/>
      <c r="K167" s="36"/>
      <c r="L167" s="61"/>
      <c r="M167" s="57"/>
      <c r="N167" s="36"/>
      <c r="O167" s="61"/>
      <c r="P167" s="66"/>
      <c r="Q167" s="15"/>
      <c r="R167" s="15"/>
      <c r="S167" s="15"/>
      <c r="T167" s="36"/>
      <c r="U167" s="36"/>
      <c r="V167" s="63"/>
      <c r="W167" s="14"/>
      <c r="X167" s="14"/>
      <c r="Y167" s="14"/>
      <c r="Z167" s="14"/>
    </row>
    <row r="168" spans="1:26" ht="14.25" customHeight="1" x14ac:dyDescent="0.25">
      <c r="A168" s="14"/>
      <c r="B168" s="14"/>
      <c r="C168" s="14"/>
      <c r="D168" s="36"/>
      <c r="E168" s="36"/>
      <c r="F168" s="36"/>
      <c r="G168" s="36"/>
      <c r="H168" s="36"/>
      <c r="I168" s="36"/>
      <c r="J168" s="57"/>
      <c r="K168" s="36"/>
      <c r="L168" s="61"/>
      <c r="M168" s="57"/>
      <c r="N168" s="36"/>
      <c r="O168" s="61"/>
      <c r="P168" s="66"/>
      <c r="Q168" s="15"/>
      <c r="R168" s="15"/>
      <c r="S168" s="15"/>
      <c r="T168" s="36"/>
      <c r="U168" s="36"/>
      <c r="V168" s="63"/>
      <c r="W168" s="14"/>
      <c r="X168" s="14"/>
      <c r="Y168" s="14"/>
      <c r="Z168" s="14"/>
    </row>
    <row r="169" spans="1:26" ht="14.25" customHeight="1" x14ac:dyDescent="0.25">
      <c r="A169" s="14"/>
      <c r="B169" s="14"/>
      <c r="C169" s="14"/>
      <c r="D169" s="36"/>
      <c r="E169" s="36"/>
      <c r="F169" s="36"/>
      <c r="G169" s="36"/>
      <c r="H169" s="36"/>
      <c r="I169" s="36"/>
      <c r="J169" s="57"/>
      <c r="K169" s="36"/>
      <c r="L169" s="61"/>
      <c r="M169" s="57"/>
      <c r="N169" s="36"/>
      <c r="O169" s="61"/>
      <c r="P169" s="66"/>
      <c r="Q169" s="15"/>
      <c r="R169" s="15"/>
      <c r="S169" s="15"/>
      <c r="T169" s="36"/>
      <c r="U169" s="36"/>
      <c r="V169" s="63"/>
      <c r="W169" s="14"/>
      <c r="X169" s="14"/>
      <c r="Y169" s="14"/>
      <c r="Z169" s="14"/>
    </row>
    <row r="170" spans="1:26" ht="14.25" customHeight="1" x14ac:dyDescent="0.25">
      <c r="A170" s="14"/>
      <c r="B170" s="14"/>
      <c r="C170" s="14"/>
      <c r="D170" s="36"/>
      <c r="E170" s="36"/>
      <c r="F170" s="36"/>
      <c r="G170" s="36"/>
      <c r="H170" s="36"/>
      <c r="I170" s="36"/>
      <c r="J170" s="57"/>
      <c r="K170" s="36"/>
      <c r="L170" s="61"/>
      <c r="M170" s="57"/>
      <c r="N170" s="36"/>
      <c r="O170" s="61"/>
      <c r="P170" s="66"/>
      <c r="Q170" s="15"/>
      <c r="R170" s="15"/>
      <c r="S170" s="15"/>
      <c r="T170" s="36"/>
      <c r="U170" s="36"/>
      <c r="V170" s="63"/>
      <c r="W170" s="14"/>
      <c r="X170" s="14"/>
      <c r="Y170" s="14"/>
      <c r="Z170" s="14"/>
    </row>
    <row r="171" spans="1:26" ht="14.25" customHeight="1" x14ac:dyDescent="0.25">
      <c r="A171" s="14"/>
      <c r="B171" s="14"/>
      <c r="C171" s="14"/>
      <c r="D171" s="36"/>
      <c r="E171" s="36"/>
      <c r="F171" s="36"/>
      <c r="G171" s="36"/>
      <c r="H171" s="36"/>
      <c r="I171" s="36"/>
      <c r="J171" s="57"/>
      <c r="K171" s="36"/>
      <c r="L171" s="61"/>
      <c r="M171" s="57"/>
      <c r="N171" s="36"/>
      <c r="O171" s="61"/>
      <c r="P171" s="66"/>
      <c r="Q171" s="15"/>
      <c r="R171" s="15"/>
      <c r="S171" s="15"/>
      <c r="T171" s="36"/>
      <c r="U171" s="36"/>
      <c r="V171" s="63"/>
      <c r="W171" s="14"/>
      <c r="X171" s="14"/>
      <c r="Y171" s="14"/>
      <c r="Z171" s="14"/>
    </row>
    <row r="172" spans="1:26" ht="14.25" customHeight="1" x14ac:dyDescent="0.25">
      <c r="A172" s="14"/>
      <c r="B172" s="14"/>
      <c r="C172" s="14"/>
      <c r="D172" s="36"/>
      <c r="E172" s="36"/>
      <c r="F172" s="36"/>
      <c r="G172" s="36"/>
      <c r="H172" s="36"/>
      <c r="I172" s="36"/>
      <c r="J172" s="57"/>
      <c r="K172" s="36"/>
      <c r="L172" s="61"/>
      <c r="M172" s="57"/>
      <c r="N172" s="36"/>
      <c r="O172" s="61"/>
      <c r="P172" s="66"/>
      <c r="Q172" s="15"/>
      <c r="R172" s="15"/>
      <c r="S172" s="15"/>
      <c r="T172" s="36"/>
      <c r="U172" s="36"/>
      <c r="V172" s="63"/>
      <c r="W172" s="14"/>
      <c r="X172" s="14"/>
      <c r="Y172" s="14"/>
      <c r="Z172" s="14"/>
    </row>
    <row r="173" spans="1:26" ht="14.25" customHeight="1" x14ac:dyDescent="0.25">
      <c r="A173" s="14"/>
      <c r="B173" s="14"/>
      <c r="C173" s="14"/>
      <c r="D173" s="36"/>
      <c r="E173" s="36"/>
      <c r="F173" s="36"/>
      <c r="G173" s="36"/>
      <c r="H173" s="36"/>
      <c r="I173" s="36"/>
      <c r="J173" s="57"/>
      <c r="K173" s="36"/>
      <c r="L173" s="61"/>
      <c r="M173" s="57"/>
      <c r="N173" s="36"/>
      <c r="O173" s="61"/>
      <c r="P173" s="66"/>
      <c r="Q173" s="15"/>
      <c r="R173" s="15"/>
      <c r="S173" s="15"/>
      <c r="T173" s="36"/>
      <c r="U173" s="36"/>
      <c r="V173" s="63"/>
      <c r="W173" s="14"/>
      <c r="X173" s="14"/>
      <c r="Y173" s="14"/>
      <c r="Z173" s="14"/>
    </row>
    <row r="174" spans="1:26" ht="14.25" customHeight="1" x14ac:dyDescent="0.25">
      <c r="A174" s="14"/>
      <c r="B174" s="14"/>
      <c r="C174" s="14"/>
      <c r="D174" s="36"/>
      <c r="E174" s="36"/>
      <c r="F174" s="36"/>
      <c r="G174" s="36"/>
      <c r="H174" s="36"/>
      <c r="I174" s="36"/>
      <c r="J174" s="57"/>
      <c r="K174" s="36"/>
      <c r="L174" s="61"/>
      <c r="M174" s="57"/>
      <c r="N174" s="36"/>
      <c r="O174" s="61"/>
      <c r="P174" s="66"/>
      <c r="Q174" s="15"/>
      <c r="R174" s="15"/>
      <c r="S174" s="15"/>
      <c r="T174" s="36"/>
      <c r="U174" s="36"/>
      <c r="V174" s="63"/>
      <c r="W174" s="14"/>
      <c r="X174" s="14"/>
      <c r="Y174" s="14"/>
      <c r="Z174" s="14"/>
    </row>
    <row r="175" spans="1:26" ht="14.25" customHeight="1" x14ac:dyDescent="0.25">
      <c r="A175" s="14"/>
      <c r="B175" s="14"/>
      <c r="C175" s="14"/>
      <c r="D175" s="36"/>
      <c r="E175" s="36"/>
      <c r="F175" s="36"/>
      <c r="G175" s="36"/>
      <c r="H175" s="36"/>
      <c r="I175" s="36"/>
      <c r="J175" s="57"/>
      <c r="K175" s="36"/>
      <c r="L175" s="61"/>
      <c r="M175" s="57"/>
      <c r="N175" s="36"/>
      <c r="O175" s="61"/>
      <c r="P175" s="66"/>
      <c r="Q175" s="15"/>
      <c r="R175" s="15"/>
      <c r="S175" s="15"/>
      <c r="T175" s="36"/>
      <c r="U175" s="36"/>
      <c r="V175" s="63"/>
      <c r="W175" s="14"/>
      <c r="X175" s="14"/>
      <c r="Y175" s="14"/>
      <c r="Z175" s="14"/>
    </row>
    <row r="176" spans="1:26" ht="14.25" customHeight="1" x14ac:dyDescent="0.25">
      <c r="A176" s="14"/>
      <c r="B176" s="14"/>
      <c r="C176" s="14"/>
      <c r="D176" s="36"/>
      <c r="E176" s="36"/>
      <c r="F176" s="36"/>
      <c r="G176" s="36"/>
      <c r="H176" s="36"/>
      <c r="I176" s="36"/>
      <c r="J176" s="57"/>
      <c r="K176" s="36"/>
      <c r="L176" s="61"/>
      <c r="M176" s="57"/>
      <c r="N176" s="36"/>
      <c r="O176" s="61"/>
      <c r="P176" s="66"/>
      <c r="Q176" s="15"/>
      <c r="R176" s="15"/>
      <c r="S176" s="15"/>
      <c r="T176" s="36"/>
      <c r="U176" s="36"/>
      <c r="V176" s="63"/>
      <c r="W176" s="14"/>
      <c r="X176" s="14"/>
      <c r="Y176" s="14"/>
      <c r="Z176" s="14"/>
    </row>
    <row r="177" spans="1:26" ht="14.25" customHeight="1" x14ac:dyDescent="0.25">
      <c r="A177" s="14"/>
      <c r="B177" s="14"/>
      <c r="C177" s="14"/>
      <c r="D177" s="36"/>
      <c r="E177" s="36"/>
      <c r="F177" s="36"/>
      <c r="G177" s="36"/>
      <c r="H177" s="36"/>
      <c r="I177" s="36"/>
      <c r="J177" s="57"/>
      <c r="K177" s="36"/>
      <c r="L177" s="61"/>
      <c r="M177" s="57"/>
      <c r="N177" s="36"/>
      <c r="O177" s="61"/>
      <c r="P177" s="66"/>
      <c r="Q177" s="15"/>
      <c r="R177" s="15"/>
      <c r="S177" s="15"/>
      <c r="T177" s="36"/>
      <c r="U177" s="36"/>
      <c r="V177" s="63"/>
      <c r="W177" s="14"/>
      <c r="X177" s="14"/>
      <c r="Y177" s="14"/>
      <c r="Z177" s="14"/>
    </row>
    <row r="178" spans="1:26" ht="14.25" customHeight="1" x14ac:dyDescent="0.25">
      <c r="A178" s="14"/>
      <c r="B178" s="14"/>
      <c r="C178" s="14"/>
      <c r="D178" s="36"/>
      <c r="E178" s="36"/>
      <c r="F178" s="36"/>
      <c r="G178" s="36"/>
      <c r="H178" s="36"/>
      <c r="I178" s="36"/>
      <c r="J178" s="57"/>
      <c r="K178" s="36"/>
      <c r="L178" s="61"/>
      <c r="M178" s="57"/>
      <c r="N178" s="36"/>
      <c r="O178" s="61"/>
      <c r="P178" s="66"/>
      <c r="Q178" s="15"/>
      <c r="R178" s="15"/>
      <c r="S178" s="15"/>
      <c r="T178" s="36"/>
      <c r="U178" s="36"/>
      <c r="V178" s="63"/>
      <c r="W178" s="14"/>
      <c r="X178" s="14"/>
      <c r="Y178" s="14"/>
      <c r="Z178" s="14"/>
    </row>
    <row r="179" spans="1:26" ht="14.25" customHeight="1" x14ac:dyDescent="0.25">
      <c r="A179" s="14"/>
      <c r="B179" s="14"/>
      <c r="C179" s="14"/>
      <c r="D179" s="36"/>
      <c r="E179" s="36"/>
      <c r="F179" s="36"/>
      <c r="G179" s="36"/>
      <c r="H179" s="36"/>
      <c r="I179" s="36"/>
      <c r="J179" s="57"/>
      <c r="K179" s="36"/>
      <c r="L179" s="61"/>
      <c r="M179" s="57"/>
      <c r="N179" s="36"/>
      <c r="O179" s="61"/>
      <c r="P179" s="66"/>
      <c r="Q179" s="15"/>
      <c r="R179" s="15"/>
      <c r="S179" s="15"/>
      <c r="T179" s="36"/>
      <c r="U179" s="36"/>
      <c r="V179" s="63"/>
      <c r="W179" s="14"/>
      <c r="X179" s="14"/>
      <c r="Y179" s="14"/>
      <c r="Z179" s="14"/>
    </row>
    <row r="180" spans="1:26" ht="14.25" customHeight="1" x14ac:dyDescent="0.25">
      <c r="A180" s="14"/>
      <c r="B180" s="14"/>
      <c r="C180" s="14"/>
      <c r="D180" s="36"/>
      <c r="E180" s="36"/>
      <c r="F180" s="36"/>
      <c r="G180" s="36"/>
      <c r="H180" s="36"/>
      <c r="I180" s="36"/>
      <c r="J180" s="57"/>
      <c r="K180" s="36"/>
      <c r="L180" s="61"/>
      <c r="M180" s="57"/>
      <c r="N180" s="36"/>
      <c r="O180" s="61"/>
      <c r="P180" s="66"/>
      <c r="Q180" s="15"/>
      <c r="R180" s="15"/>
      <c r="S180" s="15"/>
      <c r="T180" s="36"/>
      <c r="U180" s="36"/>
      <c r="V180" s="63"/>
      <c r="W180" s="14"/>
      <c r="X180" s="14"/>
      <c r="Y180" s="14"/>
      <c r="Z180" s="14"/>
    </row>
    <row r="181" spans="1:26" ht="14.25" customHeight="1" x14ac:dyDescent="0.25">
      <c r="A181" s="14"/>
      <c r="B181" s="14"/>
      <c r="C181" s="14"/>
      <c r="D181" s="36"/>
      <c r="E181" s="36"/>
      <c r="F181" s="36"/>
      <c r="G181" s="36"/>
      <c r="H181" s="36"/>
      <c r="I181" s="36"/>
      <c r="J181" s="57"/>
      <c r="K181" s="36"/>
      <c r="L181" s="61"/>
      <c r="M181" s="57"/>
      <c r="N181" s="36"/>
      <c r="O181" s="61"/>
      <c r="P181" s="66"/>
      <c r="Q181" s="15"/>
      <c r="R181" s="15"/>
      <c r="S181" s="15"/>
      <c r="T181" s="36"/>
      <c r="U181" s="36"/>
      <c r="V181" s="63"/>
      <c r="W181" s="14"/>
      <c r="X181" s="14"/>
      <c r="Y181" s="14"/>
      <c r="Z181" s="14"/>
    </row>
    <row r="182" spans="1:26" ht="14.25" customHeight="1" x14ac:dyDescent="0.25">
      <c r="A182" s="14"/>
      <c r="B182" s="14"/>
      <c r="C182" s="14"/>
      <c r="D182" s="36"/>
      <c r="E182" s="36"/>
      <c r="F182" s="36"/>
      <c r="G182" s="36"/>
      <c r="H182" s="36"/>
      <c r="I182" s="36"/>
      <c r="J182" s="57"/>
      <c r="K182" s="36"/>
      <c r="L182" s="61"/>
      <c r="M182" s="57"/>
      <c r="N182" s="36"/>
      <c r="O182" s="61"/>
      <c r="P182" s="66"/>
      <c r="Q182" s="15"/>
      <c r="R182" s="15"/>
      <c r="S182" s="15"/>
      <c r="T182" s="36"/>
      <c r="U182" s="36"/>
      <c r="V182" s="63"/>
      <c r="W182" s="14"/>
      <c r="X182" s="14"/>
      <c r="Y182" s="14"/>
      <c r="Z182" s="14"/>
    </row>
    <row r="183" spans="1:26" ht="14.25" customHeight="1" x14ac:dyDescent="0.25">
      <c r="A183" s="14"/>
      <c r="B183" s="14"/>
      <c r="C183" s="14"/>
      <c r="D183" s="36"/>
      <c r="E183" s="36"/>
      <c r="F183" s="36"/>
      <c r="G183" s="36"/>
      <c r="H183" s="36"/>
      <c r="I183" s="36"/>
      <c r="J183" s="57"/>
      <c r="K183" s="36"/>
      <c r="L183" s="61"/>
      <c r="M183" s="57"/>
      <c r="N183" s="36"/>
      <c r="O183" s="61"/>
      <c r="P183" s="66"/>
      <c r="Q183" s="15"/>
      <c r="R183" s="15"/>
      <c r="S183" s="15"/>
      <c r="T183" s="36"/>
      <c r="U183" s="36"/>
      <c r="V183" s="63"/>
      <c r="W183" s="14"/>
      <c r="X183" s="14"/>
      <c r="Y183" s="14"/>
      <c r="Z183" s="14"/>
    </row>
    <row r="184" spans="1:26" ht="14.25" customHeight="1" x14ac:dyDescent="0.25">
      <c r="A184" s="14"/>
      <c r="B184" s="14"/>
      <c r="C184" s="14"/>
      <c r="D184" s="36"/>
      <c r="E184" s="36"/>
      <c r="F184" s="36"/>
      <c r="G184" s="36"/>
      <c r="H184" s="36"/>
      <c r="I184" s="36"/>
      <c r="J184" s="57"/>
      <c r="K184" s="36"/>
      <c r="L184" s="61"/>
      <c r="M184" s="57"/>
      <c r="N184" s="36"/>
      <c r="O184" s="61"/>
      <c r="P184" s="66"/>
      <c r="Q184" s="15"/>
      <c r="R184" s="15"/>
      <c r="S184" s="15"/>
      <c r="T184" s="36"/>
      <c r="U184" s="36"/>
      <c r="V184" s="63"/>
      <c r="W184" s="14"/>
      <c r="X184" s="14"/>
      <c r="Y184" s="14"/>
      <c r="Z184" s="14"/>
    </row>
    <row r="185" spans="1:26" ht="14.25" customHeight="1" x14ac:dyDescent="0.25">
      <c r="A185" s="14"/>
      <c r="B185" s="14"/>
      <c r="C185" s="14"/>
      <c r="D185" s="36"/>
      <c r="E185" s="36"/>
      <c r="F185" s="36"/>
      <c r="G185" s="36"/>
      <c r="H185" s="36"/>
      <c r="I185" s="36"/>
      <c r="J185" s="57"/>
      <c r="K185" s="36"/>
      <c r="L185" s="61"/>
      <c r="M185" s="57"/>
      <c r="N185" s="36"/>
      <c r="O185" s="61"/>
      <c r="P185" s="66"/>
      <c r="Q185" s="15"/>
      <c r="R185" s="15"/>
      <c r="S185" s="15"/>
      <c r="T185" s="36"/>
      <c r="U185" s="36"/>
      <c r="V185" s="63"/>
      <c r="W185" s="14"/>
      <c r="X185" s="14"/>
      <c r="Y185" s="14"/>
      <c r="Z185" s="14"/>
    </row>
    <row r="186" spans="1:26" ht="14.25" customHeight="1" x14ac:dyDescent="0.25">
      <c r="A186" s="14"/>
      <c r="B186" s="14"/>
      <c r="C186" s="14"/>
      <c r="D186" s="36"/>
      <c r="E186" s="36"/>
      <c r="F186" s="36"/>
      <c r="G186" s="36"/>
      <c r="H186" s="36"/>
      <c r="I186" s="36"/>
      <c r="J186" s="57"/>
      <c r="K186" s="36"/>
      <c r="L186" s="61"/>
      <c r="M186" s="57"/>
      <c r="N186" s="36"/>
      <c r="O186" s="61"/>
      <c r="P186" s="66"/>
      <c r="Q186" s="15"/>
      <c r="R186" s="15"/>
      <c r="S186" s="15"/>
      <c r="T186" s="36"/>
      <c r="U186" s="36"/>
      <c r="V186" s="63"/>
      <c r="W186" s="14"/>
      <c r="X186" s="14"/>
      <c r="Y186" s="14"/>
      <c r="Z186" s="14"/>
    </row>
    <row r="187" spans="1:26" ht="14.25" customHeight="1" x14ac:dyDescent="0.25">
      <c r="A187" s="14"/>
      <c r="B187" s="14"/>
      <c r="C187" s="14"/>
      <c r="D187" s="36"/>
      <c r="E187" s="36"/>
      <c r="F187" s="36"/>
      <c r="G187" s="36"/>
      <c r="H187" s="36"/>
      <c r="I187" s="36"/>
      <c r="J187" s="57"/>
      <c r="K187" s="36"/>
      <c r="L187" s="61"/>
      <c r="M187" s="57"/>
      <c r="N187" s="36"/>
      <c r="O187" s="61"/>
      <c r="P187" s="66"/>
      <c r="Q187" s="15"/>
      <c r="R187" s="15"/>
      <c r="S187" s="15"/>
      <c r="T187" s="36"/>
      <c r="U187" s="36"/>
      <c r="V187" s="63"/>
      <c r="W187" s="14"/>
      <c r="X187" s="14"/>
      <c r="Y187" s="14"/>
      <c r="Z187" s="14"/>
    </row>
    <row r="188" spans="1:26" ht="14.25" customHeight="1" x14ac:dyDescent="0.25">
      <c r="A188" s="14"/>
      <c r="B188" s="14"/>
      <c r="C188" s="14"/>
      <c r="D188" s="36"/>
      <c r="E188" s="36"/>
      <c r="F188" s="36"/>
      <c r="G188" s="36"/>
      <c r="H188" s="36"/>
      <c r="I188" s="36"/>
      <c r="J188" s="57"/>
      <c r="K188" s="36"/>
      <c r="L188" s="61"/>
      <c r="M188" s="57"/>
      <c r="N188" s="36"/>
      <c r="O188" s="61"/>
      <c r="P188" s="66"/>
      <c r="Q188" s="15"/>
      <c r="R188" s="15"/>
      <c r="S188" s="15"/>
      <c r="T188" s="36"/>
      <c r="U188" s="36"/>
      <c r="V188" s="63"/>
      <c r="W188" s="14"/>
      <c r="X188" s="14"/>
      <c r="Y188" s="14"/>
      <c r="Z188" s="14"/>
    </row>
    <row r="189" spans="1:26" ht="14.25" customHeight="1" x14ac:dyDescent="0.25">
      <c r="A189" s="14"/>
      <c r="B189" s="14"/>
      <c r="C189" s="14"/>
      <c r="D189" s="36"/>
      <c r="E189" s="36"/>
      <c r="F189" s="36"/>
      <c r="G189" s="36"/>
      <c r="H189" s="36"/>
      <c r="I189" s="36"/>
      <c r="J189" s="57"/>
      <c r="K189" s="36"/>
      <c r="L189" s="61"/>
      <c r="M189" s="57"/>
      <c r="N189" s="36"/>
      <c r="O189" s="61"/>
      <c r="P189" s="66"/>
      <c r="Q189" s="15"/>
      <c r="R189" s="15"/>
      <c r="S189" s="15"/>
      <c r="T189" s="36"/>
      <c r="U189" s="36"/>
      <c r="V189" s="63"/>
      <c r="W189" s="14"/>
      <c r="X189" s="14"/>
      <c r="Y189" s="14"/>
      <c r="Z189" s="14"/>
    </row>
    <row r="190" spans="1:26" ht="14.25" customHeight="1" x14ac:dyDescent="0.25">
      <c r="A190" s="14"/>
      <c r="B190" s="14"/>
      <c r="C190" s="14"/>
      <c r="D190" s="36"/>
      <c r="E190" s="36"/>
      <c r="F190" s="36"/>
      <c r="G190" s="36"/>
      <c r="H190" s="36"/>
      <c r="I190" s="36"/>
      <c r="J190" s="57"/>
      <c r="K190" s="36"/>
      <c r="L190" s="61"/>
      <c r="M190" s="57"/>
      <c r="N190" s="36"/>
      <c r="O190" s="61"/>
      <c r="P190" s="66"/>
      <c r="Q190" s="15"/>
      <c r="R190" s="15"/>
      <c r="S190" s="15"/>
      <c r="T190" s="36"/>
      <c r="U190" s="36"/>
      <c r="V190" s="63"/>
      <c r="W190" s="14"/>
      <c r="X190" s="14"/>
      <c r="Y190" s="14"/>
      <c r="Z190" s="14"/>
    </row>
    <row r="191" spans="1:26" ht="14.25" customHeight="1" x14ac:dyDescent="0.25">
      <c r="A191" s="14"/>
      <c r="B191" s="14"/>
      <c r="C191" s="14"/>
      <c r="D191" s="36"/>
      <c r="E191" s="36"/>
      <c r="F191" s="36"/>
      <c r="G191" s="36"/>
      <c r="H191" s="36"/>
      <c r="I191" s="36"/>
      <c r="J191" s="57"/>
      <c r="K191" s="36"/>
      <c r="L191" s="61"/>
      <c r="M191" s="57"/>
      <c r="N191" s="36"/>
      <c r="O191" s="61"/>
      <c r="P191" s="66"/>
      <c r="Q191" s="15"/>
      <c r="R191" s="15"/>
      <c r="S191" s="15"/>
      <c r="T191" s="36"/>
      <c r="U191" s="36"/>
      <c r="V191" s="63"/>
      <c r="W191" s="14"/>
      <c r="X191" s="14"/>
      <c r="Y191" s="14"/>
      <c r="Z191" s="14"/>
    </row>
    <row r="192" spans="1:26" ht="14.25" customHeight="1" x14ac:dyDescent="0.25">
      <c r="A192" s="14"/>
      <c r="B192" s="14"/>
      <c r="C192" s="14"/>
      <c r="D192" s="36"/>
      <c r="E192" s="36"/>
      <c r="F192" s="36"/>
      <c r="G192" s="36"/>
      <c r="H192" s="36"/>
      <c r="I192" s="36"/>
      <c r="J192" s="57"/>
      <c r="K192" s="36"/>
      <c r="L192" s="61"/>
      <c r="M192" s="57"/>
      <c r="N192" s="36"/>
      <c r="O192" s="61"/>
      <c r="P192" s="66"/>
      <c r="Q192" s="15"/>
      <c r="R192" s="15"/>
      <c r="S192" s="15"/>
      <c r="T192" s="36"/>
      <c r="U192" s="36"/>
      <c r="V192" s="63"/>
      <c r="W192" s="14"/>
      <c r="X192" s="14"/>
      <c r="Y192" s="14"/>
      <c r="Z192" s="14"/>
    </row>
    <row r="193" spans="1:26" ht="14.25" customHeight="1" x14ac:dyDescent="0.25">
      <c r="A193" s="14"/>
      <c r="B193" s="14"/>
      <c r="C193" s="14"/>
      <c r="D193" s="36"/>
      <c r="E193" s="36"/>
      <c r="F193" s="36"/>
      <c r="G193" s="36"/>
      <c r="H193" s="36"/>
      <c r="I193" s="36"/>
      <c r="J193" s="57"/>
      <c r="K193" s="36"/>
      <c r="L193" s="61"/>
      <c r="M193" s="57"/>
      <c r="N193" s="36"/>
      <c r="O193" s="61"/>
      <c r="P193" s="66"/>
      <c r="Q193" s="15"/>
      <c r="R193" s="15"/>
      <c r="S193" s="15"/>
      <c r="T193" s="36"/>
      <c r="U193" s="36"/>
      <c r="V193" s="63"/>
      <c r="W193" s="14"/>
      <c r="X193" s="14"/>
      <c r="Y193" s="14"/>
      <c r="Z193" s="14"/>
    </row>
    <row r="194" spans="1:26" ht="14.25" customHeight="1" x14ac:dyDescent="0.25">
      <c r="A194" s="14"/>
      <c r="B194" s="14"/>
      <c r="C194" s="14"/>
      <c r="D194" s="36"/>
      <c r="E194" s="36"/>
      <c r="F194" s="36"/>
      <c r="G194" s="36"/>
      <c r="H194" s="36"/>
      <c r="I194" s="36"/>
      <c r="J194" s="57"/>
      <c r="K194" s="57"/>
      <c r="L194" s="61"/>
      <c r="M194" s="57"/>
      <c r="N194" s="36"/>
      <c r="O194" s="61"/>
      <c r="P194" s="66"/>
      <c r="Q194" s="15"/>
      <c r="R194" s="15"/>
      <c r="S194" s="15"/>
      <c r="T194" s="36"/>
      <c r="U194" s="36"/>
      <c r="V194" s="114"/>
      <c r="W194" s="14"/>
      <c r="X194" s="14"/>
      <c r="Y194" s="14"/>
      <c r="Z194" s="14"/>
    </row>
    <row r="195" spans="1:26" ht="14.25" customHeight="1" x14ac:dyDescent="0.25">
      <c r="A195" s="14"/>
      <c r="B195" s="14"/>
      <c r="C195" s="14"/>
      <c r="D195" s="36"/>
      <c r="E195" s="36"/>
      <c r="F195" s="36"/>
      <c r="G195" s="36"/>
      <c r="H195" s="36"/>
      <c r="I195" s="111"/>
      <c r="J195" s="116"/>
      <c r="K195" s="116"/>
      <c r="L195" s="61"/>
      <c r="M195" s="57"/>
      <c r="N195" s="36"/>
      <c r="O195" s="61"/>
      <c r="P195" s="66"/>
      <c r="Q195" s="15"/>
      <c r="R195" s="15"/>
      <c r="S195" s="15"/>
      <c r="T195" s="36"/>
      <c r="U195" s="36"/>
      <c r="V195" s="63"/>
      <c r="W195" s="14"/>
      <c r="X195" s="14"/>
      <c r="Y195" s="14"/>
      <c r="Z195" s="14"/>
    </row>
    <row r="196" spans="1:26" ht="14.25" customHeight="1" x14ac:dyDescent="0.25">
      <c r="A196" s="14"/>
      <c r="B196" s="14"/>
      <c r="C196" s="14"/>
      <c r="D196" s="36"/>
      <c r="E196" s="36"/>
      <c r="F196" s="36"/>
      <c r="G196" s="36"/>
      <c r="H196" s="36"/>
      <c r="I196" s="36"/>
      <c r="J196" s="57"/>
      <c r="K196" s="36"/>
      <c r="L196" s="61"/>
      <c r="M196" s="57"/>
      <c r="N196" s="36"/>
      <c r="O196" s="61"/>
      <c r="P196" s="66"/>
      <c r="Q196" s="15"/>
      <c r="R196" s="15"/>
      <c r="S196" s="15"/>
      <c r="T196" s="36"/>
      <c r="U196" s="36"/>
      <c r="V196" s="63"/>
      <c r="W196" s="14"/>
      <c r="X196" s="14"/>
      <c r="Y196" s="14"/>
      <c r="Z196" s="14"/>
    </row>
    <row r="197" spans="1:26" ht="14.25" customHeight="1" x14ac:dyDescent="0.25">
      <c r="A197" s="14"/>
      <c r="B197" s="14"/>
      <c r="C197" s="14"/>
      <c r="D197" s="36"/>
      <c r="E197" s="36"/>
      <c r="F197" s="36"/>
      <c r="G197" s="36"/>
      <c r="H197" s="36"/>
      <c r="I197" s="36"/>
      <c r="J197" s="57"/>
      <c r="K197" s="36"/>
      <c r="L197" s="61"/>
      <c r="M197" s="57"/>
      <c r="N197" s="36"/>
      <c r="O197" s="61"/>
      <c r="P197" s="66"/>
      <c r="Q197" s="15"/>
      <c r="R197" s="15"/>
      <c r="S197" s="15"/>
      <c r="T197" s="36"/>
      <c r="U197" s="36"/>
      <c r="V197" s="63"/>
      <c r="W197" s="14"/>
      <c r="X197" s="14"/>
      <c r="Y197" s="14"/>
      <c r="Z197" s="14"/>
    </row>
    <row r="198" spans="1:26" ht="14.25" customHeight="1" x14ac:dyDescent="0.25">
      <c r="A198" s="14"/>
      <c r="B198" s="14"/>
      <c r="C198" s="14"/>
      <c r="D198" s="36"/>
      <c r="E198" s="36"/>
      <c r="F198" s="36"/>
      <c r="G198" s="36"/>
      <c r="H198" s="36"/>
      <c r="I198" s="36"/>
      <c r="J198" s="57"/>
      <c r="K198" s="36"/>
      <c r="L198" s="61"/>
      <c r="M198" s="57"/>
      <c r="N198" s="36"/>
      <c r="O198" s="61"/>
      <c r="P198" s="66"/>
      <c r="Q198" s="15"/>
      <c r="R198" s="15"/>
      <c r="S198" s="15"/>
      <c r="T198" s="36"/>
      <c r="U198" s="36"/>
      <c r="V198" s="63"/>
      <c r="W198" s="14"/>
      <c r="X198" s="14"/>
      <c r="Y198" s="14"/>
      <c r="Z198" s="14"/>
    </row>
    <row r="199" spans="1:26" ht="14.25" customHeight="1" x14ac:dyDescent="0.25">
      <c r="A199" s="14"/>
      <c r="B199" s="14"/>
      <c r="C199" s="14"/>
      <c r="D199" s="36"/>
      <c r="E199" s="36"/>
      <c r="F199" s="36"/>
      <c r="G199" s="36"/>
      <c r="H199" s="36"/>
      <c r="I199" s="36"/>
      <c r="J199" s="57"/>
      <c r="K199" s="36"/>
      <c r="L199" s="61"/>
      <c r="M199" s="57"/>
      <c r="N199" s="36"/>
      <c r="O199" s="61"/>
      <c r="P199" s="66"/>
      <c r="Q199" s="15"/>
      <c r="R199" s="15"/>
      <c r="S199" s="15"/>
      <c r="T199" s="36"/>
      <c r="U199" s="36"/>
      <c r="V199" s="63"/>
      <c r="W199" s="14"/>
      <c r="X199" s="14"/>
      <c r="Y199" s="14"/>
      <c r="Z199" s="14"/>
    </row>
    <row r="200" spans="1:26" ht="14.25" customHeight="1" x14ac:dyDescent="0.25">
      <c r="A200" s="14"/>
      <c r="B200" s="14"/>
      <c r="C200" s="14"/>
      <c r="D200" s="36"/>
      <c r="E200" s="36"/>
      <c r="F200" s="36"/>
      <c r="G200" s="36"/>
      <c r="H200" s="36"/>
      <c r="I200" s="36"/>
      <c r="J200" s="57"/>
      <c r="K200" s="36"/>
      <c r="L200" s="61"/>
      <c r="M200" s="57"/>
      <c r="N200" s="36"/>
      <c r="O200" s="61"/>
      <c r="P200" s="66"/>
      <c r="Q200" s="15"/>
      <c r="R200" s="15"/>
      <c r="S200" s="15"/>
      <c r="T200" s="36"/>
      <c r="U200" s="36"/>
      <c r="V200" s="63"/>
      <c r="W200" s="14"/>
      <c r="X200" s="14"/>
      <c r="Y200" s="14"/>
      <c r="Z200" s="14"/>
    </row>
    <row r="201" spans="1:26" ht="14.25" customHeight="1" x14ac:dyDescent="0.25">
      <c r="A201" s="14"/>
      <c r="B201" s="14"/>
      <c r="C201" s="14"/>
      <c r="D201" s="36"/>
      <c r="E201" s="36"/>
      <c r="F201" s="36"/>
      <c r="G201" s="36"/>
      <c r="H201" s="36"/>
      <c r="I201" s="36"/>
      <c r="J201" s="57"/>
      <c r="K201" s="36"/>
      <c r="L201" s="61"/>
      <c r="M201" s="57"/>
      <c r="N201" s="36"/>
      <c r="O201" s="61"/>
      <c r="P201" s="66"/>
      <c r="Q201" s="15"/>
      <c r="R201" s="15"/>
      <c r="S201" s="15"/>
      <c r="T201" s="36"/>
      <c r="U201" s="36"/>
      <c r="V201" s="63"/>
      <c r="W201" s="14"/>
      <c r="X201" s="14"/>
      <c r="Y201" s="14"/>
      <c r="Z201" s="14"/>
    </row>
    <row r="202" spans="1:26" ht="14.25" customHeight="1" x14ac:dyDescent="0.25">
      <c r="A202" s="14"/>
      <c r="B202" s="14"/>
      <c r="C202" s="14"/>
      <c r="D202" s="36"/>
      <c r="E202" s="36"/>
      <c r="F202" s="36"/>
      <c r="G202" s="36"/>
      <c r="H202" s="36"/>
      <c r="I202" s="36"/>
      <c r="J202" s="57"/>
      <c r="K202" s="36"/>
      <c r="L202" s="61"/>
      <c r="M202" s="57"/>
      <c r="N202" s="36"/>
      <c r="O202" s="61"/>
      <c r="P202" s="66"/>
      <c r="Q202" s="15"/>
      <c r="R202" s="15"/>
      <c r="S202" s="15"/>
      <c r="T202" s="36"/>
      <c r="U202" s="36"/>
      <c r="V202" s="63"/>
      <c r="W202" s="14"/>
      <c r="X202" s="14"/>
      <c r="Y202" s="14"/>
      <c r="Z202" s="14"/>
    </row>
    <row r="203" spans="1:26" ht="14.25" customHeight="1" x14ac:dyDescent="0.25">
      <c r="A203" s="14"/>
      <c r="B203" s="14"/>
      <c r="C203" s="14"/>
      <c r="D203" s="36"/>
      <c r="E203" s="36"/>
      <c r="F203" s="36"/>
      <c r="G203" s="36"/>
      <c r="H203" s="36"/>
      <c r="I203" s="36"/>
      <c r="J203" s="57"/>
      <c r="K203" s="36"/>
      <c r="L203" s="61"/>
      <c r="M203" s="57"/>
      <c r="N203" s="36"/>
      <c r="O203" s="61"/>
      <c r="P203" s="66"/>
      <c r="Q203" s="15"/>
      <c r="R203" s="15"/>
      <c r="S203" s="15"/>
      <c r="T203" s="36"/>
      <c r="U203" s="36"/>
      <c r="V203" s="63"/>
      <c r="W203" s="14"/>
      <c r="X203" s="14"/>
      <c r="Y203" s="14"/>
      <c r="Z203" s="14"/>
    </row>
    <row r="204" spans="1:26" ht="14.25" customHeight="1" x14ac:dyDescent="0.25">
      <c r="A204" s="14"/>
      <c r="B204" s="14"/>
      <c r="C204" s="14"/>
      <c r="D204" s="36"/>
      <c r="E204" s="36"/>
      <c r="F204" s="36"/>
      <c r="G204" s="36"/>
      <c r="H204" s="36"/>
      <c r="I204" s="36"/>
      <c r="J204" s="61"/>
      <c r="K204" s="36"/>
      <c r="L204" s="61"/>
      <c r="M204" s="57"/>
      <c r="N204" s="36"/>
      <c r="O204" s="61"/>
      <c r="P204" s="66"/>
      <c r="Q204" s="15"/>
      <c r="R204" s="15"/>
      <c r="S204" s="15"/>
      <c r="T204" s="36"/>
      <c r="U204" s="36"/>
      <c r="V204" s="63"/>
      <c r="W204" s="14"/>
      <c r="X204" s="14"/>
      <c r="Y204" s="14"/>
      <c r="Z204" s="14"/>
    </row>
    <row r="205" spans="1:26" ht="14.25" customHeight="1" x14ac:dyDescent="0.25">
      <c r="A205" s="14"/>
      <c r="B205" s="14"/>
      <c r="C205" s="14"/>
      <c r="D205" s="36"/>
      <c r="E205" s="36"/>
      <c r="F205" s="36"/>
      <c r="G205" s="36"/>
      <c r="H205" s="36"/>
      <c r="I205" s="36"/>
      <c r="J205" s="61"/>
      <c r="K205" s="36"/>
      <c r="L205" s="61"/>
      <c r="M205" s="57"/>
      <c r="N205" s="15"/>
      <c r="O205" s="27"/>
      <c r="P205" s="30"/>
      <c r="Q205" s="15"/>
      <c r="R205" s="15"/>
      <c r="S205" s="15"/>
      <c r="T205" s="36"/>
      <c r="U205" s="36"/>
      <c r="V205" s="63"/>
      <c r="W205" s="14"/>
      <c r="X205" s="14"/>
      <c r="Y205" s="14"/>
      <c r="Z205" s="14"/>
    </row>
    <row r="206" spans="1:26" ht="14.25" customHeight="1" x14ac:dyDescent="0.25">
      <c r="A206" s="14"/>
      <c r="B206" s="14"/>
      <c r="C206" s="14"/>
      <c r="D206" s="71"/>
      <c r="E206" s="71"/>
      <c r="F206" s="71"/>
      <c r="G206" s="71"/>
      <c r="H206" s="71"/>
      <c r="I206" s="71"/>
      <c r="J206" s="61"/>
      <c r="K206" s="15"/>
      <c r="L206" s="61"/>
      <c r="M206" s="57"/>
      <c r="N206" s="15"/>
      <c r="O206" s="27"/>
      <c r="P206" s="30"/>
      <c r="Q206" s="15"/>
      <c r="R206" s="15"/>
      <c r="S206" s="15"/>
      <c r="T206" s="71"/>
      <c r="U206" s="71"/>
      <c r="V206" s="17"/>
      <c r="W206" s="14"/>
      <c r="X206" s="14"/>
      <c r="Y206" s="14"/>
      <c r="Z206" s="14"/>
    </row>
    <row r="207" spans="1:26" ht="14.25" customHeight="1" x14ac:dyDescent="0.25">
      <c r="A207" s="14"/>
      <c r="B207" s="14"/>
      <c r="C207" s="14"/>
      <c r="D207" s="15"/>
      <c r="E207" s="17"/>
      <c r="F207" s="17"/>
      <c r="G207" s="17"/>
      <c r="H207" s="17"/>
      <c r="I207" s="15"/>
      <c r="J207" s="101"/>
      <c r="K207" s="15"/>
      <c r="L207" s="61"/>
      <c r="M207" s="57"/>
      <c r="N207" s="15"/>
      <c r="O207" s="27"/>
      <c r="P207" s="30"/>
      <c r="Q207" s="15"/>
      <c r="R207" s="15"/>
      <c r="S207" s="15"/>
      <c r="T207" s="15"/>
      <c r="U207" s="15"/>
      <c r="V207" s="15"/>
      <c r="W207" s="14"/>
      <c r="X207" s="14"/>
      <c r="Y207" s="14"/>
      <c r="Z207" s="14"/>
    </row>
    <row r="208" spans="1:26" ht="14.25" customHeight="1" x14ac:dyDescent="0.25">
      <c r="A208" s="14"/>
      <c r="B208" s="14"/>
      <c r="C208" s="14"/>
      <c r="D208" s="15"/>
      <c r="E208" s="17"/>
      <c r="F208" s="17"/>
      <c r="G208" s="17"/>
      <c r="H208" s="17"/>
      <c r="I208" s="15"/>
      <c r="J208" s="101"/>
      <c r="K208" s="15"/>
      <c r="L208" s="61"/>
      <c r="M208" s="57"/>
      <c r="N208" s="15"/>
      <c r="O208" s="27"/>
      <c r="P208" s="30"/>
      <c r="Q208" s="15"/>
      <c r="R208" s="15"/>
      <c r="S208" s="15"/>
      <c r="T208" s="15"/>
      <c r="U208" s="15"/>
      <c r="V208" s="15"/>
      <c r="W208" s="14"/>
      <c r="X208" s="14"/>
      <c r="Y208" s="14"/>
      <c r="Z208" s="14"/>
    </row>
    <row r="209" spans="1:26" ht="14.25" customHeight="1" x14ac:dyDescent="0.25">
      <c r="A209" s="14"/>
      <c r="B209" s="14"/>
      <c r="C209" s="14"/>
      <c r="D209" s="15"/>
      <c r="E209" s="17"/>
      <c r="F209" s="17"/>
      <c r="G209" s="17"/>
      <c r="H209" s="17"/>
      <c r="I209" s="15"/>
      <c r="J209" s="101"/>
      <c r="K209" s="15"/>
      <c r="L209" s="61"/>
      <c r="M209" s="57"/>
      <c r="N209" s="36"/>
      <c r="O209" s="61"/>
      <c r="P209" s="66"/>
      <c r="Q209" s="15"/>
      <c r="R209" s="15"/>
      <c r="S209" s="15"/>
      <c r="T209" s="15"/>
      <c r="U209" s="15"/>
      <c r="V209" s="15"/>
      <c r="W209" s="14"/>
      <c r="X209" s="14"/>
      <c r="Y209" s="14"/>
      <c r="Z209" s="14"/>
    </row>
    <row r="210" spans="1:26" ht="14.25" customHeight="1" x14ac:dyDescent="0.25">
      <c r="A210" s="14"/>
      <c r="B210" s="14"/>
      <c r="C210" s="14"/>
      <c r="D210" s="36"/>
      <c r="E210" s="36"/>
      <c r="F210" s="36"/>
      <c r="G210" s="36"/>
      <c r="H210" s="36"/>
      <c r="I210" s="36"/>
      <c r="J210" s="57"/>
      <c r="K210" s="14"/>
      <c r="L210" s="61"/>
      <c r="M210" s="57"/>
      <c r="N210" s="36"/>
      <c r="O210" s="61"/>
      <c r="P210" s="66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 x14ac:dyDescent="0.25">
      <c r="A211" s="14"/>
      <c r="B211" s="14"/>
      <c r="C211" s="14"/>
      <c r="D211" s="36"/>
      <c r="E211" s="36"/>
      <c r="F211" s="36"/>
      <c r="G211" s="36"/>
      <c r="H211" s="36"/>
      <c r="I211" s="36"/>
      <c r="J211" s="57"/>
      <c r="K211" s="14"/>
      <c r="L211" s="61"/>
      <c r="M211" s="57"/>
      <c r="N211" s="36"/>
      <c r="O211" s="61"/>
      <c r="P211" s="66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 x14ac:dyDescent="0.25">
      <c r="A212" s="14"/>
      <c r="B212" s="14"/>
      <c r="C212" s="14"/>
      <c r="D212" s="36"/>
      <c r="E212" s="36"/>
      <c r="F212" s="36"/>
      <c r="G212" s="36"/>
      <c r="H212" s="36"/>
      <c r="I212" s="36"/>
      <c r="J212" s="57"/>
      <c r="K212" s="14"/>
      <c r="L212" s="61"/>
      <c r="M212" s="57"/>
      <c r="N212" s="36"/>
      <c r="O212" s="61"/>
      <c r="P212" s="66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 x14ac:dyDescent="0.25">
      <c r="A213" s="14"/>
      <c r="B213" s="14"/>
      <c r="C213" s="14"/>
      <c r="D213" s="36"/>
      <c r="E213" s="36"/>
      <c r="F213" s="36"/>
      <c r="G213" s="36"/>
      <c r="H213" s="36"/>
      <c r="I213" s="36"/>
      <c r="J213" s="57"/>
      <c r="K213" s="14"/>
      <c r="L213" s="61"/>
      <c r="M213" s="57"/>
      <c r="N213" s="36"/>
      <c r="O213" s="61"/>
      <c r="P213" s="66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 x14ac:dyDescent="0.25">
      <c r="A214" s="14"/>
      <c r="B214" s="14"/>
      <c r="C214" s="14"/>
      <c r="D214" s="15"/>
      <c r="E214" s="17"/>
      <c r="F214" s="17"/>
      <c r="G214" s="17"/>
      <c r="H214" s="17"/>
      <c r="I214" s="15"/>
      <c r="J214" s="57"/>
      <c r="K214" s="14"/>
      <c r="L214" s="61"/>
      <c r="M214" s="57"/>
      <c r="N214" s="36"/>
      <c r="O214" s="61"/>
      <c r="P214" s="66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 x14ac:dyDescent="0.25">
      <c r="A215" s="14"/>
      <c r="B215" s="14"/>
      <c r="C215" s="14"/>
      <c r="D215" s="36"/>
      <c r="E215" s="36"/>
      <c r="F215" s="36"/>
      <c r="G215" s="36"/>
      <c r="H215" s="36"/>
      <c r="I215" s="36"/>
      <c r="J215" s="57"/>
      <c r="K215" s="14"/>
      <c r="L215" s="61"/>
      <c r="M215" s="57"/>
      <c r="N215" s="36"/>
      <c r="O215" s="61"/>
      <c r="P215" s="66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 x14ac:dyDescent="0.25">
      <c r="A216" s="14"/>
      <c r="B216" s="14"/>
      <c r="C216" s="14"/>
      <c r="D216" s="36"/>
      <c r="E216" s="36"/>
      <c r="F216" s="36"/>
      <c r="G216" s="36"/>
      <c r="H216" s="36"/>
      <c r="I216" s="36"/>
      <c r="J216" s="57"/>
      <c r="K216" s="14"/>
      <c r="L216" s="61"/>
      <c r="M216" s="57"/>
      <c r="N216" s="36"/>
      <c r="O216" s="61"/>
      <c r="P216" s="66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 x14ac:dyDescent="0.25">
      <c r="A217" s="14"/>
      <c r="B217" s="14"/>
      <c r="C217" s="14"/>
      <c r="D217" s="36"/>
      <c r="E217" s="36"/>
      <c r="F217" s="36"/>
      <c r="G217" s="36"/>
      <c r="H217" s="36"/>
      <c r="I217" s="36"/>
      <c r="J217" s="57"/>
      <c r="K217" s="14"/>
      <c r="L217" s="61"/>
      <c r="M217" s="57"/>
      <c r="N217" s="36"/>
      <c r="O217" s="61"/>
      <c r="P217" s="66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 x14ac:dyDescent="0.25">
      <c r="A218" s="14"/>
      <c r="B218" s="14"/>
      <c r="C218" s="14"/>
      <c r="D218" s="36"/>
      <c r="E218" s="36"/>
      <c r="F218" s="36"/>
      <c r="G218" s="36"/>
      <c r="H218" s="36"/>
      <c r="I218" s="36"/>
      <c r="J218" s="57"/>
      <c r="K218" s="14"/>
      <c r="L218" s="61"/>
      <c r="M218" s="57"/>
      <c r="N218" s="36"/>
      <c r="O218" s="61"/>
      <c r="P218" s="66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 x14ac:dyDescent="0.25">
      <c r="A219" s="14"/>
      <c r="B219" s="14"/>
      <c r="C219" s="14"/>
      <c r="D219" s="36"/>
      <c r="E219" s="36"/>
      <c r="F219" s="36"/>
      <c r="G219" s="36"/>
      <c r="H219" s="36"/>
      <c r="I219" s="36"/>
      <c r="J219" s="57"/>
      <c r="K219" s="14"/>
      <c r="L219" s="61"/>
      <c r="M219" s="57"/>
      <c r="N219" s="36"/>
      <c r="O219" s="61"/>
      <c r="P219" s="66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 x14ac:dyDescent="0.25">
      <c r="A220" s="14"/>
      <c r="B220" s="14"/>
      <c r="C220" s="14"/>
      <c r="D220" s="36"/>
      <c r="E220" s="36"/>
      <c r="F220" s="36"/>
      <c r="G220" s="36"/>
      <c r="H220" s="36"/>
      <c r="I220" s="36"/>
      <c r="J220" s="57"/>
      <c r="K220" s="14"/>
      <c r="L220" s="61"/>
      <c r="M220" s="57"/>
      <c r="N220" s="36"/>
      <c r="O220" s="61"/>
      <c r="P220" s="66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 x14ac:dyDescent="0.25">
      <c r="A221" s="14"/>
      <c r="B221" s="14"/>
      <c r="C221" s="14"/>
      <c r="D221" s="36"/>
      <c r="E221" s="36"/>
      <c r="F221" s="36"/>
      <c r="G221" s="36"/>
      <c r="H221" s="36"/>
      <c r="I221" s="36"/>
      <c r="J221" s="57"/>
      <c r="K221" s="14"/>
      <c r="L221" s="61"/>
      <c r="M221" s="57"/>
      <c r="N221" s="36"/>
      <c r="O221" s="61"/>
      <c r="P221" s="66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 x14ac:dyDescent="0.25">
      <c r="A222" s="14"/>
      <c r="B222" s="14"/>
      <c r="C222" s="14"/>
      <c r="D222" s="36"/>
      <c r="E222" s="36"/>
      <c r="F222" s="36"/>
      <c r="G222" s="36"/>
      <c r="H222" s="36"/>
      <c r="I222" s="36"/>
      <c r="J222" s="57"/>
      <c r="K222" s="14"/>
      <c r="L222" s="61"/>
      <c r="M222" s="57"/>
      <c r="N222" s="36"/>
      <c r="O222" s="61"/>
      <c r="P222" s="66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 x14ac:dyDescent="0.25">
      <c r="A223" s="14"/>
      <c r="B223" s="14"/>
      <c r="C223" s="14"/>
      <c r="D223" s="36"/>
      <c r="E223" s="36"/>
      <c r="F223" s="36"/>
      <c r="G223" s="36"/>
      <c r="H223" s="36"/>
      <c r="I223" s="36"/>
      <c r="J223" s="57"/>
      <c r="K223" s="14"/>
      <c r="L223" s="61"/>
      <c r="M223" s="57"/>
      <c r="N223" s="36"/>
      <c r="O223" s="61"/>
      <c r="P223" s="66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 x14ac:dyDescent="0.25">
      <c r="A224" s="14"/>
      <c r="B224" s="14"/>
      <c r="C224" s="14"/>
      <c r="D224" s="36"/>
      <c r="E224" s="36"/>
      <c r="F224" s="36"/>
      <c r="G224" s="36"/>
      <c r="H224" s="36"/>
      <c r="I224" s="36"/>
      <c r="J224" s="57"/>
      <c r="K224" s="14"/>
      <c r="L224" s="61"/>
      <c r="M224" s="57"/>
      <c r="N224" s="36"/>
      <c r="O224" s="61"/>
      <c r="P224" s="66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 x14ac:dyDescent="0.25">
      <c r="A225" s="14"/>
      <c r="B225" s="14"/>
      <c r="C225" s="14"/>
      <c r="D225" s="36"/>
      <c r="E225" s="36"/>
      <c r="F225" s="36"/>
      <c r="G225" s="36"/>
      <c r="H225" s="36"/>
      <c r="I225" s="36"/>
      <c r="J225" s="57"/>
      <c r="K225" s="14"/>
      <c r="L225" s="61"/>
      <c r="M225" s="57"/>
      <c r="N225" s="36"/>
      <c r="O225" s="61"/>
      <c r="P225" s="66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 x14ac:dyDescent="0.25">
      <c r="A226" s="14"/>
      <c r="B226" s="14"/>
      <c r="C226" s="14"/>
      <c r="D226" s="36"/>
      <c r="E226" s="36"/>
      <c r="F226" s="36"/>
      <c r="G226" s="36"/>
      <c r="H226" s="36"/>
      <c r="I226" s="36"/>
      <c r="J226" s="57"/>
      <c r="K226" s="14"/>
      <c r="L226" s="61"/>
      <c r="M226" s="57"/>
      <c r="N226" s="36"/>
      <c r="O226" s="61"/>
      <c r="P226" s="66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 x14ac:dyDescent="0.25">
      <c r="A227" s="14"/>
      <c r="B227" s="14"/>
      <c r="C227" s="14"/>
      <c r="D227" s="36"/>
      <c r="E227" s="36"/>
      <c r="F227" s="36"/>
      <c r="G227" s="36"/>
      <c r="H227" s="36"/>
      <c r="I227" s="36"/>
      <c r="J227" s="57"/>
      <c r="K227" s="14"/>
      <c r="L227" s="61"/>
      <c r="M227" s="57"/>
      <c r="N227" s="36"/>
      <c r="O227" s="61"/>
      <c r="P227" s="66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 x14ac:dyDescent="0.25">
      <c r="A228" s="14"/>
      <c r="B228" s="14"/>
      <c r="C228" s="14"/>
      <c r="D228" s="36"/>
      <c r="E228" s="36"/>
      <c r="F228" s="36"/>
      <c r="G228" s="36"/>
      <c r="H228" s="36"/>
      <c r="I228" s="36"/>
      <c r="J228" s="57"/>
      <c r="K228" s="14"/>
      <c r="L228" s="61"/>
      <c r="M228" s="57"/>
      <c r="N228" s="36"/>
      <c r="O228" s="61"/>
      <c r="P228" s="66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 x14ac:dyDescent="0.25">
      <c r="A229" s="14"/>
      <c r="B229" s="14"/>
      <c r="C229" s="14"/>
      <c r="D229" s="36"/>
      <c r="E229" s="36"/>
      <c r="F229" s="36"/>
      <c r="G229" s="36"/>
      <c r="H229" s="36"/>
      <c r="I229" s="36"/>
      <c r="J229" s="57"/>
      <c r="K229" s="14"/>
      <c r="L229" s="61"/>
      <c r="M229" s="57"/>
      <c r="N229" s="36"/>
      <c r="O229" s="61"/>
      <c r="P229" s="66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 x14ac:dyDescent="0.25">
      <c r="A230" s="14"/>
      <c r="B230" s="14"/>
      <c r="C230" s="14"/>
      <c r="D230" s="63"/>
      <c r="E230" s="63"/>
      <c r="F230" s="63"/>
      <c r="G230" s="63"/>
      <c r="H230" s="63"/>
      <c r="I230" s="63"/>
      <c r="J230" s="93"/>
      <c r="K230" s="14"/>
      <c r="L230" s="78"/>
      <c r="M230" s="57"/>
      <c r="N230" s="63"/>
      <c r="O230" s="78"/>
      <c r="P230" s="30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 x14ac:dyDescent="0.25">
      <c r="A231" s="14"/>
      <c r="B231" s="14"/>
      <c r="C231" s="14"/>
      <c r="D231" s="36"/>
      <c r="E231" s="36"/>
      <c r="F231" s="36"/>
      <c r="G231" s="36"/>
      <c r="H231" s="36"/>
      <c r="I231" s="36"/>
      <c r="J231" s="57"/>
      <c r="K231" s="14"/>
      <c r="L231" s="61"/>
      <c r="M231" s="57"/>
      <c r="N231" s="36"/>
      <c r="O231" s="61"/>
      <c r="P231" s="66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 x14ac:dyDescent="0.25">
      <c r="A232" s="14"/>
      <c r="B232" s="14"/>
      <c r="C232" s="14"/>
      <c r="D232" s="36"/>
      <c r="E232" s="36"/>
      <c r="F232" s="36"/>
      <c r="G232" s="36"/>
      <c r="H232" s="36"/>
      <c r="I232" s="36"/>
      <c r="J232" s="57"/>
      <c r="K232" s="14"/>
      <c r="L232" s="61"/>
      <c r="M232" s="57"/>
      <c r="N232" s="36"/>
      <c r="O232" s="61"/>
      <c r="P232" s="66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 x14ac:dyDescent="0.25">
      <c r="A233" s="14"/>
      <c r="B233" s="14"/>
      <c r="C233" s="14"/>
      <c r="D233" s="36"/>
      <c r="E233" s="36"/>
      <c r="F233" s="36"/>
      <c r="G233" s="36"/>
      <c r="H233" s="36"/>
      <c r="I233" s="36"/>
      <c r="J233" s="57"/>
      <c r="K233" s="14"/>
      <c r="L233" s="61"/>
      <c r="M233" s="57"/>
      <c r="N233" s="36"/>
      <c r="O233" s="61"/>
      <c r="P233" s="66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 x14ac:dyDescent="0.25">
      <c r="A234" s="14"/>
      <c r="B234" s="14"/>
      <c r="C234" s="14"/>
      <c r="D234" s="36"/>
      <c r="E234" s="36"/>
      <c r="F234" s="36"/>
      <c r="G234" s="36"/>
      <c r="H234" s="36"/>
      <c r="I234" s="36"/>
      <c r="J234" s="57"/>
      <c r="K234" s="14"/>
      <c r="L234" s="61"/>
      <c r="M234" s="57"/>
      <c r="N234" s="36"/>
      <c r="O234" s="61"/>
      <c r="P234" s="66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 x14ac:dyDescent="0.25">
      <c r="A235" s="14"/>
      <c r="B235" s="14"/>
      <c r="C235" s="14"/>
      <c r="D235" s="36"/>
      <c r="E235" s="36"/>
      <c r="F235" s="36"/>
      <c r="G235" s="36"/>
      <c r="H235" s="36"/>
      <c r="I235" s="36"/>
      <c r="J235" s="57"/>
      <c r="K235" s="14"/>
      <c r="L235" s="61"/>
      <c r="M235" s="57"/>
      <c r="N235" s="36"/>
      <c r="O235" s="61"/>
      <c r="P235" s="66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 x14ac:dyDescent="0.25">
      <c r="A236" s="14"/>
      <c r="B236" s="14"/>
      <c r="C236" s="14"/>
      <c r="D236" s="36"/>
      <c r="E236" s="36"/>
      <c r="F236" s="36"/>
      <c r="G236" s="36"/>
      <c r="H236" s="36"/>
      <c r="I236" s="36"/>
      <c r="J236" s="57"/>
      <c r="K236" s="14"/>
      <c r="L236" s="61"/>
      <c r="M236" s="57"/>
      <c r="N236" s="36"/>
      <c r="O236" s="61"/>
      <c r="P236" s="66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 x14ac:dyDescent="0.25">
      <c r="A237" s="14"/>
      <c r="B237" s="14"/>
      <c r="C237" s="14"/>
      <c r="D237" s="36"/>
      <c r="E237" s="36"/>
      <c r="F237" s="36"/>
      <c r="G237" s="36"/>
      <c r="H237" s="36"/>
      <c r="I237" s="36"/>
      <c r="J237" s="57"/>
      <c r="K237" s="14"/>
      <c r="L237" s="61"/>
      <c r="M237" s="57"/>
      <c r="N237" s="36"/>
      <c r="O237" s="61"/>
      <c r="P237" s="66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 x14ac:dyDescent="0.25">
      <c r="A238" s="14"/>
      <c r="B238" s="14"/>
      <c r="C238" s="14"/>
      <c r="D238" s="36"/>
      <c r="E238" s="36"/>
      <c r="F238" s="36"/>
      <c r="G238" s="36"/>
      <c r="H238" s="36"/>
      <c r="I238" s="36"/>
      <c r="J238" s="57"/>
      <c r="K238" s="14"/>
      <c r="L238" s="61"/>
      <c r="M238" s="57"/>
      <c r="N238" s="36"/>
      <c r="O238" s="61"/>
      <c r="P238" s="66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 x14ac:dyDescent="0.25">
      <c r="A239" s="14"/>
      <c r="B239" s="14"/>
      <c r="C239" s="14"/>
      <c r="D239" s="36"/>
      <c r="E239" s="36"/>
      <c r="F239" s="36"/>
      <c r="G239" s="36"/>
      <c r="H239" s="36"/>
      <c r="I239" s="36"/>
      <c r="J239" s="57"/>
      <c r="K239" s="14"/>
      <c r="L239" s="61"/>
      <c r="M239" s="57"/>
      <c r="N239" s="36"/>
      <c r="O239" s="61"/>
      <c r="P239" s="66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 x14ac:dyDescent="0.25">
      <c r="A240" s="14"/>
      <c r="B240" s="14"/>
      <c r="C240" s="14"/>
      <c r="D240" s="36"/>
      <c r="E240" s="36"/>
      <c r="F240" s="36"/>
      <c r="G240" s="36"/>
      <c r="H240" s="36"/>
      <c r="I240" s="36"/>
      <c r="J240" s="57"/>
      <c r="K240" s="14"/>
      <c r="L240" s="61"/>
      <c r="M240" s="57"/>
      <c r="N240" s="36"/>
      <c r="O240" s="61"/>
      <c r="P240" s="66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 x14ac:dyDescent="0.25">
      <c r="A241" s="14"/>
      <c r="B241" s="14"/>
      <c r="C241" s="14"/>
      <c r="D241" s="36"/>
      <c r="E241" s="36"/>
      <c r="F241" s="36"/>
      <c r="G241" s="36"/>
      <c r="H241" s="36"/>
      <c r="I241" s="36"/>
      <c r="J241" s="57"/>
      <c r="K241" s="14"/>
      <c r="L241" s="61"/>
      <c r="M241" s="57"/>
      <c r="N241" s="36"/>
      <c r="O241" s="61"/>
      <c r="P241" s="66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 x14ac:dyDescent="0.25">
      <c r="A242" s="14"/>
      <c r="B242" s="14"/>
      <c r="C242" s="14"/>
      <c r="D242" s="36"/>
      <c r="E242" s="36"/>
      <c r="F242" s="36"/>
      <c r="G242" s="36"/>
      <c r="H242" s="36"/>
      <c r="I242" s="36"/>
      <c r="J242" s="57"/>
      <c r="K242" s="14"/>
      <c r="L242" s="61"/>
      <c r="M242" s="57"/>
      <c r="N242" s="36"/>
      <c r="O242" s="61"/>
      <c r="P242" s="66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 x14ac:dyDescent="0.25">
      <c r="A243" s="14"/>
      <c r="B243" s="14"/>
      <c r="C243" s="14"/>
      <c r="D243" s="36"/>
      <c r="E243" s="36"/>
      <c r="F243" s="36"/>
      <c r="G243" s="36"/>
      <c r="H243" s="36"/>
      <c r="I243" s="36"/>
      <c r="J243" s="57"/>
      <c r="K243" s="14"/>
      <c r="L243" s="61"/>
      <c r="M243" s="57"/>
      <c r="N243" s="36"/>
      <c r="O243" s="61"/>
      <c r="P243" s="66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 x14ac:dyDescent="0.25">
      <c r="A244" s="14"/>
      <c r="B244" s="14"/>
      <c r="C244" s="14"/>
      <c r="D244" s="36"/>
      <c r="E244" s="36"/>
      <c r="F244" s="36"/>
      <c r="G244" s="36"/>
      <c r="H244" s="36"/>
      <c r="I244" s="36"/>
      <c r="J244" s="57"/>
      <c r="K244" s="14"/>
      <c r="L244" s="61"/>
      <c r="M244" s="57"/>
      <c r="N244" s="36"/>
      <c r="O244" s="61"/>
      <c r="P244" s="66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 x14ac:dyDescent="0.25">
      <c r="A245" s="14"/>
      <c r="B245" s="14"/>
      <c r="C245" s="14"/>
      <c r="D245" s="36"/>
      <c r="E245" s="36"/>
      <c r="F245" s="36"/>
      <c r="G245" s="36"/>
      <c r="H245" s="36"/>
      <c r="I245" s="36"/>
      <c r="J245" s="57"/>
      <c r="K245" s="14"/>
      <c r="L245" s="61"/>
      <c r="M245" s="57"/>
      <c r="N245" s="36"/>
      <c r="O245" s="61"/>
      <c r="P245" s="66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 x14ac:dyDescent="0.25">
      <c r="A246" s="14"/>
      <c r="B246" s="14"/>
      <c r="C246" s="14"/>
      <c r="D246" s="36"/>
      <c r="E246" s="36"/>
      <c r="F246" s="36"/>
      <c r="G246" s="36"/>
      <c r="H246" s="36"/>
      <c r="I246" s="36"/>
      <c r="J246" s="57"/>
      <c r="K246" s="14"/>
      <c r="L246" s="61"/>
      <c r="M246" s="57"/>
      <c r="N246" s="36"/>
      <c r="O246" s="61"/>
      <c r="P246" s="66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 x14ac:dyDescent="0.25">
      <c r="A247" s="14"/>
      <c r="B247" s="14"/>
      <c r="C247" s="14"/>
      <c r="D247" s="36"/>
      <c r="E247" s="36"/>
      <c r="F247" s="36"/>
      <c r="G247" s="36"/>
      <c r="H247" s="36"/>
      <c r="I247" s="36"/>
      <c r="J247" s="57"/>
      <c r="K247" s="14"/>
      <c r="L247" s="61"/>
      <c r="M247" s="57"/>
      <c r="N247" s="36"/>
      <c r="O247" s="61"/>
      <c r="P247" s="66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 x14ac:dyDescent="0.25">
      <c r="A248" s="14"/>
      <c r="B248" s="14"/>
      <c r="C248" s="14"/>
      <c r="D248" s="14"/>
      <c r="E248" s="25"/>
      <c r="F248" s="25"/>
      <c r="G248" s="14"/>
      <c r="H248" s="14"/>
      <c r="I248" s="14"/>
      <c r="J248" s="14"/>
      <c r="K248" s="14"/>
      <c r="L248" s="7"/>
      <c r="M248" s="14"/>
      <c r="N248" s="14"/>
      <c r="O248" s="7"/>
      <c r="P248" s="21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 x14ac:dyDescent="0.25">
      <c r="A249" s="14"/>
      <c r="B249" s="14"/>
      <c r="C249" s="14"/>
      <c r="D249" s="14"/>
      <c r="E249" s="25"/>
      <c r="F249" s="25"/>
      <c r="G249" s="14"/>
      <c r="H249" s="14"/>
      <c r="I249" s="14"/>
      <c r="J249" s="14"/>
      <c r="K249" s="14"/>
      <c r="L249" s="7"/>
      <c r="M249" s="14"/>
      <c r="N249" s="14"/>
      <c r="O249" s="7"/>
      <c r="P249" s="21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 x14ac:dyDescent="0.25">
      <c r="A250" s="14"/>
      <c r="B250" s="14"/>
      <c r="C250" s="14"/>
      <c r="D250" s="14"/>
      <c r="E250" s="25"/>
      <c r="F250" s="25"/>
      <c r="G250" s="14"/>
      <c r="H250" s="14"/>
      <c r="I250" s="14"/>
      <c r="J250" s="14"/>
      <c r="K250" s="14"/>
      <c r="L250" s="7"/>
      <c r="M250" s="14"/>
      <c r="N250" s="14"/>
      <c r="O250" s="7"/>
      <c r="P250" s="21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 x14ac:dyDescent="0.25">
      <c r="A251" s="14"/>
      <c r="B251" s="14"/>
      <c r="C251" s="14"/>
      <c r="D251" s="14"/>
      <c r="E251" s="25"/>
      <c r="F251" s="25"/>
      <c r="G251" s="14"/>
      <c r="H251" s="14"/>
      <c r="I251" s="14"/>
      <c r="J251" s="14"/>
      <c r="K251" s="14"/>
      <c r="L251" s="7"/>
      <c r="M251" s="14"/>
      <c r="N251" s="14"/>
      <c r="O251" s="7"/>
      <c r="P251" s="21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 x14ac:dyDescent="0.25">
      <c r="A252" s="14"/>
      <c r="B252" s="14"/>
      <c r="C252" s="14"/>
      <c r="D252" s="14"/>
      <c r="E252" s="25"/>
      <c r="F252" s="25"/>
      <c r="G252" s="14"/>
      <c r="H252" s="14"/>
      <c r="I252" s="14"/>
      <c r="J252" s="14"/>
      <c r="K252" s="14"/>
      <c r="L252" s="7"/>
      <c r="M252" s="14"/>
      <c r="N252" s="14"/>
      <c r="O252" s="7"/>
      <c r="P252" s="21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 x14ac:dyDescent="0.25">
      <c r="A253" s="14"/>
      <c r="B253" s="14"/>
      <c r="C253" s="14"/>
      <c r="D253" s="14"/>
      <c r="E253" s="25"/>
      <c r="F253" s="25"/>
      <c r="G253" s="14"/>
      <c r="H253" s="14"/>
      <c r="I253" s="14"/>
      <c r="J253" s="14"/>
      <c r="K253" s="14"/>
      <c r="L253" s="7"/>
      <c r="M253" s="14"/>
      <c r="N253" s="14"/>
      <c r="O253" s="7"/>
      <c r="P253" s="21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 x14ac:dyDescent="0.25">
      <c r="A254" s="14"/>
      <c r="B254" s="14"/>
      <c r="C254" s="14"/>
      <c r="D254" s="14"/>
      <c r="E254" s="25"/>
      <c r="F254" s="25"/>
      <c r="G254" s="14"/>
      <c r="H254" s="14"/>
      <c r="I254" s="14"/>
      <c r="J254" s="14"/>
      <c r="K254" s="14"/>
      <c r="L254" s="7"/>
      <c r="M254" s="14"/>
      <c r="N254" s="14"/>
      <c r="O254" s="7"/>
      <c r="P254" s="21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 x14ac:dyDescent="0.25">
      <c r="A255" s="14"/>
      <c r="B255" s="14"/>
      <c r="C255" s="14"/>
      <c r="D255" s="14"/>
      <c r="E255" s="25"/>
      <c r="F255" s="25"/>
      <c r="G255" s="14"/>
      <c r="H255" s="14"/>
      <c r="I255" s="14"/>
      <c r="J255" s="14"/>
      <c r="K255" s="14"/>
      <c r="L255" s="7"/>
      <c r="M255" s="14"/>
      <c r="N255" s="14"/>
      <c r="O255" s="7"/>
      <c r="P255" s="21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 x14ac:dyDescent="0.25">
      <c r="A256" s="14"/>
      <c r="B256" s="14"/>
      <c r="C256" s="14"/>
      <c r="D256" s="14"/>
      <c r="E256" s="25"/>
      <c r="F256" s="25"/>
      <c r="G256" s="14"/>
      <c r="H256" s="14"/>
      <c r="I256" s="14"/>
      <c r="J256" s="14"/>
      <c r="K256" s="14"/>
      <c r="L256" s="7"/>
      <c r="M256" s="14"/>
      <c r="N256" s="14"/>
      <c r="O256" s="7"/>
      <c r="P256" s="21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 x14ac:dyDescent="0.25">
      <c r="A257" s="14"/>
      <c r="B257" s="14"/>
      <c r="C257" s="14"/>
      <c r="D257" s="14"/>
      <c r="E257" s="25"/>
      <c r="F257" s="25"/>
      <c r="G257" s="14"/>
      <c r="H257" s="14"/>
      <c r="I257" s="14"/>
      <c r="J257" s="14"/>
      <c r="K257" s="14"/>
      <c r="L257" s="7"/>
      <c r="M257" s="14"/>
      <c r="N257" s="14"/>
      <c r="O257" s="7"/>
      <c r="P257" s="21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 x14ac:dyDescent="0.25">
      <c r="A258" s="14"/>
      <c r="B258" s="14"/>
      <c r="C258" s="14"/>
      <c r="D258" s="14"/>
      <c r="E258" s="25"/>
      <c r="F258" s="25"/>
      <c r="G258" s="14"/>
      <c r="H258" s="14"/>
      <c r="I258" s="14"/>
      <c r="J258" s="14"/>
      <c r="K258" s="14"/>
      <c r="L258" s="7"/>
      <c r="M258" s="14"/>
      <c r="N258" s="14"/>
      <c r="O258" s="7"/>
      <c r="P258" s="21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 x14ac:dyDescent="0.25">
      <c r="A259" s="14"/>
      <c r="B259" s="14"/>
      <c r="C259" s="14"/>
      <c r="D259" s="14"/>
      <c r="E259" s="25"/>
      <c r="F259" s="25"/>
      <c r="G259" s="14"/>
      <c r="H259" s="14"/>
      <c r="I259" s="14"/>
      <c r="J259" s="14"/>
      <c r="K259" s="14"/>
      <c r="L259" s="7"/>
      <c r="M259" s="14"/>
      <c r="N259" s="14"/>
      <c r="O259" s="7"/>
      <c r="P259" s="21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 x14ac:dyDescent="0.25">
      <c r="A260" s="14"/>
      <c r="B260" s="14"/>
      <c r="C260" s="14"/>
      <c r="D260" s="14"/>
      <c r="E260" s="25"/>
      <c r="F260" s="25"/>
      <c r="G260" s="14"/>
      <c r="H260" s="14"/>
      <c r="I260" s="14"/>
      <c r="J260" s="14"/>
      <c r="K260" s="14"/>
      <c r="L260" s="7"/>
      <c r="M260" s="14"/>
      <c r="N260" s="14"/>
      <c r="O260" s="7"/>
      <c r="P260" s="21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 x14ac:dyDescent="0.25">
      <c r="A261" s="14"/>
      <c r="B261" s="14"/>
      <c r="C261" s="14"/>
      <c r="D261" s="14"/>
      <c r="E261" s="25"/>
      <c r="F261" s="25"/>
      <c r="G261" s="14"/>
      <c r="H261" s="14"/>
      <c r="I261" s="14"/>
      <c r="J261" s="14"/>
      <c r="K261" s="14"/>
      <c r="L261" s="7"/>
      <c r="M261" s="14"/>
      <c r="N261" s="14"/>
      <c r="O261" s="7"/>
      <c r="P261" s="21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 x14ac:dyDescent="0.25">
      <c r="A262" s="14"/>
      <c r="B262" s="14"/>
      <c r="C262" s="14"/>
      <c r="D262" s="14"/>
      <c r="E262" s="25"/>
      <c r="F262" s="25"/>
      <c r="G262" s="14"/>
      <c r="H262" s="14"/>
      <c r="I262" s="14"/>
      <c r="J262" s="14"/>
      <c r="K262" s="14"/>
      <c r="L262" s="7"/>
      <c r="M262" s="14"/>
      <c r="N262" s="14"/>
      <c r="O262" s="7"/>
      <c r="P262" s="21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 x14ac:dyDescent="0.25">
      <c r="A263" s="14"/>
      <c r="B263" s="14"/>
      <c r="C263" s="14"/>
      <c r="D263" s="14"/>
      <c r="E263" s="25"/>
      <c r="F263" s="25"/>
      <c r="G263" s="14"/>
      <c r="H263" s="14"/>
      <c r="I263" s="14"/>
      <c r="J263" s="14"/>
      <c r="K263" s="14"/>
      <c r="L263" s="7"/>
      <c r="M263" s="14"/>
      <c r="N263" s="14"/>
      <c r="O263" s="7"/>
      <c r="P263" s="21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 x14ac:dyDescent="0.25">
      <c r="A264" s="14"/>
      <c r="B264" s="14"/>
      <c r="C264" s="14"/>
      <c r="D264" s="14"/>
      <c r="E264" s="25"/>
      <c r="F264" s="25"/>
      <c r="G264" s="14"/>
      <c r="H264" s="14"/>
      <c r="I264" s="14"/>
      <c r="J264" s="14"/>
      <c r="K264" s="14"/>
      <c r="L264" s="7"/>
      <c r="M264" s="14"/>
      <c r="N264" s="14"/>
      <c r="O264" s="7"/>
      <c r="P264" s="21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 x14ac:dyDescent="0.25">
      <c r="A265" s="14"/>
      <c r="B265" s="14"/>
      <c r="C265" s="14"/>
      <c r="D265" s="14"/>
      <c r="E265" s="25"/>
      <c r="F265" s="25"/>
      <c r="G265" s="14"/>
      <c r="H265" s="14"/>
      <c r="I265" s="14"/>
      <c r="J265" s="14"/>
      <c r="K265" s="14"/>
      <c r="L265" s="7"/>
      <c r="M265" s="14"/>
      <c r="N265" s="14"/>
      <c r="O265" s="7"/>
      <c r="P265" s="21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 x14ac:dyDescent="0.25">
      <c r="A266" s="14"/>
      <c r="B266" s="14"/>
      <c r="C266" s="14"/>
      <c r="D266" s="14"/>
      <c r="E266" s="25"/>
      <c r="F266" s="25"/>
      <c r="G266" s="14"/>
      <c r="H266" s="14"/>
      <c r="I266" s="14"/>
      <c r="J266" s="14"/>
      <c r="K266" s="14"/>
      <c r="L266" s="7"/>
      <c r="M266" s="14"/>
      <c r="N266" s="14"/>
      <c r="O266" s="7"/>
      <c r="P266" s="21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 x14ac:dyDescent="0.25">
      <c r="A267" s="14"/>
      <c r="B267" s="14"/>
      <c r="C267" s="14"/>
      <c r="D267" s="14"/>
      <c r="E267" s="25"/>
      <c r="F267" s="25"/>
      <c r="G267" s="14"/>
      <c r="H267" s="14"/>
      <c r="I267" s="14"/>
      <c r="J267" s="14"/>
      <c r="K267" s="14"/>
      <c r="L267" s="7"/>
      <c r="M267" s="14"/>
      <c r="N267" s="14"/>
      <c r="O267" s="7"/>
      <c r="P267" s="21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 x14ac:dyDescent="0.25">
      <c r="A268" s="14"/>
      <c r="B268" s="14"/>
      <c r="C268" s="14"/>
      <c r="D268" s="14"/>
      <c r="E268" s="25"/>
      <c r="F268" s="25"/>
      <c r="G268" s="14"/>
      <c r="H268" s="14"/>
      <c r="I268" s="14"/>
      <c r="J268" s="14"/>
      <c r="K268" s="14"/>
      <c r="L268" s="7"/>
      <c r="M268" s="14"/>
      <c r="N268" s="14"/>
      <c r="O268" s="7"/>
      <c r="P268" s="21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 x14ac:dyDescent="0.25">
      <c r="A269" s="14"/>
      <c r="B269" s="14"/>
      <c r="C269" s="14"/>
      <c r="D269" s="14"/>
      <c r="E269" s="25"/>
      <c r="F269" s="25"/>
      <c r="G269" s="14"/>
      <c r="H269" s="14"/>
      <c r="I269" s="14"/>
      <c r="J269" s="14"/>
      <c r="K269" s="14"/>
      <c r="L269" s="7"/>
      <c r="M269" s="14"/>
      <c r="N269" s="14"/>
      <c r="O269" s="7"/>
      <c r="P269" s="21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 x14ac:dyDescent="0.25">
      <c r="A270" s="14"/>
      <c r="B270" s="14"/>
      <c r="C270" s="14"/>
      <c r="D270" s="14"/>
      <c r="E270" s="25"/>
      <c r="F270" s="25"/>
      <c r="G270" s="14"/>
      <c r="H270" s="14"/>
      <c r="I270" s="14"/>
      <c r="J270" s="14"/>
      <c r="K270" s="14"/>
      <c r="L270" s="7"/>
      <c r="M270" s="14"/>
      <c r="N270" s="14"/>
      <c r="O270" s="7"/>
      <c r="P270" s="21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 x14ac:dyDescent="0.25">
      <c r="A271" s="14"/>
      <c r="B271" s="14"/>
      <c r="C271" s="14"/>
      <c r="D271" s="14"/>
      <c r="E271" s="25"/>
      <c r="F271" s="25"/>
      <c r="G271" s="14"/>
      <c r="H271" s="14"/>
      <c r="I271" s="14"/>
      <c r="J271" s="14"/>
      <c r="K271" s="14"/>
      <c r="L271" s="7"/>
      <c r="M271" s="14"/>
      <c r="N271" s="14"/>
      <c r="O271" s="7"/>
      <c r="P271" s="21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 x14ac:dyDescent="0.25">
      <c r="A272" s="14"/>
      <c r="B272" s="14"/>
      <c r="C272" s="14"/>
      <c r="D272" s="14"/>
      <c r="E272" s="25"/>
      <c r="F272" s="25"/>
      <c r="G272" s="14"/>
      <c r="H272" s="14"/>
      <c r="I272" s="14"/>
      <c r="J272" s="14"/>
      <c r="K272" s="14"/>
      <c r="L272" s="7"/>
      <c r="M272" s="14"/>
      <c r="N272" s="14"/>
      <c r="O272" s="7"/>
      <c r="P272" s="21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 x14ac:dyDescent="0.25">
      <c r="A273" s="14"/>
      <c r="B273" s="14"/>
      <c r="C273" s="14"/>
      <c r="D273" s="14"/>
      <c r="E273" s="25"/>
      <c r="F273" s="25"/>
      <c r="G273" s="14"/>
      <c r="H273" s="14"/>
      <c r="I273" s="14"/>
      <c r="J273" s="14"/>
      <c r="K273" s="14"/>
      <c r="L273" s="7"/>
      <c r="M273" s="14"/>
      <c r="N273" s="14"/>
      <c r="O273" s="7"/>
      <c r="P273" s="21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 x14ac:dyDescent="0.25">
      <c r="A274" s="14"/>
      <c r="B274" s="14"/>
      <c r="C274" s="14"/>
      <c r="D274" s="14"/>
      <c r="E274" s="25"/>
      <c r="F274" s="25"/>
      <c r="G274" s="14"/>
      <c r="H274" s="14"/>
      <c r="I274" s="14"/>
      <c r="J274" s="14"/>
      <c r="K274" s="14"/>
      <c r="L274" s="7"/>
      <c r="M274" s="14"/>
      <c r="N274" s="14"/>
      <c r="O274" s="7"/>
      <c r="P274" s="21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 x14ac:dyDescent="0.25">
      <c r="A275" s="14"/>
      <c r="B275" s="14"/>
      <c r="C275" s="14"/>
      <c r="D275" s="14"/>
      <c r="E275" s="25"/>
      <c r="F275" s="25"/>
      <c r="G275" s="14"/>
      <c r="H275" s="14"/>
      <c r="I275" s="14"/>
      <c r="J275" s="14"/>
      <c r="K275" s="14"/>
      <c r="L275" s="7"/>
      <c r="M275" s="14"/>
      <c r="N275" s="14"/>
      <c r="O275" s="7"/>
      <c r="P275" s="21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 x14ac:dyDescent="0.25">
      <c r="A276" s="14"/>
      <c r="B276" s="14"/>
      <c r="C276" s="14"/>
      <c r="D276" s="14"/>
      <c r="E276" s="25"/>
      <c r="F276" s="25"/>
      <c r="G276" s="14"/>
      <c r="H276" s="14"/>
      <c r="I276" s="14"/>
      <c r="J276" s="14"/>
      <c r="K276" s="14"/>
      <c r="L276" s="7"/>
      <c r="M276" s="14"/>
      <c r="N276" s="14"/>
      <c r="O276" s="7"/>
      <c r="P276" s="21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 x14ac:dyDescent="0.25">
      <c r="A277" s="14"/>
      <c r="B277" s="14"/>
      <c r="C277" s="14"/>
      <c r="D277" s="14"/>
      <c r="E277" s="25"/>
      <c r="F277" s="25"/>
      <c r="G277" s="14"/>
      <c r="H277" s="14"/>
      <c r="I277" s="14"/>
      <c r="J277" s="14"/>
      <c r="K277" s="14"/>
      <c r="L277" s="7"/>
      <c r="M277" s="14"/>
      <c r="N277" s="14"/>
      <c r="O277" s="7"/>
      <c r="P277" s="21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 x14ac:dyDescent="0.25">
      <c r="A278" s="14"/>
      <c r="B278" s="14"/>
      <c r="C278" s="14"/>
      <c r="D278" s="14"/>
      <c r="E278" s="25"/>
      <c r="F278" s="25"/>
      <c r="G278" s="14"/>
      <c r="H278" s="14"/>
      <c r="I278" s="14"/>
      <c r="J278" s="14"/>
      <c r="K278" s="14"/>
      <c r="L278" s="7"/>
      <c r="M278" s="14"/>
      <c r="N278" s="14"/>
      <c r="O278" s="7"/>
      <c r="P278" s="21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 x14ac:dyDescent="0.25">
      <c r="A279" s="14"/>
      <c r="B279" s="14"/>
      <c r="C279" s="14"/>
      <c r="D279" s="14"/>
      <c r="E279" s="25"/>
      <c r="F279" s="25"/>
      <c r="G279" s="14"/>
      <c r="H279" s="14"/>
      <c r="I279" s="14"/>
      <c r="J279" s="14"/>
      <c r="K279" s="14"/>
      <c r="L279" s="7"/>
      <c r="M279" s="14"/>
      <c r="N279" s="14"/>
      <c r="O279" s="7"/>
      <c r="P279" s="21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 x14ac:dyDescent="0.25">
      <c r="A280" s="14"/>
      <c r="B280" s="14"/>
      <c r="C280" s="14"/>
      <c r="D280" s="14"/>
      <c r="E280" s="25"/>
      <c r="F280" s="25"/>
      <c r="G280" s="14"/>
      <c r="H280" s="14"/>
      <c r="I280" s="14"/>
      <c r="J280" s="14"/>
      <c r="K280" s="14"/>
      <c r="L280" s="7"/>
      <c r="M280" s="14"/>
      <c r="N280" s="14"/>
      <c r="O280" s="7"/>
      <c r="P280" s="21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 x14ac:dyDescent="0.25">
      <c r="A281" s="14"/>
      <c r="B281" s="14"/>
      <c r="C281" s="14"/>
      <c r="D281" s="14"/>
      <c r="E281" s="25"/>
      <c r="F281" s="25"/>
      <c r="G281" s="14"/>
      <c r="H281" s="14"/>
      <c r="I281" s="14"/>
      <c r="J281" s="14"/>
      <c r="K281" s="14"/>
      <c r="L281" s="7"/>
      <c r="M281" s="14"/>
      <c r="N281" s="14"/>
      <c r="O281" s="7"/>
      <c r="P281" s="21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 x14ac:dyDescent="0.25">
      <c r="A282" s="14"/>
      <c r="B282" s="14"/>
      <c r="C282" s="14"/>
      <c r="D282" s="14"/>
      <c r="E282" s="25"/>
      <c r="F282" s="25"/>
      <c r="G282" s="14"/>
      <c r="H282" s="14"/>
      <c r="I282" s="14"/>
      <c r="J282" s="14"/>
      <c r="K282" s="14"/>
      <c r="L282" s="7"/>
      <c r="M282" s="14"/>
      <c r="N282" s="14"/>
      <c r="O282" s="7"/>
      <c r="P282" s="21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 x14ac:dyDescent="0.25">
      <c r="A283" s="14"/>
      <c r="B283" s="14"/>
      <c r="C283" s="14"/>
      <c r="D283" s="14"/>
      <c r="E283" s="25"/>
      <c r="F283" s="25"/>
      <c r="G283" s="14"/>
      <c r="H283" s="14"/>
      <c r="I283" s="14"/>
      <c r="J283" s="14"/>
      <c r="K283" s="14"/>
      <c r="L283" s="7"/>
      <c r="M283" s="14"/>
      <c r="N283" s="14"/>
      <c r="O283" s="7"/>
      <c r="P283" s="21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 x14ac:dyDescent="0.25">
      <c r="A284" s="14"/>
      <c r="B284" s="14"/>
      <c r="C284" s="14"/>
      <c r="D284" s="14"/>
      <c r="E284" s="25"/>
      <c r="F284" s="25"/>
      <c r="G284" s="14"/>
      <c r="H284" s="14"/>
      <c r="I284" s="14"/>
      <c r="J284" s="14"/>
      <c r="K284" s="14"/>
      <c r="L284" s="7"/>
      <c r="M284" s="14"/>
      <c r="N284" s="14"/>
      <c r="O284" s="7"/>
      <c r="P284" s="21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 x14ac:dyDescent="0.25">
      <c r="A285" s="14"/>
      <c r="B285" s="14"/>
      <c r="C285" s="14"/>
      <c r="D285" s="14"/>
      <c r="E285" s="25"/>
      <c r="F285" s="25"/>
      <c r="G285" s="14"/>
      <c r="H285" s="14"/>
      <c r="I285" s="14"/>
      <c r="J285" s="14"/>
      <c r="K285" s="14"/>
      <c r="L285" s="7"/>
      <c r="M285" s="14"/>
      <c r="N285" s="14"/>
      <c r="O285" s="7"/>
      <c r="P285" s="21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 x14ac:dyDescent="0.25">
      <c r="A286" s="14"/>
      <c r="B286" s="14"/>
      <c r="C286" s="14"/>
      <c r="D286" s="14"/>
      <c r="E286" s="25"/>
      <c r="F286" s="25"/>
      <c r="G286" s="14"/>
      <c r="H286" s="14"/>
      <c r="I286" s="14"/>
      <c r="J286" s="14"/>
      <c r="K286" s="14"/>
      <c r="L286" s="7"/>
      <c r="M286" s="14"/>
      <c r="N286" s="14"/>
      <c r="O286" s="7"/>
      <c r="P286" s="21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 x14ac:dyDescent="0.25">
      <c r="A287" s="14"/>
      <c r="B287" s="14"/>
      <c r="C287" s="14"/>
      <c r="D287" s="14"/>
      <c r="E287" s="25"/>
      <c r="F287" s="25"/>
      <c r="G287" s="14"/>
      <c r="H287" s="14"/>
      <c r="I287" s="14"/>
      <c r="J287" s="14"/>
      <c r="K287" s="14"/>
      <c r="L287" s="7"/>
      <c r="M287" s="14"/>
      <c r="N287" s="14"/>
      <c r="O287" s="7"/>
      <c r="P287" s="21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 x14ac:dyDescent="0.25">
      <c r="A288" s="14"/>
      <c r="B288" s="14"/>
      <c r="C288" s="14"/>
      <c r="D288" s="14"/>
      <c r="E288" s="25"/>
      <c r="F288" s="25"/>
      <c r="G288" s="14"/>
      <c r="H288" s="14"/>
      <c r="I288" s="14"/>
      <c r="J288" s="14"/>
      <c r="K288" s="14"/>
      <c r="L288" s="7"/>
      <c r="M288" s="14"/>
      <c r="N288" s="14"/>
      <c r="O288" s="7"/>
      <c r="P288" s="21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 x14ac:dyDescent="0.25">
      <c r="A289" s="14"/>
      <c r="B289" s="14"/>
      <c r="C289" s="14"/>
      <c r="D289" s="14"/>
      <c r="E289" s="25"/>
      <c r="F289" s="25"/>
      <c r="G289" s="14"/>
      <c r="H289" s="14"/>
      <c r="I289" s="14"/>
      <c r="J289" s="14"/>
      <c r="K289" s="14"/>
      <c r="L289" s="7"/>
      <c r="M289" s="14"/>
      <c r="N289" s="14"/>
      <c r="O289" s="7"/>
      <c r="P289" s="21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 x14ac:dyDescent="0.25">
      <c r="A290" s="14"/>
      <c r="B290" s="14"/>
      <c r="C290" s="14"/>
      <c r="D290" s="14"/>
      <c r="E290" s="25"/>
      <c r="F290" s="25"/>
      <c r="G290" s="14"/>
      <c r="H290" s="14"/>
      <c r="I290" s="14"/>
      <c r="J290" s="14"/>
      <c r="K290" s="14"/>
      <c r="L290" s="7"/>
      <c r="M290" s="14"/>
      <c r="N290" s="14"/>
      <c r="O290" s="7"/>
      <c r="P290" s="21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 x14ac:dyDescent="0.25">
      <c r="A291" s="14"/>
      <c r="B291" s="14"/>
      <c r="C291" s="14"/>
      <c r="D291" s="14"/>
      <c r="E291" s="25"/>
      <c r="F291" s="25"/>
      <c r="G291" s="14"/>
      <c r="H291" s="14"/>
      <c r="I291" s="14"/>
      <c r="J291" s="14"/>
      <c r="K291" s="14"/>
      <c r="L291" s="7"/>
      <c r="M291" s="14"/>
      <c r="N291" s="14"/>
      <c r="O291" s="7"/>
      <c r="P291" s="21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 x14ac:dyDescent="0.25">
      <c r="A292" s="14"/>
      <c r="B292" s="14"/>
      <c r="C292" s="14"/>
      <c r="D292" s="14"/>
      <c r="E292" s="25"/>
      <c r="F292" s="25"/>
      <c r="G292" s="14"/>
      <c r="H292" s="14"/>
      <c r="I292" s="14"/>
      <c r="J292" s="14"/>
      <c r="K292" s="14"/>
      <c r="L292" s="7"/>
      <c r="M292" s="14"/>
      <c r="N292" s="14"/>
      <c r="O292" s="7"/>
      <c r="P292" s="21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 x14ac:dyDescent="0.25">
      <c r="A293" s="14"/>
      <c r="B293" s="14"/>
      <c r="C293" s="14"/>
      <c r="D293" s="14"/>
      <c r="E293" s="25"/>
      <c r="F293" s="25"/>
      <c r="G293" s="14"/>
      <c r="H293" s="14"/>
      <c r="I293" s="14"/>
      <c r="J293" s="14"/>
      <c r="K293" s="14"/>
      <c r="L293" s="7"/>
      <c r="M293" s="14"/>
      <c r="N293" s="14"/>
      <c r="O293" s="7"/>
      <c r="P293" s="21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 x14ac:dyDescent="0.25">
      <c r="A294" s="14"/>
      <c r="B294" s="14"/>
      <c r="C294" s="14"/>
      <c r="D294" s="14"/>
      <c r="E294" s="25"/>
      <c r="F294" s="25"/>
      <c r="G294" s="14"/>
      <c r="H294" s="14"/>
      <c r="I294" s="14"/>
      <c r="J294" s="14"/>
      <c r="K294" s="14"/>
      <c r="L294" s="7"/>
      <c r="M294" s="14"/>
      <c r="N294" s="14"/>
      <c r="O294" s="7"/>
      <c r="P294" s="21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 x14ac:dyDescent="0.25">
      <c r="A295" s="14"/>
      <c r="B295" s="14"/>
      <c r="C295" s="14"/>
      <c r="D295" s="14"/>
      <c r="E295" s="25"/>
      <c r="F295" s="25"/>
      <c r="G295" s="14"/>
      <c r="H295" s="14"/>
      <c r="I295" s="14"/>
      <c r="J295" s="14"/>
      <c r="K295" s="14"/>
      <c r="L295" s="7"/>
      <c r="M295" s="14"/>
      <c r="N295" s="14"/>
      <c r="O295" s="7"/>
      <c r="P295" s="21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 x14ac:dyDescent="0.25">
      <c r="A296" s="14"/>
      <c r="B296" s="14"/>
      <c r="C296" s="14"/>
      <c r="D296" s="14"/>
      <c r="E296" s="25"/>
      <c r="F296" s="25"/>
      <c r="G296" s="14"/>
      <c r="H296" s="14"/>
      <c r="I296" s="14"/>
      <c r="J296" s="14"/>
      <c r="K296" s="14"/>
      <c r="L296" s="7"/>
      <c r="M296" s="14"/>
      <c r="N296" s="14"/>
      <c r="O296" s="7"/>
      <c r="P296" s="21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 x14ac:dyDescent="0.25">
      <c r="A297" s="14"/>
      <c r="B297" s="14"/>
      <c r="C297" s="14"/>
      <c r="D297" s="14"/>
      <c r="E297" s="25"/>
      <c r="F297" s="25"/>
      <c r="G297" s="14"/>
      <c r="H297" s="14"/>
      <c r="I297" s="14"/>
      <c r="J297" s="14"/>
      <c r="K297" s="14"/>
      <c r="L297" s="7"/>
      <c r="M297" s="14"/>
      <c r="N297" s="14"/>
      <c r="O297" s="7"/>
      <c r="P297" s="21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 x14ac:dyDescent="0.25">
      <c r="A298" s="14"/>
      <c r="B298" s="14"/>
      <c r="C298" s="14"/>
      <c r="D298" s="14"/>
      <c r="E298" s="25"/>
      <c r="F298" s="25"/>
      <c r="G298" s="14"/>
      <c r="H298" s="14"/>
      <c r="I298" s="14"/>
      <c r="J298" s="14"/>
      <c r="K298" s="14"/>
      <c r="L298" s="7"/>
      <c r="M298" s="14"/>
      <c r="N298" s="14"/>
      <c r="O298" s="7"/>
      <c r="P298" s="21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 x14ac:dyDescent="0.25">
      <c r="A299" s="14"/>
      <c r="B299" s="14"/>
      <c r="C299" s="14"/>
      <c r="D299" s="14"/>
      <c r="E299" s="25"/>
      <c r="F299" s="25"/>
      <c r="G299" s="14"/>
      <c r="H299" s="14"/>
      <c r="I299" s="14"/>
      <c r="J299" s="14"/>
      <c r="K299" s="14"/>
      <c r="L299" s="7"/>
      <c r="M299" s="14"/>
      <c r="N299" s="14"/>
      <c r="O299" s="7"/>
      <c r="P299" s="21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 x14ac:dyDescent="0.25">
      <c r="A300" s="14"/>
      <c r="B300" s="14"/>
      <c r="C300" s="14"/>
      <c r="D300" s="14"/>
      <c r="E300" s="25"/>
      <c r="F300" s="25"/>
      <c r="G300" s="14"/>
      <c r="H300" s="14"/>
      <c r="I300" s="14"/>
      <c r="J300" s="14"/>
      <c r="K300" s="14"/>
      <c r="L300" s="7"/>
      <c r="M300" s="14"/>
      <c r="N300" s="14"/>
      <c r="O300" s="7"/>
      <c r="P300" s="21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 x14ac:dyDescent="0.25">
      <c r="A301" s="14"/>
      <c r="B301" s="14"/>
      <c r="C301" s="14"/>
      <c r="D301" s="14"/>
      <c r="E301" s="25"/>
      <c r="F301" s="25"/>
      <c r="G301" s="14"/>
      <c r="H301" s="14"/>
      <c r="I301" s="14"/>
      <c r="J301" s="14"/>
      <c r="K301" s="14"/>
      <c r="L301" s="7"/>
      <c r="M301" s="14"/>
      <c r="N301" s="14"/>
      <c r="O301" s="7"/>
      <c r="P301" s="21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 x14ac:dyDescent="0.25">
      <c r="A302" s="14"/>
      <c r="B302" s="14"/>
      <c r="C302" s="14"/>
      <c r="D302" s="14"/>
      <c r="E302" s="25"/>
      <c r="F302" s="25"/>
      <c r="G302" s="14"/>
      <c r="H302" s="14"/>
      <c r="I302" s="14"/>
      <c r="J302" s="14"/>
      <c r="K302" s="14"/>
      <c r="L302" s="7"/>
      <c r="M302" s="14"/>
      <c r="N302" s="14"/>
      <c r="O302" s="7"/>
      <c r="P302" s="21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 x14ac:dyDescent="0.25">
      <c r="A303" s="14"/>
      <c r="B303" s="14"/>
      <c r="C303" s="14"/>
      <c r="D303" s="14"/>
      <c r="E303" s="25"/>
      <c r="F303" s="25"/>
      <c r="G303" s="14"/>
      <c r="H303" s="14"/>
      <c r="I303" s="14"/>
      <c r="J303" s="14"/>
      <c r="K303" s="14"/>
      <c r="L303" s="7"/>
      <c r="M303" s="14"/>
      <c r="N303" s="14"/>
      <c r="O303" s="7"/>
      <c r="P303" s="21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 x14ac:dyDescent="0.25">
      <c r="A304" s="14"/>
      <c r="B304" s="14"/>
      <c r="C304" s="14"/>
      <c r="D304" s="14"/>
      <c r="E304" s="25"/>
      <c r="F304" s="25"/>
      <c r="G304" s="14"/>
      <c r="H304" s="14"/>
      <c r="I304" s="14"/>
      <c r="J304" s="14"/>
      <c r="K304" s="14"/>
      <c r="L304" s="7"/>
      <c r="M304" s="14"/>
      <c r="N304" s="14"/>
      <c r="O304" s="7"/>
      <c r="P304" s="21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 x14ac:dyDescent="0.25">
      <c r="A305" s="14"/>
      <c r="B305" s="14"/>
      <c r="C305" s="14"/>
      <c r="D305" s="14"/>
      <c r="E305" s="25"/>
      <c r="F305" s="25"/>
      <c r="G305" s="14"/>
      <c r="H305" s="14"/>
      <c r="I305" s="14"/>
      <c r="J305" s="14"/>
      <c r="K305" s="14"/>
      <c r="L305" s="7"/>
      <c r="M305" s="14"/>
      <c r="N305" s="14"/>
      <c r="O305" s="7"/>
      <c r="P305" s="21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 x14ac:dyDescent="0.25">
      <c r="A306" s="14"/>
      <c r="B306" s="14"/>
      <c r="C306" s="14"/>
      <c r="D306" s="14"/>
      <c r="E306" s="25"/>
      <c r="F306" s="25"/>
      <c r="G306" s="14"/>
      <c r="H306" s="14"/>
      <c r="I306" s="14"/>
      <c r="J306" s="14"/>
      <c r="K306" s="14"/>
      <c r="L306" s="7"/>
      <c r="M306" s="14"/>
      <c r="N306" s="14"/>
      <c r="O306" s="7"/>
      <c r="P306" s="21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 x14ac:dyDescent="0.25">
      <c r="A307" s="14"/>
      <c r="B307" s="14"/>
      <c r="C307" s="14"/>
      <c r="D307" s="14"/>
      <c r="E307" s="25"/>
      <c r="F307" s="25"/>
      <c r="G307" s="14"/>
      <c r="H307" s="14"/>
      <c r="I307" s="14"/>
      <c r="J307" s="14"/>
      <c r="K307" s="14"/>
      <c r="L307" s="7"/>
      <c r="M307" s="14"/>
      <c r="N307" s="14"/>
      <c r="O307" s="7"/>
      <c r="P307" s="21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 x14ac:dyDescent="0.25">
      <c r="A308" s="14"/>
      <c r="B308" s="14"/>
      <c r="C308" s="14"/>
      <c r="D308" s="14"/>
      <c r="E308" s="25"/>
      <c r="F308" s="25"/>
      <c r="G308" s="14"/>
      <c r="H308" s="14"/>
      <c r="I308" s="14"/>
      <c r="J308" s="14"/>
      <c r="K308" s="14"/>
      <c r="L308" s="7"/>
      <c r="M308" s="14"/>
      <c r="N308" s="14"/>
      <c r="O308" s="7"/>
      <c r="P308" s="21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 x14ac:dyDescent="0.25">
      <c r="A309" s="14"/>
      <c r="B309" s="14"/>
      <c r="C309" s="14"/>
      <c r="D309" s="14"/>
      <c r="E309" s="25"/>
      <c r="F309" s="25"/>
      <c r="G309" s="14"/>
      <c r="H309" s="14"/>
      <c r="I309" s="14"/>
      <c r="J309" s="14"/>
      <c r="K309" s="14"/>
      <c r="L309" s="7"/>
      <c r="M309" s="14"/>
      <c r="N309" s="14"/>
      <c r="O309" s="7"/>
      <c r="P309" s="21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 x14ac:dyDescent="0.25">
      <c r="A310" s="14"/>
      <c r="B310" s="14"/>
      <c r="C310" s="14"/>
      <c r="D310" s="14"/>
      <c r="E310" s="25"/>
      <c r="F310" s="25"/>
      <c r="G310" s="14"/>
      <c r="H310" s="14"/>
      <c r="I310" s="14"/>
      <c r="J310" s="14"/>
      <c r="K310" s="14"/>
      <c r="L310" s="7"/>
      <c r="M310" s="14"/>
      <c r="N310" s="14"/>
      <c r="O310" s="7"/>
      <c r="P310" s="21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 x14ac:dyDescent="0.25">
      <c r="A311" s="14"/>
      <c r="B311" s="14"/>
      <c r="C311" s="14"/>
      <c r="D311" s="14"/>
      <c r="E311" s="25"/>
      <c r="F311" s="25"/>
      <c r="G311" s="14"/>
      <c r="H311" s="14"/>
      <c r="I311" s="14"/>
      <c r="J311" s="14"/>
      <c r="K311" s="14"/>
      <c r="L311" s="7"/>
      <c r="M311" s="14"/>
      <c r="N311" s="14"/>
      <c r="O311" s="7"/>
      <c r="P311" s="21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 x14ac:dyDescent="0.25">
      <c r="A312" s="14"/>
      <c r="B312" s="14"/>
      <c r="C312" s="14"/>
      <c r="D312" s="14"/>
      <c r="E312" s="25"/>
      <c r="F312" s="25"/>
      <c r="G312" s="14"/>
      <c r="H312" s="14"/>
      <c r="I312" s="14"/>
      <c r="J312" s="14"/>
      <c r="K312" s="14"/>
      <c r="L312" s="7"/>
      <c r="M312" s="14"/>
      <c r="N312" s="14"/>
      <c r="O312" s="7"/>
      <c r="P312" s="21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 x14ac:dyDescent="0.25">
      <c r="A313" s="14"/>
      <c r="B313" s="14"/>
      <c r="C313" s="14"/>
      <c r="D313" s="14"/>
      <c r="E313" s="25"/>
      <c r="F313" s="25"/>
      <c r="G313" s="14"/>
      <c r="H313" s="14"/>
      <c r="I313" s="14"/>
      <c r="J313" s="14"/>
      <c r="K313" s="14"/>
      <c r="L313" s="7"/>
      <c r="M313" s="14"/>
      <c r="N313" s="14"/>
      <c r="O313" s="7"/>
      <c r="P313" s="21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 x14ac:dyDescent="0.25">
      <c r="A314" s="14"/>
      <c r="B314" s="14"/>
      <c r="C314" s="14"/>
      <c r="D314" s="14"/>
      <c r="E314" s="25"/>
      <c r="F314" s="25"/>
      <c r="G314" s="14"/>
      <c r="H314" s="14"/>
      <c r="I314" s="14"/>
      <c r="J314" s="14"/>
      <c r="K314" s="14"/>
      <c r="L314" s="7"/>
      <c r="M314" s="14"/>
      <c r="N314" s="14"/>
      <c r="O314" s="7"/>
      <c r="P314" s="21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 x14ac:dyDescent="0.25">
      <c r="A315" s="14"/>
      <c r="B315" s="14"/>
      <c r="C315" s="14"/>
      <c r="D315" s="14"/>
      <c r="E315" s="25"/>
      <c r="F315" s="25"/>
      <c r="G315" s="14"/>
      <c r="H315" s="14"/>
      <c r="I315" s="14"/>
      <c r="J315" s="14"/>
      <c r="K315" s="14"/>
      <c r="L315" s="7"/>
      <c r="M315" s="14"/>
      <c r="N315" s="14"/>
      <c r="O315" s="7"/>
      <c r="P315" s="21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 x14ac:dyDescent="0.25">
      <c r="A316" s="14"/>
      <c r="B316" s="14"/>
      <c r="C316" s="14"/>
      <c r="D316" s="14"/>
      <c r="E316" s="25"/>
      <c r="F316" s="25"/>
      <c r="G316" s="14"/>
      <c r="H316" s="14"/>
      <c r="I316" s="14"/>
      <c r="J316" s="14"/>
      <c r="K316" s="14"/>
      <c r="L316" s="7"/>
      <c r="M316" s="14"/>
      <c r="N316" s="14"/>
      <c r="O316" s="7"/>
      <c r="P316" s="21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 x14ac:dyDescent="0.25">
      <c r="A317" s="14"/>
      <c r="B317" s="14"/>
      <c r="C317" s="14"/>
      <c r="D317" s="14"/>
      <c r="E317" s="25"/>
      <c r="F317" s="25"/>
      <c r="G317" s="14"/>
      <c r="H317" s="14"/>
      <c r="I317" s="14"/>
      <c r="J317" s="14"/>
      <c r="K317" s="14"/>
      <c r="L317" s="7"/>
      <c r="M317" s="14"/>
      <c r="N317" s="14"/>
      <c r="O317" s="7"/>
      <c r="P317" s="21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 x14ac:dyDescent="0.25">
      <c r="A318" s="14"/>
      <c r="B318" s="14"/>
      <c r="C318" s="14"/>
      <c r="D318" s="14"/>
      <c r="E318" s="25"/>
      <c r="F318" s="25"/>
      <c r="G318" s="14"/>
      <c r="H318" s="14"/>
      <c r="I318" s="14"/>
      <c r="J318" s="14"/>
      <c r="K318" s="14"/>
      <c r="L318" s="7"/>
      <c r="M318" s="14"/>
      <c r="N318" s="14"/>
      <c r="O318" s="7"/>
      <c r="P318" s="21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 x14ac:dyDescent="0.25">
      <c r="A319" s="14"/>
      <c r="B319" s="14"/>
      <c r="C319" s="14"/>
      <c r="D319" s="14"/>
      <c r="E319" s="25"/>
      <c r="F319" s="25"/>
      <c r="G319" s="14"/>
      <c r="H319" s="14"/>
      <c r="I319" s="14"/>
      <c r="J319" s="14"/>
      <c r="K319" s="14"/>
      <c r="L319" s="7"/>
      <c r="M319" s="14"/>
      <c r="N319" s="14"/>
      <c r="O319" s="7"/>
      <c r="P319" s="21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 x14ac:dyDescent="0.25">
      <c r="A320" s="14"/>
      <c r="B320" s="14"/>
      <c r="C320" s="14"/>
      <c r="D320" s="14"/>
      <c r="E320" s="25"/>
      <c r="F320" s="25"/>
      <c r="G320" s="14"/>
      <c r="H320" s="14"/>
      <c r="I320" s="14"/>
      <c r="J320" s="14"/>
      <c r="K320" s="14"/>
      <c r="L320" s="7"/>
      <c r="M320" s="14"/>
      <c r="N320" s="14"/>
      <c r="O320" s="7"/>
      <c r="P320" s="21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 x14ac:dyDescent="0.25">
      <c r="A321" s="14"/>
      <c r="B321" s="14"/>
      <c r="C321" s="14"/>
      <c r="D321" s="14"/>
      <c r="E321" s="25"/>
      <c r="F321" s="25"/>
      <c r="G321" s="14"/>
      <c r="H321" s="14"/>
      <c r="I321" s="14"/>
      <c r="J321" s="14"/>
      <c r="K321" s="14"/>
      <c r="L321" s="7"/>
      <c r="M321" s="14"/>
      <c r="N321" s="14"/>
      <c r="O321" s="7"/>
      <c r="P321" s="21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 x14ac:dyDescent="0.25">
      <c r="A322" s="14"/>
      <c r="B322" s="14"/>
      <c r="C322" s="14"/>
      <c r="D322" s="14"/>
      <c r="E322" s="25"/>
      <c r="F322" s="25"/>
      <c r="G322" s="14"/>
      <c r="H322" s="14"/>
      <c r="I322" s="14"/>
      <c r="J322" s="14"/>
      <c r="K322" s="14"/>
      <c r="L322" s="7"/>
      <c r="M322" s="14"/>
      <c r="N322" s="14"/>
      <c r="O322" s="7"/>
      <c r="P322" s="21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 x14ac:dyDescent="0.25">
      <c r="A323" s="14"/>
      <c r="B323" s="14"/>
      <c r="C323" s="14"/>
      <c r="D323" s="14"/>
      <c r="E323" s="25"/>
      <c r="F323" s="25"/>
      <c r="G323" s="14"/>
      <c r="H323" s="14"/>
      <c r="I323" s="14"/>
      <c r="J323" s="14"/>
      <c r="K323" s="14"/>
      <c r="L323" s="7"/>
      <c r="M323" s="14"/>
      <c r="N323" s="14"/>
      <c r="O323" s="7"/>
      <c r="P323" s="21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 x14ac:dyDescent="0.25">
      <c r="A324" s="14"/>
      <c r="B324" s="14"/>
      <c r="C324" s="14"/>
      <c r="D324" s="14"/>
      <c r="E324" s="25"/>
      <c r="F324" s="25"/>
      <c r="G324" s="14"/>
      <c r="H324" s="14"/>
      <c r="I324" s="14"/>
      <c r="J324" s="14"/>
      <c r="K324" s="14"/>
      <c r="L324" s="7"/>
      <c r="M324" s="14"/>
      <c r="N324" s="14"/>
      <c r="O324" s="7"/>
      <c r="P324" s="21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 x14ac:dyDescent="0.25">
      <c r="A325" s="14"/>
      <c r="B325" s="14"/>
      <c r="C325" s="14"/>
      <c r="D325" s="14"/>
      <c r="E325" s="25"/>
      <c r="F325" s="25"/>
      <c r="G325" s="14"/>
      <c r="H325" s="14"/>
      <c r="I325" s="14"/>
      <c r="J325" s="14"/>
      <c r="K325" s="14"/>
      <c r="L325" s="7"/>
      <c r="M325" s="14"/>
      <c r="N325" s="14"/>
      <c r="O325" s="7"/>
      <c r="P325" s="21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 x14ac:dyDescent="0.25">
      <c r="A326" s="14"/>
      <c r="B326" s="14"/>
      <c r="C326" s="14"/>
      <c r="D326" s="14"/>
      <c r="E326" s="25"/>
      <c r="F326" s="25"/>
      <c r="G326" s="14"/>
      <c r="H326" s="14"/>
      <c r="I326" s="14"/>
      <c r="J326" s="14"/>
      <c r="K326" s="14"/>
      <c r="L326" s="7"/>
      <c r="M326" s="14"/>
      <c r="N326" s="14"/>
      <c r="O326" s="7"/>
      <c r="P326" s="21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 x14ac:dyDescent="0.25">
      <c r="A327" s="14"/>
      <c r="B327" s="14"/>
      <c r="C327" s="14"/>
      <c r="D327" s="14"/>
      <c r="E327" s="25"/>
      <c r="F327" s="25"/>
      <c r="G327" s="14"/>
      <c r="H327" s="14"/>
      <c r="I327" s="14"/>
      <c r="J327" s="14"/>
      <c r="K327" s="14"/>
      <c r="L327" s="7"/>
      <c r="M327" s="14"/>
      <c r="N327" s="14"/>
      <c r="O327" s="7"/>
      <c r="P327" s="21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 x14ac:dyDescent="0.25">
      <c r="A328" s="14"/>
      <c r="B328" s="14"/>
      <c r="C328" s="14"/>
      <c r="D328" s="14"/>
      <c r="E328" s="25"/>
      <c r="F328" s="25"/>
      <c r="G328" s="14"/>
      <c r="H328" s="14"/>
      <c r="I328" s="14"/>
      <c r="J328" s="14"/>
      <c r="K328" s="14"/>
      <c r="L328" s="7"/>
      <c r="M328" s="14"/>
      <c r="N328" s="14"/>
      <c r="O328" s="7"/>
      <c r="P328" s="21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 x14ac:dyDescent="0.25">
      <c r="A329" s="14"/>
      <c r="B329" s="14"/>
      <c r="C329" s="14"/>
      <c r="D329" s="14"/>
      <c r="E329" s="25"/>
      <c r="F329" s="25"/>
      <c r="G329" s="14"/>
      <c r="H329" s="14"/>
      <c r="I329" s="14"/>
      <c r="J329" s="14"/>
      <c r="K329" s="14"/>
      <c r="L329" s="7"/>
      <c r="M329" s="14"/>
      <c r="N329" s="14"/>
      <c r="O329" s="7"/>
      <c r="P329" s="21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 x14ac:dyDescent="0.25">
      <c r="A330" s="14"/>
      <c r="B330" s="14"/>
      <c r="C330" s="14"/>
      <c r="D330" s="14"/>
      <c r="E330" s="25"/>
      <c r="F330" s="25"/>
      <c r="G330" s="14"/>
      <c r="H330" s="14"/>
      <c r="I330" s="14"/>
      <c r="J330" s="14"/>
      <c r="K330" s="14"/>
      <c r="L330" s="7"/>
      <c r="M330" s="14"/>
      <c r="N330" s="14"/>
      <c r="O330" s="7"/>
      <c r="P330" s="21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 x14ac:dyDescent="0.25">
      <c r="A331" s="14"/>
      <c r="B331" s="14"/>
      <c r="C331" s="14"/>
      <c r="D331" s="14"/>
      <c r="E331" s="25"/>
      <c r="F331" s="25"/>
      <c r="G331" s="14"/>
      <c r="H331" s="14"/>
      <c r="I331" s="14"/>
      <c r="J331" s="14"/>
      <c r="K331" s="14"/>
      <c r="L331" s="7"/>
      <c r="M331" s="14"/>
      <c r="N331" s="14"/>
      <c r="O331" s="7"/>
      <c r="P331" s="21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 x14ac:dyDescent="0.25">
      <c r="A332" s="14"/>
      <c r="B332" s="14"/>
      <c r="C332" s="14"/>
      <c r="D332" s="14"/>
      <c r="E332" s="25"/>
      <c r="F332" s="25"/>
      <c r="G332" s="14"/>
      <c r="H332" s="14"/>
      <c r="I332" s="14"/>
      <c r="J332" s="14"/>
      <c r="K332" s="14"/>
      <c r="L332" s="7"/>
      <c r="M332" s="14"/>
      <c r="N332" s="14"/>
      <c r="O332" s="7"/>
      <c r="P332" s="21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 x14ac:dyDescent="0.25">
      <c r="A333" s="14"/>
      <c r="B333" s="14"/>
      <c r="C333" s="14"/>
      <c r="D333" s="14"/>
      <c r="E333" s="25"/>
      <c r="F333" s="25"/>
      <c r="G333" s="14"/>
      <c r="H333" s="14"/>
      <c r="I333" s="14"/>
      <c r="J333" s="14"/>
      <c r="K333" s="14"/>
      <c r="L333" s="7"/>
      <c r="M333" s="14"/>
      <c r="N333" s="14"/>
      <c r="O333" s="7"/>
      <c r="P333" s="21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 x14ac:dyDescent="0.25">
      <c r="A334" s="14"/>
      <c r="B334" s="14"/>
      <c r="C334" s="14"/>
      <c r="D334" s="14"/>
      <c r="E334" s="25"/>
      <c r="F334" s="25"/>
      <c r="G334" s="14"/>
      <c r="H334" s="14"/>
      <c r="I334" s="14"/>
      <c r="J334" s="14"/>
      <c r="K334" s="14"/>
      <c r="L334" s="7"/>
      <c r="M334" s="14"/>
      <c r="N334" s="14"/>
      <c r="O334" s="7"/>
      <c r="P334" s="21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 x14ac:dyDescent="0.25">
      <c r="A335" s="14"/>
      <c r="B335" s="14"/>
      <c r="C335" s="14"/>
      <c r="D335" s="14"/>
      <c r="E335" s="25"/>
      <c r="F335" s="25"/>
      <c r="G335" s="14"/>
      <c r="H335" s="14"/>
      <c r="I335" s="14"/>
      <c r="J335" s="14"/>
      <c r="K335" s="14"/>
      <c r="L335" s="7"/>
      <c r="M335" s="14"/>
      <c r="N335" s="14"/>
      <c r="O335" s="7"/>
      <c r="P335" s="21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 x14ac:dyDescent="0.25">
      <c r="A336" s="14"/>
      <c r="B336" s="14"/>
      <c r="C336" s="14"/>
      <c r="D336" s="14"/>
      <c r="E336" s="25"/>
      <c r="F336" s="25"/>
      <c r="G336" s="14"/>
      <c r="H336" s="14"/>
      <c r="I336" s="14"/>
      <c r="J336" s="14"/>
      <c r="K336" s="14"/>
      <c r="L336" s="7"/>
      <c r="M336" s="14"/>
      <c r="N336" s="14"/>
      <c r="O336" s="7"/>
      <c r="P336" s="21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 x14ac:dyDescent="0.25">
      <c r="A337" s="14"/>
      <c r="B337" s="14"/>
      <c r="C337" s="14"/>
      <c r="D337" s="14"/>
      <c r="E337" s="25"/>
      <c r="F337" s="25"/>
      <c r="G337" s="14"/>
      <c r="H337" s="14"/>
      <c r="I337" s="14"/>
      <c r="J337" s="14"/>
      <c r="K337" s="14"/>
      <c r="L337" s="7"/>
      <c r="M337" s="14"/>
      <c r="N337" s="14"/>
      <c r="O337" s="7"/>
      <c r="P337" s="21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 x14ac:dyDescent="0.25">
      <c r="A338" s="14"/>
      <c r="B338" s="14"/>
      <c r="C338" s="14"/>
      <c r="D338" s="14"/>
      <c r="E338" s="25"/>
      <c r="F338" s="25"/>
      <c r="G338" s="14"/>
      <c r="H338" s="14"/>
      <c r="I338" s="14"/>
      <c r="J338" s="14"/>
      <c r="K338" s="14"/>
      <c r="L338" s="7"/>
      <c r="M338" s="14"/>
      <c r="N338" s="14"/>
      <c r="O338" s="7"/>
      <c r="P338" s="21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 x14ac:dyDescent="0.25">
      <c r="A339" s="14"/>
      <c r="B339" s="14"/>
      <c r="C339" s="14"/>
      <c r="D339" s="14"/>
      <c r="E339" s="25"/>
      <c r="F339" s="25"/>
      <c r="G339" s="14"/>
      <c r="H339" s="14"/>
      <c r="I339" s="14"/>
      <c r="J339" s="14"/>
      <c r="K339" s="14"/>
      <c r="L339" s="7"/>
      <c r="M339" s="14"/>
      <c r="N339" s="14"/>
      <c r="O339" s="7"/>
      <c r="P339" s="21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 x14ac:dyDescent="0.25">
      <c r="A340" s="14"/>
      <c r="B340" s="14"/>
      <c r="C340" s="14"/>
      <c r="D340" s="14"/>
      <c r="E340" s="25"/>
      <c r="F340" s="25"/>
      <c r="G340" s="14"/>
      <c r="H340" s="14"/>
      <c r="I340" s="14"/>
      <c r="J340" s="14"/>
      <c r="K340" s="14"/>
      <c r="L340" s="7"/>
      <c r="M340" s="14"/>
      <c r="N340" s="14"/>
      <c r="O340" s="7"/>
      <c r="P340" s="21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 x14ac:dyDescent="0.25">
      <c r="A341" s="14"/>
      <c r="B341" s="14"/>
      <c r="C341" s="14"/>
      <c r="D341" s="14"/>
      <c r="E341" s="25"/>
      <c r="F341" s="25"/>
      <c r="G341" s="14"/>
      <c r="H341" s="14"/>
      <c r="I341" s="14"/>
      <c r="J341" s="14"/>
      <c r="K341" s="14"/>
      <c r="L341" s="7"/>
      <c r="M341" s="14"/>
      <c r="N341" s="14"/>
      <c r="O341" s="7"/>
      <c r="P341" s="21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 x14ac:dyDescent="0.25">
      <c r="A342" s="14"/>
      <c r="B342" s="14"/>
      <c r="C342" s="14"/>
      <c r="D342" s="14"/>
      <c r="E342" s="25"/>
      <c r="F342" s="25"/>
      <c r="G342" s="14"/>
      <c r="H342" s="14"/>
      <c r="I342" s="14"/>
      <c r="J342" s="14"/>
      <c r="K342" s="14"/>
      <c r="L342" s="7"/>
      <c r="M342" s="14"/>
      <c r="N342" s="14"/>
      <c r="O342" s="7"/>
      <c r="P342" s="21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 x14ac:dyDescent="0.25">
      <c r="A343" s="14"/>
      <c r="B343" s="14"/>
      <c r="C343" s="14"/>
      <c r="D343" s="14"/>
      <c r="E343" s="25"/>
      <c r="F343" s="25"/>
      <c r="G343" s="14"/>
      <c r="H343" s="14"/>
      <c r="I343" s="14"/>
      <c r="J343" s="14"/>
      <c r="K343" s="14"/>
      <c r="L343" s="7"/>
      <c r="M343" s="14"/>
      <c r="N343" s="14"/>
      <c r="O343" s="7"/>
      <c r="P343" s="21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 x14ac:dyDescent="0.25">
      <c r="A344" s="14"/>
      <c r="B344" s="14"/>
      <c r="C344" s="14"/>
      <c r="D344" s="14"/>
      <c r="E344" s="25"/>
      <c r="F344" s="25"/>
      <c r="G344" s="14"/>
      <c r="H344" s="14"/>
      <c r="I344" s="14"/>
      <c r="J344" s="14"/>
      <c r="K344" s="14"/>
      <c r="L344" s="7"/>
      <c r="M344" s="14"/>
      <c r="N344" s="14"/>
      <c r="O344" s="7"/>
      <c r="P344" s="21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 x14ac:dyDescent="0.25">
      <c r="A345" s="14"/>
      <c r="B345" s="14"/>
      <c r="C345" s="14"/>
      <c r="D345" s="14"/>
      <c r="E345" s="25"/>
      <c r="F345" s="25"/>
      <c r="G345" s="14"/>
      <c r="H345" s="14"/>
      <c r="I345" s="14"/>
      <c r="J345" s="14"/>
      <c r="K345" s="14"/>
      <c r="L345" s="7"/>
      <c r="M345" s="14"/>
      <c r="N345" s="14"/>
      <c r="O345" s="7"/>
      <c r="P345" s="21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 x14ac:dyDescent="0.25">
      <c r="A346" s="14"/>
      <c r="B346" s="14"/>
      <c r="C346" s="14"/>
      <c r="D346" s="14"/>
      <c r="E346" s="25"/>
      <c r="F346" s="25"/>
      <c r="G346" s="14"/>
      <c r="H346" s="14"/>
      <c r="I346" s="14"/>
      <c r="J346" s="14"/>
      <c r="K346" s="14"/>
      <c r="L346" s="7"/>
      <c r="M346" s="14"/>
      <c r="N346" s="14"/>
      <c r="O346" s="7"/>
      <c r="P346" s="21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 x14ac:dyDescent="0.25">
      <c r="A347" s="14"/>
      <c r="B347" s="14"/>
      <c r="C347" s="14"/>
      <c r="D347" s="14"/>
      <c r="E347" s="25"/>
      <c r="F347" s="25"/>
      <c r="G347" s="14"/>
      <c r="H347" s="14"/>
      <c r="I347" s="14"/>
      <c r="J347" s="14"/>
      <c r="K347" s="14"/>
      <c r="L347" s="7"/>
      <c r="M347" s="14"/>
      <c r="N347" s="14"/>
      <c r="O347" s="7"/>
      <c r="P347" s="21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 x14ac:dyDescent="0.25">
      <c r="A348" s="14"/>
      <c r="B348" s="14"/>
      <c r="C348" s="14"/>
      <c r="D348" s="14"/>
      <c r="E348" s="25"/>
      <c r="F348" s="25"/>
      <c r="G348" s="14"/>
      <c r="H348" s="14"/>
      <c r="I348" s="14"/>
      <c r="J348" s="14"/>
      <c r="K348" s="14"/>
      <c r="L348" s="7"/>
      <c r="M348" s="14"/>
      <c r="N348" s="14"/>
      <c r="O348" s="7"/>
      <c r="P348" s="21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 x14ac:dyDescent="0.25">
      <c r="A349" s="14"/>
      <c r="B349" s="14"/>
      <c r="C349" s="14"/>
      <c r="D349" s="14"/>
      <c r="E349" s="25"/>
      <c r="F349" s="25"/>
      <c r="G349" s="14"/>
      <c r="H349" s="14"/>
      <c r="I349" s="14"/>
      <c r="J349" s="14"/>
      <c r="K349" s="14"/>
      <c r="L349" s="7"/>
      <c r="M349" s="14"/>
      <c r="N349" s="14"/>
      <c r="O349" s="7"/>
      <c r="P349" s="21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 x14ac:dyDescent="0.25">
      <c r="A350" s="14"/>
      <c r="B350" s="14"/>
      <c r="C350" s="14"/>
      <c r="D350" s="14"/>
      <c r="E350" s="25"/>
      <c r="F350" s="25"/>
      <c r="G350" s="14"/>
      <c r="H350" s="14"/>
      <c r="I350" s="14"/>
      <c r="J350" s="14"/>
      <c r="K350" s="14"/>
      <c r="L350" s="7"/>
      <c r="M350" s="14"/>
      <c r="N350" s="14"/>
      <c r="O350" s="7"/>
      <c r="P350" s="21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 x14ac:dyDescent="0.25">
      <c r="A351" s="14"/>
      <c r="B351" s="14"/>
      <c r="C351" s="14"/>
      <c r="D351" s="14"/>
      <c r="E351" s="25"/>
      <c r="F351" s="25"/>
      <c r="G351" s="14"/>
      <c r="H351" s="14"/>
      <c r="I351" s="14"/>
      <c r="J351" s="14"/>
      <c r="K351" s="14"/>
      <c r="L351" s="7"/>
      <c r="M351" s="14"/>
      <c r="N351" s="14"/>
      <c r="O351" s="7"/>
      <c r="P351" s="21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 x14ac:dyDescent="0.25">
      <c r="A352" s="14"/>
      <c r="B352" s="14"/>
      <c r="C352" s="14"/>
      <c r="D352" s="14"/>
      <c r="E352" s="25"/>
      <c r="F352" s="25"/>
      <c r="G352" s="14"/>
      <c r="H352" s="14"/>
      <c r="I352" s="14"/>
      <c r="J352" s="14"/>
      <c r="K352" s="14"/>
      <c r="L352" s="7"/>
      <c r="M352" s="14"/>
      <c r="N352" s="14"/>
      <c r="O352" s="7"/>
      <c r="P352" s="21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 x14ac:dyDescent="0.25">
      <c r="A353" s="14"/>
      <c r="B353" s="14"/>
      <c r="C353" s="14"/>
      <c r="D353" s="14"/>
      <c r="E353" s="25"/>
      <c r="F353" s="25"/>
      <c r="G353" s="14"/>
      <c r="H353" s="14"/>
      <c r="I353" s="14"/>
      <c r="J353" s="14"/>
      <c r="K353" s="14"/>
      <c r="L353" s="7"/>
      <c r="M353" s="14"/>
      <c r="N353" s="14"/>
      <c r="O353" s="7"/>
      <c r="P353" s="21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 x14ac:dyDescent="0.25">
      <c r="A354" s="14"/>
      <c r="B354" s="14"/>
      <c r="C354" s="14"/>
      <c r="D354" s="14"/>
      <c r="E354" s="25"/>
      <c r="F354" s="25"/>
      <c r="G354" s="14"/>
      <c r="H354" s="14"/>
      <c r="I354" s="14"/>
      <c r="J354" s="14"/>
      <c r="K354" s="14"/>
      <c r="L354" s="7"/>
      <c r="M354" s="14"/>
      <c r="N354" s="14"/>
      <c r="O354" s="7"/>
      <c r="P354" s="21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 x14ac:dyDescent="0.25">
      <c r="A355" s="14"/>
      <c r="B355" s="14"/>
      <c r="C355" s="14"/>
      <c r="D355" s="14"/>
      <c r="E355" s="25"/>
      <c r="F355" s="25"/>
      <c r="G355" s="14"/>
      <c r="H355" s="14"/>
      <c r="I355" s="14"/>
      <c r="J355" s="14"/>
      <c r="K355" s="14"/>
      <c r="L355" s="7"/>
      <c r="M355" s="14"/>
      <c r="N355" s="14"/>
      <c r="O355" s="7"/>
      <c r="P355" s="21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 x14ac:dyDescent="0.25">
      <c r="A356" s="14"/>
      <c r="B356" s="14"/>
      <c r="C356" s="14"/>
      <c r="D356" s="14"/>
      <c r="E356" s="25"/>
      <c r="F356" s="25"/>
      <c r="G356" s="14"/>
      <c r="H356" s="14"/>
      <c r="I356" s="14"/>
      <c r="J356" s="14"/>
      <c r="K356" s="14"/>
      <c r="L356" s="7"/>
      <c r="M356" s="14"/>
      <c r="N356" s="14"/>
      <c r="O356" s="7"/>
      <c r="P356" s="21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 x14ac:dyDescent="0.25">
      <c r="A357" s="14"/>
      <c r="B357" s="14"/>
      <c r="C357" s="14"/>
      <c r="D357" s="14"/>
      <c r="E357" s="25"/>
      <c r="F357" s="25"/>
      <c r="G357" s="14"/>
      <c r="H357" s="14"/>
      <c r="I357" s="14"/>
      <c r="J357" s="14"/>
      <c r="K357" s="14"/>
      <c r="L357" s="7"/>
      <c r="M357" s="14"/>
      <c r="N357" s="14"/>
      <c r="O357" s="7"/>
      <c r="P357" s="21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 x14ac:dyDescent="0.25">
      <c r="A358" s="14"/>
      <c r="B358" s="14"/>
      <c r="C358" s="14"/>
      <c r="D358" s="14"/>
      <c r="E358" s="25"/>
      <c r="F358" s="25"/>
      <c r="G358" s="14"/>
      <c r="H358" s="14"/>
      <c r="I358" s="14"/>
      <c r="J358" s="14"/>
      <c r="K358" s="14"/>
      <c r="L358" s="7"/>
      <c r="M358" s="14"/>
      <c r="N358" s="14"/>
      <c r="O358" s="7"/>
      <c r="P358" s="21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 x14ac:dyDescent="0.25">
      <c r="A359" s="14"/>
      <c r="B359" s="14"/>
      <c r="C359" s="14"/>
      <c r="D359" s="14"/>
      <c r="E359" s="25"/>
      <c r="F359" s="25"/>
      <c r="G359" s="14"/>
      <c r="H359" s="14"/>
      <c r="I359" s="14"/>
      <c r="J359" s="14"/>
      <c r="K359" s="14"/>
      <c r="L359" s="7"/>
      <c r="M359" s="14"/>
      <c r="N359" s="14"/>
      <c r="O359" s="7"/>
      <c r="P359" s="21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 x14ac:dyDescent="0.25">
      <c r="A360" s="14"/>
      <c r="B360" s="14"/>
      <c r="C360" s="14"/>
      <c r="D360" s="14"/>
      <c r="E360" s="25"/>
      <c r="F360" s="25"/>
      <c r="G360" s="14"/>
      <c r="H360" s="14"/>
      <c r="I360" s="14"/>
      <c r="J360" s="14"/>
      <c r="K360" s="14"/>
      <c r="L360" s="7"/>
      <c r="M360" s="14"/>
      <c r="N360" s="14"/>
      <c r="O360" s="7"/>
      <c r="P360" s="21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 x14ac:dyDescent="0.25">
      <c r="A361" s="14"/>
      <c r="B361" s="14"/>
      <c r="C361" s="14"/>
      <c r="D361" s="14"/>
      <c r="E361" s="25"/>
      <c r="F361" s="25"/>
      <c r="G361" s="14"/>
      <c r="H361" s="14"/>
      <c r="I361" s="14"/>
      <c r="J361" s="14"/>
      <c r="K361" s="14"/>
      <c r="L361" s="7"/>
      <c r="M361" s="14"/>
      <c r="N361" s="14"/>
      <c r="O361" s="7"/>
      <c r="P361" s="21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 x14ac:dyDescent="0.25">
      <c r="A362" s="14"/>
      <c r="B362" s="14"/>
      <c r="C362" s="14"/>
      <c r="D362" s="14"/>
      <c r="E362" s="25"/>
      <c r="F362" s="25"/>
      <c r="G362" s="14"/>
      <c r="H362" s="14"/>
      <c r="I362" s="14"/>
      <c r="J362" s="14"/>
      <c r="K362" s="14"/>
      <c r="L362" s="7"/>
      <c r="M362" s="14"/>
      <c r="N362" s="14"/>
      <c r="O362" s="7"/>
      <c r="P362" s="21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 x14ac:dyDescent="0.25">
      <c r="A363" s="14"/>
      <c r="B363" s="14"/>
      <c r="C363" s="14"/>
      <c r="D363" s="14"/>
      <c r="E363" s="25"/>
      <c r="F363" s="25"/>
      <c r="G363" s="14"/>
      <c r="H363" s="14"/>
      <c r="I363" s="14"/>
      <c r="J363" s="14"/>
      <c r="K363" s="14"/>
      <c r="L363" s="7"/>
      <c r="M363" s="14"/>
      <c r="N363" s="14"/>
      <c r="O363" s="7"/>
      <c r="P363" s="21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 x14ac:dyDescent="0.25">
      <c r="A364" s="14"/>
      <c r="B364" s="14"/>
      <c r="C364" s="14"/>
      <c r="D364" s="14"/>
      <c r="E364" s="25"/>
      <c r="F364" s="25"/>
      <c r="G364" s="14"/>
      <c r="H364" s="14"/>
      <c r="I364" s="14"/>
      <c r="J364" s="14"/>
      <c r="K364" s="14"/>
      <c r="L364" s="7"/>
      <c r="M364" s="14"/>
      <c r="N364" s="14"/>
      <c r="O364" s="7"/>
      <c r="P364" s="21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 x14ac:dyDescent="0.25">
      <c r="A365" s="14"/>
      <c r="B365" s="14"/>
      <c r="C365" s="14"/>
      <c r="D365" s="14"/>
      <c r="E365" s="25"/>
      <c r="F365" s="25"/>
      <c r="G365" s="14"/>
      <c r="H365" s="14"/>
      <c r="I365" s="14"/>
      <c r="J365" s="14"/>
      <c r="K365" s="14"/>
      <c r="L365" s="7"/>
      <c r="M365" s="14"/>
      <c r="N365" s="14"/>
      <c r="O365" s="7"/>
      <c r="P365" s="21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 x14ac:dyDescent="0.25">
      <c r="A366" s="14"/>
      <c r="B366" s="14"/>
      <c r="C366" s="14"/>
      <c r="D366" s="14"/>
      <c r="E366" s="25"/>
      <c r="F366" s="25"/>
      <c r="G366" s="14"/>
      <c r="H366" s="14"/>
      <c r="I366" s="14"/>
      <c r="J366" s="14"/>
      <c r="K366" s="14"/>
      <c r="L366" s="7"/>
      <c r="M366" s="14"/>
      <c r="N366" s="14"/>
      <c r="O366" s="7"/>
      <c r="P366" s="21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 x14ac:dyDescent="0.25">
      <c r="A367" s="14"/>
      <c r="B367" s="14"/>
      <c r="C367" s="14"/>
      <c r="D367" s="14"/>
      <c r="E367" s="25"/>
      <c r="F367" s="25"/>
      <c r="G367" s="14"/>
      <c r="H367" s="14"/>
      <c r="I367" s="14"/>
      <c r="J367" s="14"/>
      <c r="K367" s="14"/>
      <c r="L367" s="7"/>
      <c r="M367" s="14"/>
      <c r="N367" s="14"/>
      <c r="O367" s="7"/>
      <c r="P367" s="21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 x14ac:dyDescent="0.25">
      <c r="A368" s="14"/>
      <c r="B368" s="14"/>
      <c r="C368" s="14"/>
      <c r="D368" s="14"/>
      <c r="E368" s="25"/>
      <c r="F368" s="25"/>
      <c r="G368" s="14"/>
      <c r="H368" s="14"/>
      <c r="I368" s="14"/>
      <c r="J368" s="14"/>
      <c r="K368" s="14"/>
      <c r="L368" s="7"/>
      <c r="M368" s="14"/>
      <c r="N368" s="14"/>
      <c r="O368" s="7"/>
      <c r="P368" s="21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 x14ac:dyDescent="0.25">
      <c r="A369" s="14"/>
      <c r="B369" s="14"/>
      <c r="C369" s="14"/>
      <c r="D369" s="14"/>
      <c r="E369" s="25"/>
      <c r="F369" s="25"/>
      <c r="G369" s="14"/>
      <c r="H369" s="14"/>
      <c r="I369" s="14"/>
      <c r="J369" s="14"/>
      <c r="K369" s="14"/>
      <c r="L369" s="7"/>
      <c r="M369" s="14"/>
      <c r="N369" s="14"/>
      <c r="O369" s="7"/>
      <c r="P369" s="21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 x14ac:dyDescent="0.25">
      <c r="A370" s="14"/>
      <c r="B370" s="14"/>
      <c r="C370" s="14"/>
      <c r="D370" s="14"/>
      <c r="E370" s="25"/>
      <c r="F370" s="25"/>
      <c r="G370" s="14"/>
      <c r="H370" s="14"/>
      <c r="I370" s="14"/>
      <c r="J370" s="14"/>
      <c r="K370" s="14"/>
      <c r="L370" s="7"/>
      <c r="M370" s="14"/>
      <c r="N370" s="14"/>
      <c r="O370" s="7"/>
      <c r="P370" s="21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 x14ac:dyDescent="0.25">
      <c r="A371" s="14"/>
      <c r="B371" s="14"/>
      <c r="C371" s="14"/>
      <c r="D371" s="14"/>
      <c r="E371" s="25"/>
      <c r="F371" s="25"/>
      <c r="G371" s="14"/>
      <c r="H371" s="14"/>
      <c r="I371" s="14"/>
      <c r="J371" s="14"/>
      <c r="K371" s="14"/>
      <c r="L371" s="7"/>
      <c r="M371" s="14"/>
      <c r="N371" s="14"/>
      <c r="O371" s="7"/>
      <c r="P371" s="21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 x14ac:dyDescent="0.25">
      <c r="A372" s="14"/>
      <c r="B372" s="14"/>
      <c r="C372" s="14"/>
      <c r="D372" s="14"/>
      <c r="E372" s="25"/>
      <c r="F372" s="25"/>
      <c r="G372" s="14"/>
      <c r="H372" s="14"/>
      <c r="I372" s="14"/>
      <c r="J372" s="14"/>
      <c r="K372" s="14"/>
      <c r="L372" s="7"/>
      <c r="M372" s="14"/>
      <c r="N372" s="14"/>
      <c r="O372" s="7"/>
      <c r="P372" s="21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 x14ac:dyDescent="0.25">
      <c r="A373" s="14"/>
      <c r="B373" s="14"/>
      <c r="C373" s="14"/>
      <c r="D373" s="14"/>
      <c r="E373" s="25"/>
      <c r="F373" s="25"/>
      <c r="G373" s="14"/>
      <c r="H373" s="14"/>
      <c r="I373" s="14"/>
      <c r="J373" s="14"/>
      <c r="K373" s="14"/>
      <c r="L373" s="7"/>
      <c r="M373" s="14"/>
      <c r="N373" s="14"/>
      <c r="O373" s="7"/>
      <c r="P373" s="21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 x14ac:dyDescent="0.25">
      <c r="A374" s="14"/>
      <c r="B374" s="14"/>
      <c r="C374" s="14"/>
      <c r="D374" s="14"/>
      <c r="E374" s="25"/>
      <c r="F374" s="25"/>
      <c r="G374" s="14"/>
      <c r="H374" s="14"/>
      <c r="I374" s="14"/>
      <c r="J374" s="14"/>
      <c r="K374" s="14"/>
      <c r="L374" s="7"/>
      <c r="M374" s="14"/>
      <c r="N374" s="14"/>
      <c r="O374" s="7"/>
      <c r="P374" s="21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 x14ac:dyDescent="0.25">
      <c r="A375" s="14"/>
      <c r="B375" s="14"/>
      <c r="C375" s="14"/>
      <c r="D375" s="14"/>
      <c r="E375" s="25"/>
      <c r="F375" s="25"/>
      <c r="G375" s="14"/>
      <c r="H375" s="14"/>
      <c r="I375" s="14"/>
      <c r="J375" s="14"/>
      <c r="K375" s="14"/>
      <c r="L375" s="7"/>
      <c r="M375" s="14"/>
      <c r="N375" s="14"/>
      <c r="O375" s="7"/>
      <c r="P375" s="21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 x14ac:dyDescent="0.25">
      <c r="A376" s="14"/>
      <c r="B376" s="14"/>
      <c r="C376" s="14"/>
      <c r="D376" s="14"/>
      <c r="E376" s="25"/>
      <c r="F376" s="25"/>
      <c r="G376" s="14"/>
      <c r="H376" s="14"/>
      <c r="I376" s="14"/>
      <c r="J376" s="14"/>
      <c r="K376" s="14"/>
      <c r="L376" s="7"/>
      <c r="M376" s="14"/>
      <c r="N376" s="14"/>
      <c r="O376" s="7"/>
      <c r="P376" s="21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 x14ac:dyDescent="0.25">
      <c r="A377" s="14"/>
      <c r="B377" s="14"/>
      <c r="C377" s="14"/>
      <c r="D377" s="14"/>
      <c r="E377" s="25"/>
      <c r="F377" s="25"/>
      <c r="G377" s="14"/>
      <c r="H377" s="14"/>
      <c r="I377" s="14"/>
      <c r="J377" s="14"/>
      <c r="K377" s="14"/>
      <c r="L377" s="7"/>
      <c r="M377" s="14"/>
      <c r="N377" s="14"/>
      <c r="O377" s="7"/>
      <c r="P377" s="21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 x14ac:dyDescent="0.25">
      <c r="A378" s="14"/>
      <c r="B378" s="14"/>
      <c r="C378" s="14"/>
      <c r="D378" s="14"/>
      <c r="E378" s="25"/>
      <c r="F378" s="25"/>
      <c r="G378" s="14"/>
      <c r="H378" s="14"/>
      <c r="I378" s="14"/>
      <c r="J378" s="14"/>
      <c r="K378" s="14"/>
      <c r="L378" s="7"/>
      <c r="M378" s="14"/>
      <c r="N378" s="14"/>
      <c r="O378" s="7"/>
      <c r="P378" s="21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 x14ac:dyDescent="0.25">
      <c r="A379" s="14"/>
      <c r="B379" s="14"/>
      <c r="C379" s="14"/>
      <c r="D379" s="14"/>
      <c r="E379" s="25"/>
      <c r="F379" s="25"/>
      <c r="G379" s="14"/>
      <c r="H379" s="14"/>
      <c r="I379" s="14"/>
      <c r="J379" s="14"/>
      <c r="K379" s="14"/>
      <c r="L379" s="7"/>
      <c r="M379" s="14"/>
      <c r="N379" s="14"/>
      <c r="O379" s="7"/>
      <c r="P379" s="21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 x14ac:dyDescent="0.25">
      <c r="A380" s="14"/>
      <c r="B380" s="14"/>
      <c r="C380" s="14"/>
      <c r="D380" s="14"/>
      <c r="E380" s="25"/>
      <c r="F380" s="25"/>
      <c r="G380" s="14"/>
      <c r="H380" s="14"/>
      <c r="I380" s="14"/>
      <c r="J380" s="14"/>
      <c r="K380" s="14"/>
      <c r="L380" s="7"/>
      <c r="M380" s="14"/>
      <c r="N380" s="14"/>
      <c r="O380" s="7"/>
      <c r="P380" s="21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 x14ac:dyDescent="0.25">
      <c r="A381" s="14"/>
      <c r="B381" s="14"/>
      <c r="C381" s="14"/>
      <c r="D381" s="14"/>
      <c r="E381" s="25"/>
      <c r="F381" s="25"/>
      <c r="G381" s="14"/>
      <c r="H381" s="14"/>
      <c r="I381" s="14"/>
      <c r="J381" s="14"/>
      <c r="K381" s="14"/>
      <c r="L381" s="7"/>
      <c r="M381" s="14"/>
      <c r="N381" s="14"/>
      <c r="O381" s="7"/>
      <c r="P381" s="21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 x14ac:dyDescent="0.25">
      <c r="A382" s="14"/>
      <c r="B382" s="14"/>
      <c r="C382" s="14"/>
      <c r="D382" s="14"/>
      <c r="E382" s="25"/>
      <c r="F382" s="25"/>
      <c r="G382" s="14"/>
      <c r="H382" s="14"/>
      <c r="I382" s="14"/>
      <c r="J382" s="14"/>
      <c r="K382" s="14"/>
      <c r="L382" s="7"/>
      <c r="M382" s="14"/>
      <c r="N382" s="14"/>
      <c r="O382" s="7"/>
      <c r="P382" s="21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 x14ac:dyDescent="0.25">
      <c r="A383" s="14"/>
      <c r="B383" s="14"/>
      <c r="C383" s="14"/>
      <c r="D383" s="14"/>
      <c r="E383" s="25"/>
      <c r="F383" s="25"/>
      <c r="G383" s="14"/>
      <c r="H383" s="14"/>
      <c r="I383" s="14"/>
      <c r="J383" s="14"/>
      <c r="K383" s="14"/>
      <c r="L383" s="7"/>
      <c r="M383" s="14"/>
      <c r="N383" s="14"/>
      <c r="O383" s="7"/>
      <c r="P383" s="21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 x14ac:dyDescent="0.25">
      <c r="A384" s="14"/>
      <c r="B384" s="14"/>
      <c r="C384" s="14"/>
      <c r="D384" s="14"/>
      <c r="E384" s="25"/>
      <c r="F384" s="25"/>
      <c r="G384" s="14"/>
      <c r="H384" s="14"/>
      <c r="I384" s="14"/>
      <c r="J384" s="14"/>
      <c r="K384" s="14"/>
      <c r="L384" s="7"/>
      <c r="M384" s="14"/>
      <c r="N384" s="14"/>
      <c r="O384" s="7"/>
      <c r="P384" s="21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 x14ac:dyDescent="0.25">
      <c r="A385" s="14"/>
      <c r="B385" s="14"/>
      <c r="C385" s="14"/>
      <c r="D385" s="14"/>
      <c r="E385" s="25"/>
      <c r="F385" s="25"/>
      <c r="G385" s="14"/>
      <c r="H385" s="14"/>
      <c r="I385" s="14"/>
      <c r="J385" s="14"/>
      <c r="K385" s="14"/>
      <c r="L385" s="7"/>
      <c r="M385" s="14"/>
      <c r="N385" s="14"/>
      <c r="O385" s="7"/>
      <c r="P385" s="21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 x14ac:dyDescent="0.25">
      <c r="A386" s="14"/>
      <c r="B386" s="14"/>
      <c r="C386" s="14"/>
      <c r="D386" s="14"/>
      <c r="E386" s="25"/>
      <c r="F386" s="25"/>
      <c r="G386" s="14"/>
      <c r="H386" s="14"/>
      <c r="I386" s="14"/>
      <c r="J386" s="14"/>
      <c r="K386" s="14"/>
      <c r="L386" s="7"/>
      <c r="M386" s="14"/>
      <c r="N386" s="14"/>
      <c r="O386" s="7"/>
      <c r="P386" s="21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 x14ac:dyDescent="0.25">
      <c r="A387" s="14"/>
      <c r="B387" s="14"/>
      <c r="C387" s="14"/>
      <c r="D387" s="14"/>
      <c r="E387" s="25"/>
      <c r="F387" s="25"/>
      <c r="G387" s="14"/>
      <c r="H387" s="14"/>
      <c r="I387" s="14"/>
      <c r="J387" s="14"/>
      <c r="K387" s="14"/>
      <c r="L387" s="7"/>
      <c r="M387" s="14"/>
      <c r="N387" s="14"/>
      <c r="O387" s="7"/>
      <c r="P387" s="21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 x14ac:dyDescent="0.25">
      <c r="A388" s="14"/>
      <c r="B388" s="14"/>
      <c r="C388" s="14"/>
      <c r="D388" s="14"/>
      <c r="E388" s="25"/>
      <c r="F388" s="25"/>
      <c r="G388" s="14"/>
      <c r="H388" s="14"/>
      <c r="I388" s="14"/>
      <c r="J388" s="14"/>
      <c r="K388" s="14"/>
      <c r="L388" s="7"/>
      <c r="M388" s="14"/>
      <c r="N388" s="14"/>
      <c r="O388" s="7"/>
      <c r="P388" s="21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 x14ac:dyDescent="0.25">
      <c r="A389" s="14"/>
      <c r="B389" s="14"/>
      <c r="C389" s="14"/>
      <c r="D389" s="14"/>
      <c r="E389" s="25"/>
      <c r="F389" s="25"/>
      <c r="G389" s="14"/>
      <c r="H389" s="14"/>
      <c r="I389" s="14"/>
      <c r="J389" s="14"/>
      <c r="K389" s="14"/>
      <c r="L389" s="7"/>
      <c r="M389" s="14"/>
      <c r="N389" s="14"/>
      <c r="O389" s="7"/>
      <c r="P389" s="21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 x14ac:dyDescent="0.25">
      <c r="A390" s="14"/>
      <c r="B390" s="14"/>
      <c r="C390" s="14"/>
      <c r="D390" s="14"/>
      <c r="E390" s="25"/>
      <c r="F390" s="25"/>
      <c r="G390" s="14"/>
      <c r="H390" s="14"/>
      <c r="I390" s="14"/>
      <c r="J390" s="14"/>
      <c r="K390" s="14"/>
      <c r="L390" s="7"/>
      <c r="M390" s="14"/>
      <c r="N390" s="14"/>
      <c r="O390" s="7"/>
      <c r="P390" s="21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 x14ac:dyDescent="0.25">
      <c r="A391" s="14"/>
      <c r="B391" s="14"/>
      <c r="C391" s="14"/>
      <c r="D391" s="14"/>
      <c r="E391" s="25"/>
      <c r="F391" s="25"/>
      <c r="G391" s="14"/>
      <c r="H391" s="14"/>
      <c r="I391" s="14"/>
      <c r="J391" s="14"/>
      <c r="K391" s="14"/>
      <c r="L391" s="7"/>
      <c r="M391" s="14"/>
      <c r="N391" s="14"/>
      <c r="O391" s="7"/>
      <c r="P391" s="21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 x14ac:dyDescent="0.25">
      <c r="A392" s="14"/>
      <c r="B392" s="14"/>
      <c r="C392" s="14"/>
      <c r="D392" s="14"/>
      <c r="E392" s="25"/>
      <c r="F392" s="25"/>
      <c r="G392" s="14"/>
      <c r="H392" s="14"/>
      <c r="I392" s="14"/>
      <c r="J392" s="14"/>
      <c r="K392" s="14"/>
      <c r="L392" s="7"/>
      <c r="M392" s="14"/>
      <c r="N392" s="14"/>
      <c r="O392" s="7"/>
      <c r="P392" s="21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 x14ac:dyDescent="0.25">
      <c r="A393" s="14"/>
      <c r="B393" s="14"/>
      <c r="C393" s="14"/>
      <c r="D393" s="14"/>
      <c r="E393" s="25"/>
      <c r="F393" s="25"/>
      <c r="G393" s="14"/>
      <c r="H393" s="14"/>
      <c r="I393" s="14"/>
      <c r="J393" s="14"/>
      <c r="K393" s="14"/>
      <c r="L393" s="7"/>
      <c r="M393" s="14"/>
      <c r="N393" s="14"/>
      <c r="O393" s="7"/>
      <c r="P393" s="21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 x14ac:dyDescent="0.25">
      <c r="A394" s="14"/>
      <c r="B394" s="14"/>
      <c r="C394" s="14"/>
      <c r="D394" s="14"/>
      <c r="E394" s="25"/>
      <c r="F394" s="25"/>
      <c r="G394" s="14"/>
      <c r="H394" s="14"/>
      <c r="I394" s="14"/>
      <c r="J394" s="14"/>
      <c r="K394" s="14"/>
      <c r="L394" s="7"/>
      <c r="M394" s="14"/>
      <c r="N394" s="14"/>
      <c r="O394" s="7"/>
      <c r="P394" s="21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 x14ac:dyDescent="0.25">
      <c r="A395" s="14"/>
      <c r="B395" s="14"/>
      <c r="C395" s="14"/>
      <c r="D395" s="14"/>
      <c r="E395" s="25"/>
      <c r="F395" s="25"/>
      <c r="G395" s="14"/>
      <c r="H395" s="14"/>
      <c r="I395" s="14"/>
      <c r="J395" s="14"/>
      <c r="K395" s="14"/>
      <c r="L395" s="7"/>
      <c r="M395" s="14"/>
      <c r="N395" s="14"/>
      <c r="O395" s="7"/>
      <c r="P395" s="21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 x14ac:dyDescent="0.25">
      <c r="A396" s="14"/>
      <c r="B396" s="14"/>
      <c r="C396" s="14"/>
      <c r="D396" s="14"/>
      <c r="E396" s="25"/>
      <c r="F396" s="25"/>
      <c r="G396" s="14"/>
      <c r="H396" s="14"/>
      <c r="I396" s="14"/>
      <c r="J396" s="14"/>
      <c r="K396" s="14"/>
      <c r="L396" s="7"/>
      <c r="M396" s="14"/>
      <c r="N396" s="14"/>
      <c r="O396" s="7"/>
      <c r="P396" s="21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 x14ac:dyDescent="0.25">
      <c r="A397" s="14"/>
      <c r="B397" s="14"/>
      <c r="C397" s="14"/>
      <c r="D397" s="14"/>
      <c r="E397" s="25"/>
      <c r="F397" s="25"/>
      <c r="G397" s="14"/>
      <c r="H397" s="14"/>
      <c r="I397" s="14"/>
      <c r="J397" s="14"/>
      <c r="K397" s="14"/>
      <c r="L397" s="7"/>
      <c r="M397" s="14"/>
      <c r="N397" s="14"/>
      <c r="O397" s="7"/>
      <c r="P397" s="21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 x14ac:dyDescent="0.25">
      <c r="A398" s="14"/>
      <c r="B398" s="14"/>
      <c r="C398" s="14"/>
      <c r="D398" s="14"/>
      <c r="E398" s="25"/>
      <c r="F398" s="25"/>
      <c r="G398" s="14"/>
      <c r="H398" s="14"/>
      <c r="I398" s="14"/>
      <c r="J398" s="14"/>
      <c r="K398" s="14"/>
      <c r="L398" s="7"/>
      <c r="M398" s="14"/>
      <c r="N398" s="14"/>
      <c r="O398" s="7"/>
      <c r="P398" s="21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 x14ac:dyDescent="0.25">
      <c r="A399" s="14"/>
      <c r="B399" s="14"/>
      <c r="C399" s="14"/>
      <c r="D399" s="14"/>
      <c r="E399" s="25"/>
      <c r="F399" s="25"/>
      <c r="G399" s="14"/>
      <c r="H399" s="14"/>
      <c r="I399" s="14"/>
      <c r="J399" s="14"/>
      <c r="K399" s="14"/>
      <c r="L399" s="7"/>
      <c r="M399" s="14"/>
      <c r="N399" s="14"/>
      <c r="O399" s="7"/>
      <c r="P399" s="21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 x14ac:dyDescent="0.25">
      <c r="A400" s="14"/>
      <c r="B400" s="14"/>
      <c r="C400" s="14"/>
      <c r="D400" s="14"/>
      <c r="E400" s="25"/>
      <c r="F400" s="25"/>
      <c r="G400" s="14"/>
      <c r="H400" s="14"/>
      <c r="I400" s="14"/>
      <c r="J400" s="14"/>
      <c r="K400" s="14"/>
      <c r="L400" s="7"/>
      <c r="M400" s="14"/>
      <c r="N400" s="14"/>
      <c r="O400" s="7"/>
      <c r="P400" s="21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 x14ac:dyDescent="0.25">
      <c r="A401" s="14"/>
      <c r="B401" s="14"/>
      <c r="C401" s="14"/>
      <c r="D401" s="14"/>
      <c r="E401" s="25"/>
      <c r="F401" s="25"/>
      <c r="G401" s="14"/>
      <c r="H401" s="14"/>
      <c r="I401" s="14"/>
      <c r="J401" s="14"/>
      <c r="K401" s="14"/>
      <c r="L401" s="7"/>
      <c r="M401" s="14"/>
      <c r="N401" s="14"/>
      <c r="O401" s="7"/>
      <c r="P401" s="21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 x14ac:dyDescent="0.25">
      <c r="A402" s="14"/>
      <c r="B402" s="14"/>
      <c r="C402" s="14"/>
      <c r="D402" s="14"/>
      <c r="E402" s="25"/>
      <c r="F402" s="25"/>
      <c r="G402" s="14"/>
      <c r="H402" s="14"/>
      <c r="I402" s="14"/>
      <c r="J402" s="14"/>
      <c r="K402" s="14"/>
      <c r="L402" s="7"/>
      <c r="M402" s="14"/>
      <c r="N402" s="14"/>
      <c r="O402" s="7"/>
      <c r="P402" s="21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 x14ac:dyDescent="0.25">
      <c r="A403" s="14"/>
      <c r="B403" s="14"/>
      <c r="C403" s="14"/>
      <c r="D403" s="14"/>
      <c r="E403" s="25"/>
      <c r="F403" s="25"/>
      <c r="G403" s="14"/>
      <c r="H403" s="14"/>
      <c r="I403" s="14"/>
      <c r="J403" s="14"/>
      <c r="K403" s="14"/>
      <c r="L403" s="7"/>
      <c r="M403" s="14"/>
      <c r="N403" s="14"/>
      <c r="O403" s="7"/>
      <c r="P403" s="21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 x14ac:dyDescent="0.25">
      <c r="A404" s="14"/>
      <c r="B404" s="14"/>
      <c r="C404" s="14"/>
      <c r="D404" s="14"/>
      <c r="E404" s="25"/>
      <c r="F404" s="25"/>
      <c r="G404" s="14"/>
      <c r="H404" s="14"/>
      <c r="I404" s="14"/>
      <c r="J404" s="14"/>
      <c r="K404" s="14"/>
      <c r="L404" s="7"/>
      <c r="M404" s="14"/>
      <c r="N404" s="14"/>
      <c r="O404" s="7"/>
      <c r="P404" s="21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 x14ac:dyDescent="0.25">
      <c r="A405" s="14"/>
      <c r="B405" s="14"/>
      <c r="C405" s="14"/>
      <c r="D405" s="14"/>
      <c r="E405" s="25"/>
      <c r="F405" s="25"/>
      <c r="G405" s="14"/>
      <c r="H405" s="14"/>
      <c r="I405" s="14"/>
      <c r="J405" s="14"/>
      <c r="K405" s="14"/>
      <c r="L405" s="7"/>
      <c r="M405" s="14"/>
      <c r="N405" s="14"/>
      <c r="O405" s="7"/>
      <c r="P405" s="21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 x14ac:dyDescent="0.25">
      <c r="A406" s="14"/>
      <c r="B406" s="14"/>
      <c r="C406" s="14"/>
      <c r="D406" s="14"/>
      <c r="E406" s="25"/>
      <c r="F406" s="25"/>
      <c r="G406" s="14"/>
      <c r="H406" s="14"/>
      <c r="I406" s="14"/>
      <c r="J406" s="14"/>
      <c r="K406" s="14"/>
      <c r="L406" s="7"/>
      <c r="M406" s="14"/>
      <c r="N406" s="14"/>
      <c r="O406" s="7"/>
      <c r="P406" s="21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 x14ac:dyDescent="0.25">
      <c r="A407" s="14"/>
      <c r="B407" s="14"/>
      <c r="C407" s="14"/>
      <c r="D407" s="14"/>
      <c r="E407" s="25"/>
      <c r="F407" s="25"/>
      <c r="G407" s="14"/>
      <c r="H407" s="14"/>
      <c r="I407" s="14"/>
      <c r="J407" s="14"/>
      <c r="K407" s="14"/>
      <c r="L407" s="7"/>
      <c r="M407" s="14"/>
      <c r="N407" s="14"/>
      <c r="O407" s="7"/>
      <c r="P407" s="21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 x14ac:dyDescent="0.25">
      <c r="A408" s="14"/>
      <c r="B408" s="14"/>
      <c r="C408" s="14"/>
      <c r="D408" s="14"/>
      <c r="E408" s="25"/>
      <c r="F408" s="25"/>
      <c r="G408" s="14"/>
      <c r="H408" s="14"/>
      <c r="I408" s="14"/>
      <c r="J408" s="14"/>
      <c r="K408" s="14"/>
      <c r="L408" s="7"/>
      <c r="M408" s="14"/>
      <c r="N408" s="14"/>
      <c r="O408" s="7"/>
      <c r="P408" s="21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 x14ac:dyDescent="0.25">
      <c r="A409" s="14"/>
      <c r="B409" s="14"/>
      <c r="C409" s="14"/>
      <c r="D409" s="14"/>
      <c r="E409" s="25"/>
      <c r="F409" s="25"/>
      <c r="G409" s="14"/>
      <c r="H409" s="14"/>
      <c r="I409" s="14"/>
      <c r="J409" s="14"/>
      <c r="K409" s="14"/>
      <c r="L409" s="7"/>
      <c r="M409" s="14"/>
      <c r="N409" s="14"/>
      <c r="O409" s="7"/>
      <c r="P409" s="21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 x14ac:dyDescent="0.25">
      <c r="A410" s="14"/>
      <c r="B410" s="14"/>
      <c r="C410" s="14"/>
      <c r="D410" s="14"/>
      <c r="E410" s="25"/>
      <c r="F410" s="25"/>
      <c r="G410" s="14"/>
      <c r="H410" s="14"/>
      <c r="I410" s="14"/>
      <c r="J410" s="14"/>
      <c r="K410" s="14"/>
      <c r="L410" s="7"/>
      <c r="M410" s="14"/>
      <c r="N410" s="14"/>
      <c r="O410" s="7"/>
      <c r="P410" s="21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 x14ac:dyDescent="0.25">
      <c r="A411" s="14"/>
      <c r="B411" s="14"/>
      <c r="C411" s="14"/>
      <c r="D411" s="14"/>
      <c r="E411" s="25"/>
      <c r="F411" s="25"/>
      <c r="G411" s="14"/>
      <c r="H411" s="14"/>
      <c r="I411" s="14"/>
      <c r="J411" s="14"/>
      <c r="K411" s="14"/>
      <c r="L411" s="7"/>
      <c r="M411" s="14"/>
      <c r="N411" s="14"/>
      <c r="O411" s="7"/>
      <c r="P411" s="21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 x14ac:dyDescent="0.25">
      <c r="A412" s="14"/>
      <c r="B412" s="14"/>
      <c r="C412" s="14"/>
      <c r="D412" s="14"/>
      <c r="E412" s="25"/>
      <c r="F412" s="25"/>
      <c r="G412" s="14"/>
      <c r="H412" s="14"/>
      <c r="I412" s="14"/>
      <c r="J412" s="14"/>
      <c r="K412" s="14"/>
      <c r="L412" s="7"/>
      <c r="M412" s="14"/>
      <c r="N412" s="14"/>
      <c r="O412" s="7"/>
      <c r="P412" s="21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 x14ac:dyDescent="0.25">
      <c r="A413" s="14"/>
      <c r="B413" s="14"/>
      <c r="C413" s="14"/>
      <c r="D413" s="14"/>
      <c r="E413" s="25"/>
      <c r="F413" s="25"/>
      <c r="G413" s="14"/>
      <c r="H413" s="14"/>
      <c r="I413" s="14"/>
      <c r="J413" s="14"/>
      <c r="K413" s="14"/>
      <c r="L413" s="7"/>
      <c r="M413" s="14"/>
      <c r="N413" s="14"/>
      <c r="O413" s="7"/>
      <c r="P413" s="21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 x14ac:dyDescent="0.25">
      <c r="A414" s="14"/>
      <c r="B414" s="14"/>
      <c r="C414" s="14"/>
      <c r="D414" s="14"/>
      <c r="E414" s="25"/>
      <c r="F414" s="25"/>
      <c r="G414" s="14"/>
      <c r="H414" s="14"/>
      <c r="I414" s="14"/>
      <c r="J414" s="14"/>
      <c r="K414" s="14"/>
      <c r="L414" s="7"/>
      <c r="M414" s="14"/>
      <c r="N414" s="14"/>
      <c r="O414" s="7"/>
      <c r="P414" s="21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 x14ac:dyDescent="0.25">
      <c r="A415" s="14"/>
      <c r="B415" s="14"/>
      <c r="C415" s="14"/>
      <c r="D415" s="14"/>
      <c r="E415" s="25"/>
      <c r="F415" s="25"/>
      <c r="G415" s="14"/>
      <c r="H415" s="14"/>
      <c r="I415" s="14"/>
      <c r="J415" s="14"/>
      <c r="K415" s="14"/>
      <c r="L415" s="7"/>
      <c r="M415" s="14"/>
      <c r="N415" s="14"/>
      <c r="O415" s="7"/>
      <c r="P415" s="21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 x14ac:dyDescent="0.25">
      <c r="A416" s="14"/>
      <c r="B416" s="14"/>
      <c r="C416" s="14"/>
      <c r="D416" s="14"/>
      <c r="E416" s="25"/>
      <c r="F416" s="25"/>
      <c r="G416" s="14"/>
      <c r="H416" s="14"/>
      <c r="I416" s="14"/>
      <c r="J416" s="14"/>
      <c r="K416" s="14"/>
      <c r="L416" s="7"/>
      <c r="M416" s="14"/>
      <c r="N416" s="14"/>
      <c r="O416" s="7"/>
      <c r="P416" s="21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 x14ac:dyDescent="0.25">
      <c r="A417" s="14"/>
      <c r="B417" s="14"/>
      <c r="C417" s="14"/>
      <c r="D417" s="14"/>
      <c r="E417" s="25"/>
      <c r="F417" s="25"/>
      <c r="G417" s="14"/>
      <c r="H417" s="14"/>
      <c r="I417" s="14"/>
      <c r="J417" s="14"/>
      <c r="K417" s="14"/>
      <c r="L417" s="7"/>
      <c r="M417" s="14"/>
      <c r="N417" s="14"/>
      <c r="O417" s="7"/>
      <c r="P417" s="21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 x14ac:dyDescent="0.25">
      <c r="A418" s="14"/>
      <c r="B418" s="14"/>
      <c r="C418" s="14"/>
      <c r="D418" s="14"/>
      <c r="E418" s="25"/>
      <c r="F418" s="25"/>
      <c r="G418" s="14"/>
      <c r="H418" s="14"/>
      <c r="I418" s="14"/>
      <c r="J418" s="14"/>
      <c r="K418" s="14"/>
      <c r="L418" s="7"/>
      <c r="M418" s="14"/>
      <c r="N418" s="14"/>
      <c r="O418" s="7"/>
      <c r="P418" s="21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 x14ac:dyDescent="0.25">
      <c r="A419" s="14"/>
      <c r="B419" s="14"/>
      <c r="C419" s="14"/>
      <c r="D419" s="14"/>
      <c r="E419" s="25"/>
      <c r="F419" s="25"/>
      <c r="G419" s="14"/>
      <c r="H419" s="14"/>
      <c r="I419" s="14"/>
      <c r="J419" s="14"/>
      <c r="K419" s="14"/>
      <c r="L419" s="7"/>
      <c r="M419" s="14"/>
      <c r="N419" s="14"/>
      <c r="O419" s="7"/>
      <c r="P419" s="21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 x14ac:dyDescent="0.25">
      <c r="A420" s="14"/>
      <c r="B420" s="14"/>
      <c r="C420" s="14"/>
      <c r="D420" s="14"/>
      <c r="E420" s="25"/>
      <c r="F420" s="25"/>
      <c r="G420" s="14"/>
      <c r="H420" s="14"/>
      <c r="I420" s="14"/>
      <c r="J420" s="14"/>
      <c r="K420" s="14"/>
      <c r="L420" s="7"/>
      <c r="M420" s="14"/>
      <c r="N420" s="14"/>
      <c r="O420" s="7"/>
      <c r="P420" s="21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 x14ac:dyDescent="0.25">
      <c r="A421" s="14"/>
      <c r="B421" s="14"/>
      <c r="C421" s="14"/>
      <c r="D421" s="14"/>
      <c r="E421" s="25"/>
      <c r="F421" s="25"/>
      <c r="G421" s="14"/>
      <c r="H421" s="14"/>
      <c r="I421" s="14"/>
      <c r="J421" s="14"/>
      <c r="K421" s="14"/>
      <c r="L421" s="7"/>
      <c r="M421" s="14"/>
      <c r="N421" s="14"/>
      <c r="O421" s="7"/>
      <c r="P421" s="21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 x14ac:dyDescent="0.25">
      <c r="A422" s="14"/>
      <c r="B422" s="14"/>
      <c r="C422" s="14"/>
      <c r="D422" s="14"/>
      <c r="E422" s="25"/>
      <c r="F422" s="25"/>
      <c r="G422" s="14"/>
      <c r="H422" s="14"/>
      <c r="I422" s="14"/>
      <c r="J422" s="14"/>
      <c r="K422" s="14"/>
      <c r="L422" s="7"/>
      <c r="M422" s="14"/>
      <c r="N422" s="14"/>
      <c r="O422" s="7"/>
      <c r="P422" s="21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 x14ac:dyDescent="0.25">
      <c r="A423" s="14"/>
      <c r="B423" s="14"/>
      <c r="C423" s="14"/>
      <c r="D423" s="14"/>
      <c r="E423" s="25"/>
      <c r="F423" s="25"/>
      <c r="G423" s="14"/>
      <c r="H423" s="14"/>
      <c r="I423" s="14"/>
      <c r="J423" s="14"/>
      <c r="K423" s="14"/>
      <c r="L423" s="7"/>
      <c r="M423" s="14"/>
      <c r="N423" s="14"/>
      <c r="O423" s="7"/>
      <c r="P423" s="21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 x14ac:dyDescent="0.25">
      <c r="A424" s="14"/>
      <c r="B424" s="14"/>
      <c r="C424" s="14"/>
      <c r="D424" s="14"/>
      <c r="E424" s="25"/>
      <c r="F424" s="25"/>
      <c r="G424" s="14"/>
      <c r="H424" s="14"/>
      <c r="I424" s="14"/>
      <c r="J424" s="14"/>
      <c r="K424" s="14"/>
      <c r="L424" s="7"/>
      <c r="M424" s="14"/>
      <c r="N424" s="14"/>
      <c r="O424" s="7"/>
      <c r="P424" s="21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 x14ac:dyDescent="0.25">
      <c r="A425" s="14"/>
      <c r="B425" s="14"/>
      <c r="C425" s="14"/>
      <c r="D425" s="14"/>
      <c r="E425" s="25"/>
      <c r="F425" s="25"/>
      <c r="G425" s="14"/>
      <c r="H425" s="14"/>
      <c r="I425" s="14"/>
      <c r="J425" s="14"/>
      <c r="K425" s="14"/>
      <c r="L425" s="7"/>
      <c r="M425" s="14"/>
      <c r="N425" s="14"/>
      <c r="O425" s="7"/>
      <c r="P425" s="21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 x14ac:dyDescent="0.25">
      <c r="A426" s="14"/>
      <c r="B426" s="14"/>
      <c r="C426" s="14"/>
      <c r="D426" s="14"/>
      <c r="E426" s="25"/>
      <c r="F426" s="25"/>
      <c r="G426" s="14"/>
      <c r="H426" s="14"/>
      <c r="I426" s="14"/>
      <c r="J426" s="14"/>
      <c r="K426" s="14"/>
      <c r="L426" s="7"/>
      <c r="M426" s="14"/>
      <c r="N426" s="14"/>
      <c r="O426" s="7"/>
      <c r="P426" s="21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 x14ac:dyDescent="0.25">
      <c r="A427" s="14"/>
      <c r="B427" s="14"/>
      <c r="C427" s="14"/>
      <c r="D427" s="14"/>
      <c r="E427" s="25"/>
      <c r="F427" s="25"/>
      <c r="G427" s="14"/>
      <c r="H427" s="14"/>
      <c r="I427" s="14"/>
      <c r="J427" s="14"/>
      <c r="K427" s="14"/>
      <c r="L427" s="7"/>
      <c r="M427" s="14"/>
      <c r="N427" s="14"/>
      <c r="O427" s="7"/>
      <c r="P427" s="21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 x14ac:dyDescent="0.25">
      <c r="A428" s="14"/>
      <c r="B428" s="14"/>
      <c r="C428" s="14"/>
      <c r="D428" s="14"/>
      <c r="E428" s="25"/>
      <c r="F428" s="25"/>
      <c r="G428" s="14"/>
      <c r="H428" s="14"/>
      <c r="I428" s="14"/>
      <c r="J428" s="14"/>
      <c r="K428" s="14"/>
      <c r="L428" s="7"/>
      <c r="M428" s="14"/>
      <c r="N428" s="14"/>
      <c r="O428" s="7"/>
      <c r="P428" s="21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 x14ac:dyDescent="0.25">
      <c r="A429" s="14"/>
      <c r="B429" s="14"/>
      <c r="C429" s="14"/>
      <c r="D429" s="14"/>
      <c r="E429" s="25"/>
      <c r="F429" s="25"/>
      <c r="G429" s="14"/>
      <c r="H429" s="14"/>
      <c r="I429" s="14"/>
      <c r="J429" s="14"/>
      <c r="K429" s="14"/>
      <c r="L429" s="7"/>
      <c r="M429" s="14"/>
      <c r="N429" s="14"/>
      <c r="O429" s="7"/>
      <c r="P429" s="21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 x14ac:dyDescent="0.25">
      <c r="A430" s="14"/>
      <c r="B430" s="14"/>
      <c r="C430" s="14"/>
      <c r="D430" s="14"/>
      <c r="E430" s="25"/>
      <c r="F430" s="25"/>
      <c r="G430" s="14"/>
      <c r="H430" s="14"/>
      <c r="I430" s="14"/>
      <c r="J430" s="14"/>
      <c r="K430" s="14"/>
      <c r="L430" s="7"/>
      <c r="M430" s="14"/>
      <c r="N430" s="14"/>
      <c r="O430" s="7"/>
      <c r="P430" s="21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 x14ac:dyDescent="0.25">
      <c r="A431" s="14"/>
      <c r="B431" s="14"/>
      <c r="C431" s="14"/>
      <c r="D431" s="14"/>
      <c r="E431" s="25"/>
      <c r="F431" s="25"/>
      <c r="G431" s="14"/>
      <c r="H431" s="14"/>
      <c r="I431" s="14"/>
      <c r="J431" s="14"/>
      <c r="K431" s="14"/>
      <c r="L431" s="7"/>
      <c r="M431" s="14"/>
      <c r="N431" s="14"/>
      <c r="O431" s="7"/>
      <c r="P431" s="21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 x14ac:dyDescent="0.25">
      <c r="A432" s="14"/>
      <c r="B432" s="14"/>
      <c r="C432" s="14"/>
      <c r="D432" s="14"/>
      <c r="E432" s="25"/>
      <c r="F432" s="25"/>
      <c r="G432" s="14"/>
      <c r="H432" s="14"/>
      <c r="I432" s="14"/>
      <c r="J432" s="14"/>
      <c r="K432" s="14"/>
      <c r="L432" s="7"/>
      <c r="M432" s="14"/>
      <c r="N432" s="14"/>
      <c r="O432" s="7"/>
      <c r="P432" s="21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 x14ac:dyDescent="0.25">
      <c r="A433" s="14"/>
      <c r="B433" s="14"/>
      <c r="C433" s="14"/>
      <c r="D433" s="14"/>
      <c r="E433" s="25"/>
      <c r="F433" s="25"/>
      <c r="G433" s="14"/>
      <c r="H433" s="14"/>
      <c r="I433" s="14"/>
      <c r="J433" s="14"/>
      <c r="K433" s="14"/>
      <c r="L433" s="7"/>
      <c r="M433" s="14"/>
      <c r="N433" s="14"/>
      <c r="O433" s="7"/>
      <c r="P433" s="21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 x14ac:dyDescent="0.25">
      <c r="A434" s="14"/>
      <c r="B434" s="14"/>
      <c r="C434" s="14"/>
      <c r="D434" s="14"/>
      <c r="E434" s="25"/>
      <c r="F434" s="25"/>
      <c r="G434" s="14"/>
      <c r="H434" s="14"/>
      <c r="I434" s="14"/>
      <c r="J434" s="14"/>
      <c r="K434" s="14"/>
      <c r="L434" s="7"/>
      <c r="M434" s="14"/>
      <c r="N434" s="14"/>
      <c r="O434" s="7"/>
      <c r="P434" s="21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 x14ac:dyDescent="0.25">
      <c r="A435" s="14"/>
      <c r="B435" s="14"/>
      <c r="C435" s="14"/>
      <c r="D435" s="14"/>
      <c r="E435" s="25"/>
      <c r="F435" s="25"/>
      <c r="G435" s="14"/>
      <c r="H435" s="14"/>
      <c r="I435" s="14"/>
      <c r="J435" s="14"/>
      <c r="K435" s="14"/>
      <c r="L435" s="7"/>
      <c r="M435" s="14"/>
      <c r="N435" s="14"/>
      <c r="O435" s="7"/>
      <c r="P435" s="21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 x14ac:dyDescent="0.25">
      <c r="A436" s="14"/>
      <c r="B436" s="14"/>
      <c r="C436" s="14"/>
      <c r="D436" s="14"/>
      <c r="E436" s="25"/>
      <c r="F436" s="25"/>
      <c r="G436" s="14"/>
      <c r="H436" s="14"/>
      <c r="I436" s="14"/>
      <c r="J436" s="14"/>
      <c r="K436" s="14"/>
      <c r="L436" s="7"/>
      <c r="M436" s="14"/>
      <c r="N436" s="14"/>
      <c r="O436" s="7"/>
      <c r="P436" s="21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 x14ac:dyDescent="0.25">
      <c r="A437" s="14"/>
      <c r="B437" s="14"/>
      <c r="C437" s="14"/>
      <c r="D437" s="14"/>
      <c r="E437" s="25"/>
      <c r="F437" s="25"/>
      <c r="G437" s="14"/>
      <c r="H437" s="14"/>
      <c r="I437" s="14"/>
      <c r="J437" s="14"/>
      <c r="K437" s="14"/>
      <c r="L437" s="7"/>
      <c r="M437" s="14"/>
      <c r="N437" s="14"/>
      <c r="O437" s="7"/>
      <c r="P437" s="21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 x14ac:dyDescent="0.25">
      <c r="A438" s="14"/>
      <c r="B438" s="14"/>
      <c r="C438" s="14"/>
      <c r="D438" s="14"/>
      <c r="E438" s="25"/>
      <c r="F438" s="25"/>
      <c r="G438" s="14"/>
      <c r="H438" s="14"/>
      <c r="I438" s="14"/>
      <c r="J438" s="14"/>
      <c r="K438" s="14"/>
      <c r="L438" s="7"/>
      <c r="M438" s="14"/>
      <c r="N438" s="14"/>
      <c r="O438" s="7"/>
      <c r="P438" s="21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 x14ac:dyDescent="0.25">
      <c r="A439" s="14"/>
      <c r="B439" s="14"/>
      <c r="C439" s="14"/>
      <c r="D439" s="14"/>
      <c r="E439" s="25"/>
      <c r="F439" s="25"/>
      <c r="G439" s="14"/>
      <c r="H439" s="14"/>
      <c r="I439" s="14"/>
      <c r="J439" s="14"/>
      <c r="K439" s="14"/>
      <c r="L439" s="7"/>
      <c r="M439" s="14"/>
      <c r="N439" s="14"/>
      <c r="O439" s="7"/>
      <c r="P439" s="21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 x14ac:dyDescent="0.25">
      <c r="A440" s="14"/>
      <c r="B440" s="14"/>
      <c r="C440" s="14"/>
      <c r="D440" s="14"/>
      <c r="E440" s="25"/>
      <c r="F440" s="25"/>
      <c r="G440" s="14"/>
      <c r="H440" s="14"/>
      <c r="I440" s="14"/>
      <c r="J440" s="14"/>
      <c r="K440" s="14"/>
      <c r="L440" s="7"/>
      <c r="M440" s="14"/>
      <c r="N440" s="14"/>
      <c r="O440" s="7"/>
      <c r="P440" s="21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 x14ac:dyDescent="0.25">
      <c r="A441" s="14"/>
      <c r="B441" s="14"/>
      <c r="C441" s="14"/>
      <c r="D441" s="14"/>
      <c r="E441" s="25"/>
      <c r="F441" s="25"/>
      <c r="G441" s="14"/>
      <c r="H441" s="14"/>
      <c r="I441" s="14"/>
      <c r="J441" s="14"/>
      <c r="K441" s="14"/>
      <c r="L441" s="7"/>
      <c r="M441" s="14"/>
      <c r="N441" s="14"/>
      <c r="O441" s="7"/>
      <c r="P441" s="21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 x14ac:dyDescent="0.25">
      <c r="A442" s="14"/>
      <c r="B442" s="14"/>
      <c r="C442" s="14"/>
      <c r="D442" s="14"/>
      <c r="E442" s="25"/>
      <c r="F442" s="25"/>
      <c r="G442" s="14"/>
      <c r="H442" s="14"/>
      <c r="I442" s="14"/>
      <c r="J442" s="14"/>
      <c r="K442" s="14"/>
      <c r="L442" s="7"/>
      <c r="M442" s="14"/>
      <c r="N442" s="14"/>
      <c r="O442" s="7"/>
      <c r="P442" s="21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 x14ac:dyDescent="0.25">
      <c r="A443" s="14"/>
      <c r="B443" s="14"/>
      <c r="C443" s="14"/>
      <c r="D443" s="14"/>
      <c r="E443" s="25"/>
      <c r="F443" s="25"/>
      <c r="G443" s="14"/>
      <c r="H443" s="14"/>
      <c r="I443" s="14"/>
      <c r="J443" s="14"/>
      <c r="K443" s="14"/>
      <c r="L443" s="7"/>
      <c r="M443" s="14"/>
      <c r="N443" s="14"/>
      <c r="O443" s="7"/>
      <c r="P443" s="21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 x14ac:dyDescent="0.25">
      <c r="A444" s="14"/>
      <c r="B444" s="14"/>
      <c r="C444" s="14"/>
      <c r="D444" s="14"/>
      <c r="E444" s="25"/>
      <c r="F444" s="25"/>
      <c r="G444" s="14"/>
      <c r="H444" s="14"/>
      <c r="I444" s="14"/>
      <c r="J444" s="14"/>
      <c r="K444" s="14"/>
      <c r="L444" s="7"/>
      <c r="M444" s="14"/>
      <c r="N444" s="14"/>
      <c r="O444" s="7"/>
      <c r="P444" s="21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 x14ac:dyDescent="0.25">
      <c r="A445" s="14"/>
      <c r="B445" s="14"/>
      <c r="C445" s="14"/>
      <c r="D445" s="14"/>
      <c r="E445" s="25"/>
      <c r="F445" s="25"/>
      <c r="G445" s="14"/>
      <c r="H445" s="14"/>
      <c r="I445" s="14"/>
      <c r="J445" s="14"/>
      <c r="K445" s="14"/>
      <c r="L445" s="7"/>
      <c r="M445" s="14"/>
      <c r="N445" s="14"/>
      <c r="O445" s="7"/>
      <c r="P445" s="21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 x14ac:dyDescent="0.25">
      <c r="A446" s="14"/>
      <c r="B446" s="14"/>
      <c r="C446" s="14"/>
      <c r="D446" s="14"/>
      <c r="E446" s="25"/>
      <c r="F446" s="25"/>
      <c r="G446" s="14"/>
      <c r="H446" s="14"/>
      <c r="I446" s="14"/>
      <c r="J446" s="14"/>
      <c r="K446" s="14"/>
      <c r="L446" s="7"/>
      <c r="M446" s="14"/>
      <c r="N446" s="14"/>
      <c r="O446" s="7"/>
      <c r="P446" s="21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 x14ac:dyDescent="0.25">
      <c r="A447" s="14"/>
      <c r="B447" s="14"/>
      <c r="C447" s="14"/>
      <c r="D447" s="14"/>
      <c r="E447" s="25"/>
      <c r="F447" s="25"/>
      <c r="G447" s="14"/>
      <c r="H447" s="14"/>
      <c r="I447" s="14"/>
      <c r="J447" s="14"/>
      <c r="K447" s="14"/>
      <c r="L447" s="7"/>
      <c r="M447" s="14"/>
      <c r="N447" s="14"/>
      <c r="O447" s="7"/>
      <c r="P447" s="21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 x14ac:dyDescent="0.25">
      <c r="A448" s="14"/>
      <c r="B448" s="14"/>
      <c r="C448" s="14"/>
      <c r="D448" s="14"/>
      <c r="E448" s="25"/>
      <c r="F448" s="25"/>
      <c r="G448" s="14"/>
      <c r="H448" s="14"/>
      <c r="I448" s="14"/>
      <c r="J448" s="14"/>
      <c r="K448" s="14"/>
      <c r="L448" s="7"/>
      <c r="M448" s="14"/>
      <c r="N448" s="14"/>
      <c r="O448" s="7"/>
      <c r="P448" s="21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 x14ac:dyDescent="0.25">
      <c r="A449" s="14"/>
      <c r="B449" s="14"/>
      <c r="C449" s="14"/>
      <c r="D449" s="14"/>
      <c r="E449" s="25"/>
      <c r="F449" s="25"/>
      <c r="G449" s="14"/>
      <c r="H449" s="14"/>
      <c r="I449" s="14"/>
      <c r="J449" s="14"/>
      <c r="K449" s="14"/>
      <c r="L449" s="7"/>
      <c r="M449" s="14"/>
      <c r="N449" s="14"/>
      <c r="O449" s="7"/>
      <c r="P449" s="21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 x14ac:dyDescent="0.25">
      <c r="A450" s="14"/>
      <c r="B450" s="14"/>
      <c r="C450" s="14"/>
      <c r="D450" s="14"/>
      <c r="E450" s="25"/>
      <c r="F450" s="25"/>
      <c r="G450" s="14"/>
      <c r="H450" s="14"/>
      <c r="I450" s="14"/>
      <c r="J450" s="14"/>
      <c r="K450" s="14"/>
      <c r="L450" s="7"/>
      <c r="M450" s="14"/>
      <c r="N450" s="14"/>
      <c r="O450" s="7"/>
      <c r="P450" s="21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 x14ac:dyDescent="0.25">
      <c r="A451" s="14"/>
      <c r="B451" s="14"/>
      <c r="C451" s="14"/>
      <c r="D451" s="14"/>
      <c r="E451" s="25"/>
      <c r="F451" s="25"/>
      <c r="G451" s="14"/>
      <c r="H451" s="14"/>
      <c r="I451" s="14"/>
      <c r="J451" s="14"/>
      <c r="K451" s="14"/>
      <c r="L451" s="7"/>
      <c r="M451" s="14"/>
      <c r="N451" s="14"/>
      <c r="O451" s="7"/>
      <c r="P451" s="21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 x14ac:dyDescent="0.25">
      <c r="A452" s="14"/>
      <c r="B452" s="14"/>
      <c r="C452" s="14"/>
      <c r="D452" s="14"/>
      <c r="E452" s="25"/>
      <c r="F452" s="25"/>
      <c r="G452" s="14"/>
      <c r="H452" s="14"/>
      <c r="I452" s="14"/>
      <c r="J452" s="14"/>
      <c r="K452" s="14"/>
      <c r="L452" s="7"/>
      <c r="M452" s="14"/>
      <c r="N452" s="14"/>
      <c r="O452" s="7"/>
      <c r="P452" s="21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 x14ac:dyDescent="0.25">
      <c r="A453" s="14"/>
      <c r="B453" s="14"/>
      <c r="C453" s="14"/>
      <c r="D453" s="14"/>
      <c r="E453" s="25"/>
      <c r="F453" s="25"/>
      <c r="G453" s="14"/>
      <c r="H453" s="14"/>
      <c r="I453" s="14"/>
      <c r="J453" s="14"/>
      <c r="K453" s="14"/>
      <c r="L453" s="7"/>
      <c r="M453" s="14"/>
      <c r="N453" s="14"/>
      <c r="O453" s="7"/>
      <c r="P453" s="21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 x14ac:dyDescent="0.25">
      <c r="A454" s="14"/>
      <c r="B454" s="14"/>
      <c r="C454" s="14"/>
      <c r="D454" s="14"/>
      <c r="E454" s="25"/>
      <c r="F454" s="25"/>
      <c r="G454" s="14"/>
      <c r="H454" s="14"/>
      <c r="I454" s="14"/>
      <c r="J454" s="14"/>
      <c r="K454" s="14"/>
      <c r="L454" s="7"/>
      <c r="M454" s="14"/>
      <c r="N454" s="14"/>
      <c r="O454" s="7"/>
      <c r="P454" s="21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 x14ac:dyDescent="0.25">
      <c r="A455" s="14"/>
      <c r="B455" s="14"/>
      <c r="C455" s="14"/>
      <c r="D455" s="14"/>
      <c r="E455" s="25"/>
      <c r="F455" s="25"/>
      <c r="G455" s="14"/>
      <c r="H455" s="14"/>
      <c r="I455" s="14"/>
      <c r="J455" s="14"/>
      <c r="K455" s="14"/>
      <c r="L455" s="7"/>
      <c r="M455" s="14"/>
      <c r="N455" s="14"/>
      <c r="O455" s="7"/>
      <c r="P455" s="21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 x14ac:dyDescent="0.25">
      <c r="A456" s="14"/>
      <c r="B456" s="14"/>
      <c r="C456" s="14"/>
      <c r="D456" s="14"/>
      <c r="E456" s="25"/>
      <c r="F456" s="25"/>
      <c r="G456" s="14"/>
      <c r="H456" s="14"/>
      <c r="I456" s="14"/>
      <c r="J456" s="14"/>
      <c r="K456" s="14"/>
      <c r="L456" s="7"/>
      <c r="M456" s="14"/>
      <c r="N456" s="14"/>
      <c r="O456" s="7"/>
      <c r="P456" s="21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 x14ac:dyDescent="0.25">
      <c r="A457" s="14"/>
      <c r="B457" s="14"/>
      <c r="C457" s="14"/>
      <c r="D457" s="14"/>
      <c r="E457" s="25"/>
      <c r="F457" s="25"/>
      <c r="G457" s="14"/>
      <c r="H457" s="14"/>
      <c r="I457" s="14"/>
      <c r="J457" s="14"/>
      <c r="K457" s="14"/>
      <c r="L457" s="7"/>
      <c r="M457" s="14"/>
      <c r="N457" s="14"/>
      <c r="O457" s="7"/>
      <c r="P457" s="21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 x14ac:dyDescent="0.25">
      <c r="A458" s="14"/>
      <c r="B458" s="14"/>
      <c r="C458" s="14"/>
      <c r="D458" s="14"/>
      <c r="E458" s="25"/>
      <c r="F458" s="25"/>
      <c r="G458" s="14"/>
      <c r="H458" s="14"/>
      <c r="I458" s="14"/>
      <c r="J458" s="14"/>
      <c r="K458" s="14"/>
      <c r="L458" s="7"/>
      <c r="M458" s="14"/>
      <c r="N458" s="14"/>
      <c r="O458" s="7"/>
      <c r="P458" s="21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 x14ac:dyDescent="0.25">
      <c r="A459" s="14"/>
      <c r="B459" s="14"/>
      <c r="C459" s="14"/>
      <c r="D459" s="14"/>
      <c r="E459" s="25"/>
      <c r="F459" s="25"/>
      <c r="G459" s="14"/>
      <c r="H459" s="14"/>
      <c r="I459" s="14"/>
      <c r="J459" s="14"/>
      <c r="K459" s="14"/>
      <c r="L459" s="7"/>
      <c r="M459" s="14"/>
      <c r="N459" s="14"/>
      <c r="O459" s="7"/>
      <c r="P459" s="21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 x14ac:dyDescent="0.25">
      <c r="A460" s="14"/>
      <c r="B460" s="14"/>
      <c r="C460" s="14"/>
      <c r="D460" s="14"/>
      <c r="E460" s="25"/>
      <c r="F460" s="25"/>
      <c r="G460" s="14"/>
      <c r="H460" s="14"/>
      <c r="I460" s="14"/>
      <c r="J460" s="14"/>
      <c r="K460" s="14"/>
      <c r="L460" s="7"/>
      <c r="M460" s="14"/>
      <c r="N460" s="14"/>
      <c r="O460" s="7"/>
      <c r="P460" s="21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 x14ac:dyDescent="0.25">
      <c r="A461" s="14"/>
      <c r="B461" s="14"/>
      <c r="C461" s="14"/>
      <c r="D461" s="14"/>
      <c r="E461" s="25"/>
      <c r="F461" s="25"/>
      <c r="G461" s="14"/>
      <c r="H461" s="14"/>
      <c r="I461" s="14"/>
      <c r="J461" s="14"/>
      <c r="K461" s="14"/>
      <c r="L461" s="7"/>
      <c r="M461" s="14"/>
      <c r="N461" s="14"/>
      <c r="O461" s="7"/>
      <c r="P461" s="21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 x14ac:dyDescent="0.25">
      <c r="A462" s="14"/>
      <c r="B462" s="14"/>
      <c r="C462" s="14"/>
      <c r="D462" s="14"/>
      <c r="E462" s="25"/>
      <c r="F462" s="25"/>
      <c r="G462" s="14"/>
      <c r="H462" s="14"/>
      <c r="I462" s="14"/>
      <c r="J462" s="14"/>
      <c r="K462" s="14"/>
      <c r="L462" s="7"/>
      <c r="M462" s="14"/>
      <c r="N462" s="14"/>
      <c r="O462" s="7"/>
      <c r="P462" s="21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 x14ac:dyDescent="0.25">
      <c r="A463" s="14"/>
      <c r="B463" s="14"/>
      <c r="C463" s="14"/>
      <c r="D463" s="14"/>
      <c r="E463" s="25"/>
      <c r="F463" s="25"/>
      <c r="G463" s="14"/>
      <c r="H463" s="14"/>
      <c r="I463" s="14"/>
      <c r="J463" s="14"/>
      <c r="K463" s="14"/>
      <c r="L463" s="7"/>
      <c r="M463" s="14"/>
      <c r="N463" s="14"/>
      <c r="O463" s="7"/>
      <c r="P463" s="21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 x14ac:dyDescent="0.25">
      <c r="A464" s="14"/>
      <c r="B464" s="14"/>
      <c r="C464" s="14"/>
      <c r="D464" s="14"/>
      <c r="E464" s="25"/>
      <c r="F464" s="25"/>
      <c r="G464" s="14"/>
      <c r="H464" s="14"/>
      <c r="I464" s="14"/>
      <c r="J464" s="14"/>
      <c r="K464" s="14"/>
      <c r="L464" s="7"/>
      <c r="M464" s="14"/>
      <c r="N464" s="14"/>
      <c r="O464" s="7"/>
      <c r="P464" s="21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 x14ac:dyDescent="0.25">
      <c r="A465" s="14"/>
      <c r="B465" s="14"/>
      <c r="C465" s="14"/>
      <c r="D465" s="14"/>
      <c r="E465" s="25"/>
      <c r="F465" s="25"/>
      <c r="G465" s="14"/>
      <c r="H465" s="14"/>
      <c r="I465" s="14"/>
      <c r="J465" s="14"/>
      <c r="K465" s="14"/>
      <c r="L465" s="7"/>
      <c r="M465" s="14"/>
      <c r="N465" s="14"/>
      <c r="O465" s="7"/>
      <c r="P465" s="21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 x14ac:dyDescent="0.25">
      <c r="A466" s="14"/>
      <c r="B466" s="14"/>
      <c r="C466" s="14"/>
      <c r="D466" s="14"/>
      <c r="E466" s="25"/>
      <c r="F466" s="25"/>
      <c r="G466" s="14"/>
      <c r="H466" s="14"/>
      <c r="I466" s="14"/>
      <c r="J466" s="14"/>
      <c r="K466" s="14"/>
      <c r="L466" s="7"/>
      <c r="M466" s="14"/>
      <c r="N466" s="14"/>
      <c r="O466" s="7"/>
      <c r="P466" s="21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 x14ac:dyDescent="0.25">
      <c r="A467" s="14"/>
      <c r="B467" s="14"/>
      <c r="C467" s="14"/>
      <c r="D467" s="14"/>
      <c r="E467" s="25"/>
      <c r="F467" s="25"/>
      <c r="G467" s="14"/>
      <c r="H467" s="14"/>
      <c r="I467" s="14"/>
      <c r="J467" s="14"/>
      <c r="K467" s="14"/>
      <c r="L467" s="7"/>
      <c r="M467" s="14"/>
      <c r="N467" s="14"/>
      <c r="O467" s="7"/>
      <c r="P467" s="21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 x14ac:dyDescent="0.25">
      <c r="A468" s="14"/>
      <c r="B468" s="14"/>
      <c r="C468" s="14"/>
      <c r="D468" s="14"/>
      <c r="E468" s="25"/>
      <c r="F468" s="25"/>
      <c r="G468" s="14"/>
      <c r="H468" s="14"/>
      <c r="I468" s="14"/>
      <c r="J468" s="14"/>
      <c r="K468" s="14"/>
      <c r="L468" s="7"/>
      <c r="M468" s="14"/>
      <c r="N468" s="14"/>
      <c r="O468" s="7"/>
      <c r="P468" s="21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 x14ac:dyDescent="0.25">
      <c r="A469" s="14"/>
      <c r="B469" s="14"/>
      <c r="C469" s="14"/>
      <c r="D469" s="14"/>
      <c r="E469" s="25"/>
      <c r="F469" s="25"/>
      <c r="G469" s="14"/>
      <c r="H469" s="14"/>
      <c r="I469" s="14"/>
      <c r="J469" s="14"/>
      <c r="K469" s="14"/>
      <c r="L469" s="7"/>
      <c r="M469" s="14"/>
      <c r="N469" s="14"/>
      <c r="O469" s="7"/>
      <c r="P469" s="21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 x14ac:dyDescent="0.25">
      <c r="A470" s="14"/>
      <c r="B470" s="14"/>
      <c r="C470" s="14"/>
      <c r="D470" s="14"/>
      <c r="E470" s="25"/>
      <c r="F470" s="25"/>
      <c r="G470" s="14"/>
      <c r="H470" s="14"/>
      <c r="I470" s="14"/>
      <c r="J470" s="14"/>
      <c r="K470" s="14"/>
      <c r="L470" s="7"/>
      <c r="M470" s="14"/>
      <c r="N470" s="14"/>
      <c r="O470" s="7"/>
      <c r="P470" s="21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 x14ac:dyDescent="0.25">
      <c r="A471" s="14"/>
      <c r="B471" s="14"/>
      <c r="C471" s="14"/>
      <c r="D471" s="14"/>
      <c r="E471" s="25"/>
      <c r="F471" s="25"/>
      <c r="G471" s="14"/>
      <c r="H471" s="14"/>
      <c r="I471" s="14"/>
      <c r="J471" s="14"/>
      <c r="K471" s="14"/>
      <c r="L471" s="7"/>
      <c r="M471" s="14"/>
      <c r="N471" s="14"/>
      <c r="O471" s="7"/>
      <c r="P471" s="21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 x14ac:dyDescent="0.25">
      <c r="A472" s="14"/>
      <c r="B472" s="14"/>
      <c r="C472" s="14"/>
      <c r="D472" s="14"/>
      <c r="E472" s="25"/>
      <c r="F472" s="25"/>
      <c r="G472" s="14"/>
      <c r="H472" s="14"/>
      <c r="I472" s="14"/>
      <c r="J472" s="14"/>
      <c r="K472" s="14"/>
      <c r="L472" s="7"/>
      <c r="M472" s="14"/>
      <c r="N472" s="14"/>
      <c r="O472" s="7"/>
      <c r="P472" s="21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 x14ac:dyDescent="0.25">
      <c r="A473" s="14"/>
      <c r="B473" s="14"/>
      <c r="C473" s="14"/>
      <c r="D473" s="14"/>
      <c r="E473" s="25"/>
      <c r="F473" s="25"/>
      <c r="G473" s="14"/>
      <c r="H473" s="14"/>
      <c r="I473" s="14"/>
      <c r="J473" s="14"/>
      <c r="K473" s="14"/>
      <c r="L473" s="7"/>
      <c r="M473" s="14"/>
      <c r="N473" s="14"/>
      <c r="O473" s="7"/>
      <c r="P473" s="21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 x14ac:dyDescent="0.25">
      <c r="A474" s="14"/>
      <c r="B474" s="14"/>
      <c r="C474" s="14"/>
      <c r="D474" s="14"/>
      <c r="E474" s="25"/>
      <c r="F474" s="25"/>
      <c r="G474" s="14"/>
      <c r="H474" s="14"/>
      <c r="I474" s="14"/>
      <c r="J474" s="14"/>
      <c r="K474" s="14"/>
      <c r="L474" s="7"/>
      <c r="M474" s="14"/>
      <c r="N474" s="14"/>
      <c r="O474" s="7"/>
      <c r="P474" s="21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 x14ac:dyDescent="0.25">
      <c r="A475" s="14"/>
      <c r="B475" s="14"/>
      <c r="C475" s="14"/>
      <c r="D475" s="14"/>
      <c r="E475" s="25"/>
      <c r="F475" s="25"/>
      <c r="G475" s="14"/>
      <c r="H475" s="14"/>
      <c r="I475" s="14"/>
      <c r="J475" s="14"/>
      <c r="K475" s="14"/>
      <c r="L475" s="7"/>
      <c r="M475" s="14"/>
      <c r="N475" s="14"/>
      <c r="O475" s="7"/>
      <c r="P475" s="21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 x14ac:dyDescent="0.25">
      <c r="A476" s="14"/>
      <c r="B476" s="14"/>
      <c r="C476" s="14"/>
      <c r="D476" s="14"/>
      <c r="E476" s="25"/>
      <c r="F476" s="25"/>
      <c r="G476" s="14"/>
      <c r="H476" s="14"/>
      <c r="I476" s="14"/>
      <c r="J476" s="14"/>
      <c r="K476" s="14"/>
      <c r="L476" s="7"/>
      <c r="M476" s="14"/>
      <c r="N476" s="14"/>
      <c r="O476" s="7"/>
      <c r="P476" s="21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 x14ac:dyDescent="0.25">
      <c r="A477" s="14"/>
      <c r="B477" s="14"/>
      <c r="C477" s="14"/>
      <c r="D477" s="14"/>
      <c r="E477" s="25"/>
      <c r="F477" s="25"/>
      <c r="G477" s="14"/>
      <c r="H477" s="14"/>
      <c r="I477" s="14"/>
      <c r="J477" s="14"/>
      <c r="K477" s="14"/>
      <c r="L477" s="7"/>
      <c r="M477" s="14"/>
      <c r="N477" s="14"/>
      <c r="O477" s="7"/>
      <c r="P477" s="21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 x14ac:dyDescent="0.25">
      <c r="A478" s="14"/>
      <c r="B478" s="14"/>
      <c r="C478" s="14"/>
      <c r="D478" s="14"/>
      <c r="E478" s="25"/>
      <c r="F478" s="25"/>
      <c r="G478" s="14"/>
      <c r="H478" s="14"/>
      <c r="I478" s="14"/>
      <c r="J478" s="14"/>
      <c r="K478" s="14"/>
      <c r="L478" s="7"/>
      <c r="M478" s="14"/>
      <c r="N478" s="14"/>
      <c r="O478" s="7"/>
      <c r="P478" s="21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 x14ac:dyDescent="0.25">
      <c r="A479" s="14"/>
      <c r="B479" s="14"/>
      <c r="C479" s="14"/>
      <c r="D479" s="14"/>
      <c r="E479" s="25"/>
      <c r="F479" s="25"/>
      <c r="G479" s="14"/>
      <c r="H479" s="14"/>
      <c r="I479" s="14"/>
      <c r="J479" s="14"/>
      <c r="K479" s="14"/>
      <c r="L479" s="7"/>
      <c r="M479" s="14"/>
      <c r="N479" s="14"/>
      <c r="O479" s="7"/>
      <c r="P479" s="21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 x14ac:dyDescent="0.25">
      <c r="A480" s="14"/>
      <c r="B480" s="14"/>
      <c r="C480" s="14"/>
      <c r="D480" s="14"/>
      <c r="E480" s="25"/>
      <c r="F480" s="25"/>
      <c r="G480" s="14"/>
      <c r="H480" s="14"/>
      <c r="I480" s="14"/>
      <c r="J480" s="14"/>
      <c r="K480" s="14"/>
      <c r="L480" s="7"/>
      <c r="M480" s="14"/>
      <c r="N480" s="14"/>
      <c r="O480" s="7"/>
      <c r="P480" s="21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 x14ac:dyDescent="0.25">
      <c r="A481" s="14"/>
      <c r="B481" s="14"/>
      <c r="C481" s="14"/>
      <c r="D481" s="14"/>
      <c r="E481" s="25"/>
      <c r="F481" s="25"/>
      <c r="G481" s="14"/>
      <c r="H481" s="14"/>
      <c r="I481" s="14"/>
      <c r="J481" s="14"/>
      <c r="K481" s="14"/>
      <c r="L481" s="7"/>
      <c r="M481" s="14"/>
      <c r="N481" s="14"/>
      <c r="O481" s="7"/>
      <c r="P481" s="21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 x14ac:dyDescent="0.25">
      <c r="A482" s="14"/>
      <c r="B482" s="14"/>
      <c r="C482" s="14"/>
      <c r="D482" s="14"/>
      <c r="E482" s="25"/>
      <c r="F482" s="25"/>
      <c r="G482" s="14"/>
      <c r="H482" s="14"/>
      <c r="I482" s="14"/>
      <c r="J482" s="14"/>
      <c r="K482" s="14"/>
      <c r="L482" s="7"/>
      <c r="M482" s="14"/>
      <c r="N482" s="14"/>
      <c r="O482" s="7"/>
      <c r="P482" s="21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 x14ac:dyDescent="0.25">
      <c r="A483" s="14"/>
      <c r="B483" s="14"/>
      <c r="C483" s="14"/>
      <c r="D483" s="14"/>
      <c r="E483" s="25"/>
      <c r="F483" s="25"/>
      <c r="G483" s="14"/>
      <c r="H483" s="14"/>
      <c r="I483" s="14"/>
      <c r="J483" s="14"/>
      <c r="K483" s="14"/>
      <c r="L483" s="7"/>
      <c r="M483" s="14"/>
      <c r="N483" s="14"/>
      <c r="O483" s="7"/>
      <c r="P483" s="21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 x14ac:dyDescent="0.25">
      <c r="A484" s="14"/>
      <c r="B484" s="14"/>
      <c r="C484" s="14"/>
      <c r="D484" s="14"/>
      <c r="E484" s="25"/>
      <c r="F484" s="25"/>
      <c r="G484" s="14"/>
      <c r="H484" s="14"/>
      <c r="I484" s="14"/>
      <c r="J484" s="14"/>
      <c r="K484" s="14"/>
      <c r="L484" s="7"/>
      <c r="M484" s="14"/>
      <c r="N484" s="14"/>
      <c r="O484" s="7"/>
      <c r="P484" s="21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 x14ac:dyDescent="0.25">
      <c r="A485" s="14"/>
      <c r="B485" s="14"/>
      <c r="C485" s="14"/>
      <c r="D485" s="14"/>
      <c r="E485" s="25"/>
      <c r="F485" s="25"/>
      <c r="G485" s="14"/>
      <c r="H485" s="14"/>
      <c r="I485" s="14"/>
      <c r="J485" s="14"/>
      <c r="K485" s="14"/>
      <c r="L485" s="7"/>
      <c r="M485" s="14"/>
      <c r="N485" s="14"/>
      <c r="O485" s="7"/>
      <c r="P485" s="21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 x14ac:dyDescent="0.25">
      <c r="A486" s="14"/>
      <c r="B486" s="14"/>
      <c r="C486" s="14"/>
      <c r="D486" s="14"/>
      <c r="E486" s="25"/>
      <c r="F486" s="25"/>
      <c r="G486" s="14"/>
      <c r="H486" s="14"/>
      <c r="I486" s="14"/>
      <c r="J486" s="14"/>
      <c r="K486" s="14"/>
      <c r="L486" s="7"/>
      <c r="M486" s="14"/>
      <c r="N486" s="14"/>
      <c r="O486" s="7"/>
      <c r="P486" s="21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 x14ac:dyDescent="0.25">
      <c r="A487" s="14"/>
      <c r="B487" s="14"/>
      <c r="C487" s="14"/>
      <c r="D487" s="14"/>
      <c r="E487" s="25"/>
      <c r="F487" s="25"/>
      <c r="G487" s="14"/>
      <c r="H487" s="14"/>
      <c r="I487" s="14"/>
      <c r="J487" s="14"/>
      <c r="K487" s="14"/>
      <c r="L487" s="7"/>
      <c r="M487" s="14"/>
      <c r="N487" s="14"/>
      <c r="O487" s="7"/>
      <c r="P487" s="21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 x14ac:dyDescent="0.25">
      <c r="A488" s="14"/>
      <c r="B488" s="14"/>
      <c r="C488" s="14"/>
      <c r="D488" s="14"/>
      <c r="E488" s="25"/>
      <c r="F488" s="25"/>
      <c r="G488" s="14"/>
      <c r="H488" s="14"/>
      <c r="I488" s="14"/>
      <c r="J488" s="14"/>
      <c r="K488" s="14"/>
      <c r="L488" s="7"/>
      <c r="M488" s="14"/>
      <c r="N488" s="14"/>
      <c r="O488" s="7"/>
      <c r="P488" s="21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 x14ac:dyDescent="0.25">
      <c r="A489" s="14"/>
      <c r="B489" s="14"/>
      <c r="C489" s="14"/>
      <c r="D489" s="14"/>
      <c r="E489" s="25"/>
      <c r="F489" s="25"/>
      <c r="G489" s="14"/>
      <c r="H489" s="14"/>
      <c r="I489" s="14"/>
      <c r="J489" s="14"/>
      <c r="K489" s="14"/>
      <c r="L489" s="7"/>
      <c r="M489" s="14"/>
      <c r="N489" s="14"/>
      <c r="O489" s="7"/>
      <c r="P489" s="21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 x14ac:dyDescent="0.25">
      <c r="A490" s="14"/>
      <c r="B490" s="14"/>
      <c r="C490" s="14"/>
      <c r="D490" s="14"/>
      <c r="E490" s="25"/>
      <c r="F490" s="25"/>
      <c r="G490" s="14"/>
      <c r="H490" s="14"/>
      <c r="I490" s="14"/>
      <c r="J490" s="14"/>
      <c r="K490" s="14"/>
      <c r="L490" s="7"/>
      <c r="M490" s="14"/>
      <c r="N490" s="14"/>
      <c r="O490" s="7"/>
      <c r="P490" s="21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 x14ac:dyDescent="0.25">
      <c r="A491" s="14"/>
      <c r="B491" s="14"/>
      <c r="C491" s="14"/>
      <c r="D491" s="14"/>
      <c r="E491" s="25"/>
      <c r="F491" s="25"/>
      <c r="G491" s="14"/>
      <c r="H491" s="14"/>
      <c r="I491" s="14"/>
      <c r="J491" s="14"/>
      <c r="K491" s="14"/>
      <c r="L491" s="7"/>
      <c r="M491" s="14"/>
      <c r="N491" s="14"/>
      <c r="O491" s="7"/>
      <c r="P491" s="21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 x14ac:dyDescent="0.25">
      <c r="A492" s="14"/>
      <c r="B492" s="14"/>
      <c r="C492" s="14"/>
      <c r="D492" s="14"/>
      <c r="E492" s="25"/>
      <c r="F492" s="25"/>
      <c r="G492" s="14"/>
      <c r="H492" s="14"/>
      <c r="I492" s="14"/>
      <c r="J492" s="14"/>
      <c r="K492" s="14"/>
      <c r="L492" s="7"/>
      <c r="M492" s="14"/>
      <c r="N492" s="14"/>
      <c r="O492" s="7"/>
      <c r="P492" s="21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 x14ac:dyDescent="0.25">
      <c r="A493" s="14"/>
      <c r="B493" s="14"/>
      <c r="C493" s="14"/>
      <c r="D493" s="14"/>
      <c r="E493" s="25"/>
      <c r="F493" s="25"/>
      <c r="G493" s="14"/>
      <c r="H493" s="14"/>
      <c r="I493" s="14"/>
      <c r="J493" s="14"/>
      <c r="K493" s="14"/>
      <c r="L493" s="7"/>
      <c r="M493" s="14"/>
      <c r="N493" s="14"/>
      <c r="O493" s="7"/>
      <c r="P493" s="21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 x14ac:dyDescent="0.25">
      <c r="A494" s="14"/>
      <c r="B494" s="14"/>
      <c r="C494" s="14"/>
      <c r="D494" s="14"/>
      <c r="E494" s="25"/>
      <c r="F494" s="25"/>
      <c r="G494" s="14"/>
      <c r="H494" s="14"/>
      <c r="I494" s="14"/>
      <c r="J494" s="14"/>
      <c r="K494" s="14"/>
      <c r="L494" s="7"/>
      <c r="M494" s="14"/>
      <c r="N494" s="14"/>
      <c r="O494" s="7"/>
      <c r="P494" s="21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 x14ac:dyDescent="0.25">
      <c r="A495" s="14"/>
      <c r="B495" s="14"/>
      <c r="C495" s="14"/>
      <c r="D495" s="14"/>
      <c r="E495" s="25"/>
      <c r="F495" s="25"/>
      <c r="G495" s="14"/>
      <c r="H495" s="14"/>
      <c r="I495" s="14"/>
      <c r="J495" s="14"/>
      <c r="K495" s="14"/>
      <c r="L495" s="7"/>
      <c r="M495" s="14"/>
      <c r="N495" s="14"/>
      <c r="O495" s="7"/>
      <c r="P495" s="21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 x14ac:dyDescent="0.25">
      <c r="A496" s="14"/>
      <c r="B496" s="14"/>
      <c r="C496" s="14"/>
      <c r="D496" s="14"/>
      <c r="E496" s="25"/>
      <c r="F496" s="25"/>
      <c r="G496" s="14"/>
      <c r="H496" s="14"/>
      <c r="I496" s="14"/>
      <c r="J496" s="14"/>
      <c r="K496" s="14"/>
      <c r="L496" s="7"/>
      <c r="M496" s="14"/>
      <c r="N496" s="14"/>
      <c r="O496" s="7"/>
      <c r="P496" s="21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 x14ac:dyDescent="0.25">
      <c r="A497" s="14"/>
      <c r="B497" s="14"/>
      <c r="C497" s="14"/>
      <c r="D497" s="14"/>
      <c r="E497" s="25"/>
      <c r="F497" s="25"/>
      <c r="G497" s="14"/>
      <c r="H497" s="14"/>
      <c r="I497" s="14"/>
      <c r="J497" s="14"/>
      <c r="K497" s="14"/>
      <c r="L497" s="7"/>
      <c r="M497" s="14"/>
      <c r="N497" s="14"/>
      <c r="O497" s="7"/>
      <c r="P497" s="21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 x14ac:dyDescent="0.25">
      <c r="A498" s="14"/>
      <c r="B498" s="14"/>
      <c r="C498" s="14"/>
      <c r="D498" s="14"/>
      <c r="E498" s="25"/>
      <c r="F498" s="25"/>
      <c r="G498" s="14"/>
      <c r="H498" s="14"/>
      <c r="I498" s="14"/>
      <c r="J498" s="14"/>
      <c r="K498" s="14"/>
      <c r="L498" s="7"/>
      <c r="M498" s="14"/>
      <c r="N498" s="14"/>
      <c r="O498" s="7"/>
      <c r="P498" s="21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 x14ac:dyDescent="0.25">
      <c r="A499" s="14"/>
      <c r="B499" s="14"/>
      <c r="C499" s="14"/>
      <c r="D499" s="14"/>
      <c r="E499" s="25"/>
      <c r="F499" s="25"/>
      <c r="G499" s="14"/>
      <c r="H499" s="14"/>
      <c r="I499" s="14"/>
      <c r="J499" s="14"/>
      <c r="K499" s="14"/>
      <c r="L499" s="7"/>
      <c r="M499" s="14"/>
      <c r="N499" s="14"/>
      <c r="O499" s="7"/>
      <c r="P499" s="21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 x14ac:dyDescent="0.25">
      <c r="A500" s="14"/>
      <c r="B500" s="14"/>
      <c r="C500" s="14"/>
      <c r="D500" s="14"/>
      <c r="E500" s="25"/>
      <c r="F500" s="25"/>
      <c r="G500" s="14"/>
      <c r="H500" s="14"/>
      <c r="I500" s="14"/>
      <c r="J500" s="14"/>
      <c r="K500" s="14"/>
      <c r="L500" s="7"/>
      <c r="M500" s="14"/>
      <c r="N500" s="14"/>
      <c r="O500" s="7"/>
      <c r="P500" s="21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 x14ac:dyDescent="0.25">
      <c r="A501" s="14"/>
      <c r="B501" s="14"/>
      <c r="C501" s="14"/>
      <c r="D501" s="14"/>
      <c r="E501" s="25"/>
      <c r="F501" s="25"/>
      <c r="G501" s="14"/>
      <c r="H501" s="14"/>
      <c r="I501" s="14"/>
      <c r="J501" s="14"/>
      <c r="K501" s="14"/>
      <c r="L501" s="7"/>
      <c r="M501" s="14"/>
      <c r="N501" s="14"/>
      <c r="O501" s="7"/>
      <c r="P501" s="21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 x14ac:dyDescent="0.25">
      <c r="A502" s="14"/>
      <c r="B502" s="14"/>
      <c r="C502" s="14"/>
      <c r="D502" s="14"/>
      <c r="E502" s="25"/>
      <c r="F502" s="25"/>
      <c r="G502" s="14"/>
      <c r="H502" s="14"/>
      <c r="I502" s="14"/>
      <c r="J502" s="14"/>
      <c r="K502" s="14"/>
      <c r="L502" s="7"/>
      <c r="M502" s="14"/>
      <c r="N502" s="14"/>
      <c r="O502" s="7"/>
      <c r="P502" s="21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 x14ac:dyDescent="0.25">
      <c r="A503" s="14"/>
      <c r="B503" s="14"/>
      <c r="C503" s="14"/>
      <c r="D503" s="14"/>
      <c r="E503" s="25"/>
      <c r="F503" s="25"/>
      <c r="G503" s="14"/>
      <c r="H503" s="14"/>
      <c r="I503" s="14"/>
      <c r="J503" s="14"/>
      <c r="K503" s="14"/>
      <c r="L503" s="7"/>
      <c r="M503" s="14"/>
      <c r="N503" s="14"/>
      <c r="O503" s="7"/>
      <c r="P503" s="21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 x14ac:dyDescent="0.25">
      <c r="A504" s="14"/>
      <c r="B504" s="14"/>
      <c r="C504" s="14"/>
      <c r="D504" s="14"/>
      <c r="E504" s="25"/>
      <c r="F504" s="25"/>
      <c r="G504" s="14"/>
      <c r="H504" s="14"/>
      <c r="I504" s="14"/>
      <c r="J504" s="14"/>
      <c r="K504" s="14"/>
      <c r="L504" s="7"/>
      <c r="M504" s="14"/>
      <c r="N504" s="14"/>
      <c r="O504" s="7"/>
      <c r="P504" s="21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 x14ac:dyDescent="0.25">
      <c r="A505" s="14"/>
      <c r="B505" s="14"/>
      <c r="C505" s="14"/>
      <c r="D505" s="14"/>
      <c r="E505" s="25"/>
      <c r="F505" s="25"/>
      <c r="G505" s="14"/>
      <c r="H505" s="14"/>
      <c r="I505" s="14"/>
      <c r="J505" s="14"/>
      <c r="K505" s="14"/>
      <c r="L505" s="7"/>
      <c r="M505" s="14"/>
      <c r="N505" s="14"/>
      <c r="O505" s="7"/>
      <c r="P505" s="21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 x14ac:dyDescent="0.25">
      <c r="A506" s="14"/>
      <c r="B506" s="14"/>
      <c r="C506" s="14"/>
      <c r="D506" s="14"/>
      <c r="E506" s="25"/>
      <c r="F506" s="25"/>
      <c r="G506" s="14"/>
      <c r="H506" s="14"/>
      <c r="I506" s="14"/>
      <c r="J506" s="14"/>
      <c r="K506" s="14"/>
      <c r="L506" s="7"/>
      <c r="M506" s="14"/>
      <c r="N506" s="14"/>
      <c r="O506" s="7"/>
      <c r="P506" s="21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 x14ac:dyDescent="0.25">
      <c r="A507" s="14"/>
      <c r="B507" s="14"/>
      <c r="C507" s="14"/>
      <c r="D507" s="14"/>
      <c r="E507" s="25"/>
      <c r="F507" s="25"/>
      <c r="G507" s="14"/>
      <c r="H507" s="14"/>
      <c r="I507" s="14"/>
      <c r="J507" s="14"/>
      <c r="K507" s="14"/>
      <c r="L507" s="7"/>
      <c r="M507" s="14"/>
      <c r="N507" s="14"/>
      <c r="O507" s="7"/>
      <c r="P507" s="21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 x14ac:dyDescent="0.25">
      <c r="A508" s="14"/>
      <c r="B508" s="14"/>
      <c r="C508" s="14"/>
      <c r="D508" s="14"/>
      <c r="E508" s="25"/>
      <c r="F508" s="25"/>
      <c r="G508" s="14"/>
      <c r="H508" s="14"/>
      <c r="I508" s="14"/>
      <c r="J508" s="14"/>
      <c r="K508" s="14"/>
      <c r="L508" s="7"/>
      <c r="M508" s="14"/>
      <c r="N508" s="14"/>
      <c r="O508" s="7"/>
      <c r="P508" s="21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 x14ac:dyDescent="0.25">
      <c r="A509" s="14"/>
      <c r="B509" s="14"/>
      <c r="C509" s="14"/>
      <c r="D509" s="14"/>
      <c r="E509" s="25"/>
      <c r="F509" s="25"/>
      <c r="G509" s="14"/>
      <c r="H509" s="14"/>
      <c r="I509" s="14"/>
      <c r="J509" s="14"/>
      <c r="K509" s="14"/>
      <c r="L509" s="7"/>
      <c r="M509" s="14"/>
      <c r="N509" s="14"/>
      <c r="O509" s="7"/>
      <c r="P509" s="21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 x14ac:dyDescent="0.25">
      <c r="A510" s="14"/>
      <c r="B510" s="14"/>
      <c r="C510" s="14"/>
      <c r="D510" s="14"/>
      <c r="E510" s="25"/>
      <c r="F510" s="25"/>
      <c r="G510" s="14"/>
      <c r="H510" s="14"/>
      <c r="I510" s="14"/>
      <c r="J510" s="14"/>
      <c r="K510" s="14"/>
      <c r="L510" s="7"/>
      <c r="M510" s="14"/>
      <c r="N510" s="14"/>
      <c r="O510" s="7"/>
      <c r="P510" s="21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 x14ac:dyDescent="0.25">
      <c r="A511" s="14"/>
      <c r="B511" s="14"/>
      <c r="C511" s="14"/>
      <c r="D511" s="14"/>
      <c r="E511" s="25"/>
      <c r="F511" s="25"/>
      <c r="G511" s="14"/>
      <c r="H511" s="14"/>
      <c r="I511" s="14"/>
      <c r="J511" s="14"/>
      <c r="K511" s="14"/>
      <c r="L511" s="7"/>
      <c r="M511" s="14"/>
      <c r="N511" s="14"/>
      <c r="O511" s="7"/>
      <c r="P511" s="21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 x14ac:dyDescent="0.25">
      <c r="A512" s="14"/>
      <c r="B512" s="14"/>
      <c r="C512" s="14"/>
      <c r="D512" s="14"/>
      <c r="E512" s="25"/>
      <c r="F512" s="25"/>
      <c r="G512" s="14"/>
      <c r="H512" s="14"/>
      <c r="I512" s="14"/>
      <c r="J512" s="14"/>
      <c r="K512" s="14"/>
      <c r="L512" s="7"/>
      <c r="M512" s="14"/>
      <c r="N512" s="14"/>
      <c r="O512" s="7"/>
      <c r="P512" s="21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 x14ac:dyDescent="0.25">
      <c r="A513" s="14"/>
      <c r="B513" s="14"/>
      <c r="C513" s="14"/>
      <c r="D513" s="14"/>
      <c r="E513" s="25"/>
      <c r="F513" s="25"/>
      <c r="G513" s="14"/>
      <c r="H513" s="14"/>
      <c r="I513" s="14"/>
      <c r="J513" s="14"/>
      <c r="K513" s="14"/>
      <c r="L513" s="7"/>
      <c r="M513" s="14"/>
      <c r="N513" s="14"/>
      <c r="O513" s="7"/>
      <c r="P513" s="21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 x14ac:dyDescent="0.25">
      <c r="A514" s="14"/>
      <c r="B514" s="14"/>
      <c r="C514" s="14"/>
      <c r="D514" s="14"/>
      <c r="E514" s="25"/>
      <c r="F514" s="25"/>
      <c r="G514" s="14"/>
      <c r="H514" s="14"/>
      <c r="I514" s="14"/>
      <c r="J514" s="14"/>
      <c r="K514" s="14"/>
      <c r="L514" s="7"/>
      <c r="M514" s="14"/>
      <c r="N514" s="14"/>
      <c r="O514" s="7"/>
      <c r="P514" s="21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 x14ac:dyDescent="0.25">
      <c r="A515" s="14"/>
      <c r="B515" s="14"/>
      <c r="C515" s="14"/>
      <c r="D515" s="14"/>
      <c r="E515" s="25"/>
      <c r="F515" s="25"/>
      <c r="G515" s="14"/>
      <c r="H515" s="14"/>
      <c r="I515" s="14"/>
      <c r="J515" s="14"/>
      <c r="K515" s="14"/>
      <c r="L515" s="7"/>
      <c r="M515" s="14"/>
      <c r="N515" s="14"/>
      <c r="O515" s="7"/>
      <c r="P515" s="21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 x14ac:dyDescent="0.25">
      <c r="A516" s="14"/>
      <c r="B516" s="14"/>
      <c r="C516" s="14"/>
      <c r="D516" s="14"/>
      <c r="E516" s="25"/>
      <c r="F516" s="25"/>
      <c r="G516" s="14"/>
      <c r="H516" s="14"/>
      <c r="I516" s="14"/>
      <c r="J516" s="14"/>
      <c r="K516" s="14"/>
      <c r="L516" s="7"/>
      <c r="M516" s="14"/>
      <c r="N516" s="14"/>
      <c r="O516" s="7"/>
      <c r="P516" s="21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 x14ac:dyDescent="0.25">
      <c r="A517" s="14"/>
      <c r="B517" s="14"/>
      <c r="C517" s="14"/>
      <c r="D517" s="14"/>
      <c r="E517" s="25"/>
      <c r="F517" s="25"/>
      <c r="G517" s="14"/>
      <c r="H517" s="14"/>
      <c r="I517" s="14"/>
      <c r="J517" s="14"/>
      <c r="K517" s="14"/>
      <c r="L517" s="7"/>
      <c r="M517" s="14"/>
      <c r="N517" s="14"/>
      <c r="O517" s="7"/>
      <c r="P517" s="21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 x14ac:dyDescent="0.25">
      <c r="A518" s="14"/>
      <c r="B518" s="14"/>
      <c r="C518" s="14"/>
      <c r="D518" s="14"/>
      <c r="E518" s="25"/>
      <c r="F518" s="25"/>
      <c r="G518" s="14"/>
      <c r="H518" s="14"/>
      <c r="I518" s="14"/>
      <c r="J518" s="14"/>
      <c r="K518" s="14"/>
      <c r="L518" s="7"/>
      <c r="M518" s="14"/>
      <c r="N518" s="14"/>
      <c r="O518" s="7"/>
      <c r="P518" s="21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 x14ac:dyDescent="0.25">
      <c r="A519" s="14"/>
      <c r="B519" s="14"/>
      <c r="C519" s="14"/>
      <c r="D519" s="14"/>
      <c r="E519" s="25"/>
      <c r="F519" s="25"/>
      <c r="G519" s="14"/>
      <c r="H519" s="14"/>
      <c r="I519" s="14"/>
      <c r="J519" s="14"/>
      <c r="K519" s="14"/>
      <c r="L519" s="7"/>
      <c r="M519" s="14"/>
      <c r="N519" s="14"/>
      <c r="O519" s="7"/>
      <c r="P519" s="21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 x14ac:dyDescent="0.25">
      <c r="A520" s="14"/>
      <c r="B520" s="14"/>
      <c r="C520" s="14"/>
      <c r="D520" s="14"/>
      <c r="E520" s="25"/>
      <c r="F520" s="25"/>
      <c r="G520" s="14"/>
      <c r="H520" s="14"/>
      <c r="I520" s="14"/>
      <c r="J520" s="14"/>
      <c r="K520" s="14"/>
      <c r="L520" s="7"/>
      <c r="M520" s="14"/>
      <c r="N520" s="14"/>
      <c r="O520" s="7"/>
      <c r="P520" s="21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 x14ac:dyDescent="0.25">
      <c r="A521" s="14"/>
      <c r="B521" s="14"/>
      <c r="C521" s="14"/>
      <c r="D521" s="14"/>
      <c r="E521" s="25"/>
      <c r="F521" s="25"/>
      <c r="G521" s="14"/>
      <c r="H521" s="14"/>
      <c r="I521" s="14"/>
      <c r="J521" s="14"/>
      <c r="K521" s="14"/>
      <c r="L521" s="7"/>
      <c r="M521" s="14"/>
      <c r="N521" s="14"/>
      <c r="O521" s="7"/>
      <c r="P521" s="21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 x14ac:dyDescent="0.25">
      <c r="A522" s="14"/>
      <c r="B522" s="14"/>
      <c r="C522" s="14"/>
      <c r="D522" s="14"/>
      <c r="E522" s="25"/>
      <c r="F522" s="25"/>
      <c r="G522" s="14"/>
      <c r="H522" s="14"/>
      <c r="I522" s="14"/>
      <c r="J522" s="14"/>
      <c r="K522" s="14"/>
      <c r="L522" s="7"/>
      <c r="M522" s="14"/>
      <c r="N522" s="14"/>
      <c r="O522" s="7"/>
      <c r="P522" s="21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 x14ac:dyDescent="0.25">
      <c r="A523" s="14"/>
      <c r="B523" s="14"/>
      <c r="C523" s="14"/>
      <c r="D523" s="14"/>
      <c r="E523" s="25"/>
      <c r="F523" s="25"/>
      <c r="G523" s="14"/>
      <c r="H523" s="14"/>
      <c r="I523" s="14"/>
      <c r="J523" s="14"/>
      <c r="K523" s="14"/>
      <c r="L523" s="7"/>
      <c r="M523" s="14"/>
      <c r="N523" s="14"/>
      <c r="O523" s="7"/>
      <c r="P523" s="21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 x14ac:dyDescent="0.25">
      <c r="A524" s="14"/>
      <c r="B524" s="14"/>
      <c r="C524" s="14"/>
      <c r="D524" s="14"/>
      <c r="E524" s="25"/>
      <c r="F524" s="25"/>
      <c r="G524" s="14"/>
      <c r="H524" s="14"/>
      <c r="I524" s="14"/>
      <c r="J524" s="14"/>
      <c r="K524" s="14"/>
      <c r="L524" s="7"/>
      <c r="M524" s="14"/>
      <c r="N524" s="14"/>
      <c r="O524" s="7"/>
      <c r="P524" s="21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 x14ac:dyDescent="0.25">
      <c r="A525" s="14"/>
      <c r="B525" s="14"/>
      <c r="C525" s="14"/>
      <c r="D525" s="14"/>
      <c r="E525" s="25"/>
      <c r="F525" s="25"/>
      <c r="G525" s="14"/>
      <c r="H525" s="14"/>
      <c r="I525" s="14"/>
      <c r="J525" s="14"/>
      <c r="K525" s="14"/>
      <c r="L525" s="7"/>
      <c r="M525" s="14"/>
      <c r="N525" s="14"/>
      <c r="O525" s="7"/>
      <c r="P525" s="21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 x14ac:dyDescent="0.25">
      <c r="A526" s="14"/>
      <c r="B526" s="14"/>
      <c r="C526" s="14"/>
      <c r="D526" s="14"/>
      <c r="E526" s="25"/>
      <c r="F526" s="25"/>
      <c r="G526" s="14"/>
      <c r="H526" s="14"/>
      <c r="I526" s="14"/>
      <c r="J526" s="14"/>
      <c r="K526" s="14"/>
      <c r="L526" s="7"/>
      <c r="M526" s="14"/>
      <c r="N526" s="14"/>
      <c r="O526" s="7"/>
      <c r="P526" s="21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 x14ac:dyDescent="0.25">
      <c r="A527" s="14"/>
      <c r="B527" s="14"/>
      <c r="C527" s="14"/>
      <c r="D527" s="14"/>
      <c r="E527" s="25"/>
      <c r="F527" s="25"/>
      <c r="G527" s="14"/>
      <c r="H527" s="14"/>
      <c r="I527" s="14"/>
      <c r="J527" s="14"/>
      <c r="K527" s="14"/>
      <c r="L527" s="7"/>
      <c r="M527" s="14"/>
      <c r="N527" s="14"/>
      <c r="O527" s="7"/>
      <c r="P527" s="21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 x14ac:dyDescent="0.25">
      <c r="A528" s="14"/>
      <c r="B528" s="14"/>
      <c r="C528" s="14"/>
      <c r="D528" s="14"/>
      <c r="E528" s="25"/>
      <c r="F528" s="25"/>
      <c r="G528" s="14"/>
      <c r="H528" s="14"/>
      <c r="I528" s="14"/>
      <c r="J528" s="14"/>
      <c r="K528" s="14"/>
      <c r="L528" s="7"/>
      <c r="M528" s="14"/>
      <c r="N528" s="14"/>
      <c r="O528" s="7"/>
      <c r="P528" s="21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 x14ac:dyDescent="0.25">
      <c r="A529" s="14"/>
      <c r="B529" s="14"/>
      <c r="C529" s="14"/>
      <c r="D529" s="14"/>
      <c r="E529" s="25"/>
      <c r="F529" s="25"/>
      <c r="G529" s="14"/>
      <c r="H529" s="14"/>
      <c r="I529" s="14"/>
      <c r="J529" s="14"/>
      <c r="K529" s="14"/>
      <c r="L529" s="7"/>
      <c r="M529" s="14"/>
      <c r="N529" s="14"/>
      <c r="O529" s="7"/>
      <c r="P529" s="21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 x14ac:dyDescent="0.25">
      <c r="A530" s="14"/>
      <c r="B530" s="14"/>
      <c r="C530" s="14"/>
      <c r="D530" s="14"/>
      <c r="E530" s="25"/>
      <c r="F530" s="25"/>
      <c r="G530" s="14"/>
      <c r="H530" s="14"/>
      <c r="I530" s="14"/>
      <c r="J530" s="14"/>
      <c r="K530" s="14"/>
      <c r="L530" s="7"/>
      <c r="M530" s="14"/>
      <c r="N530" s="14"/>
      <c r="O530" s="7"/>
      <c r="P530" s="21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 x14ac:dyDescent="0.25">
      <c r="A531" s="14"/>
      <c r="B531" s="14"/>
      <c r="C531" s="14"/>
      <c r="D531" s="14"/>
      <c r="E531" s="25"/>
      <c r="F531" s="25"/>
      <c r="G531" s="14"/>
      <c r="H531" s="14"/>
      <c r="I531" s="14"/>
      <c r="J531" s="14"/>
      <c r="K531" s="14"/>
      <c r="L531" s="7"/>
      <c r="M531" s="14"/>
      <c r="N531" s="14"/>
      <c r="O531" s="7"/>
      <c r="P531" s="21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 x14ac:dyDescent="0.25">
      <c r="A532" s="14"/>
      <c r="B532" s="14"/>
      <c r="C532" s="14"/>
      <c r="D532" s="14"/>
      <c r="E532" s="25"/>
      <c r="F532" s="25"/>
      <c r="G532" s="14"/>
      <c r="H532" s="14"/>
      <c r="I532" s="14"/>
      <c r="J532" s="14"/>
      <c r="K532" s="14"/>
      <c r="L532" s="7"/>
      <c r="M532" s="14"/>
      <c r="N532" s="14"/>
      <c r="O532" s="7"/>
      <c r="P532" s="21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 x14ac:dyDescent="0.25">
      <c r="A533" s="14"/>
      <c r="B533" s="14"/>
      <c r="C533" s="14"/>
      <c r="D533" s="14"/>
      <c r="E533" s="25"/>
      <c r="F533" s="25"/>
      <c r="G533" s="14"/>
      <c r="H533" s="14"/>
      <c r="I533" s="14"/>
      <c r="J533" s="14"/>
      <c r="K533" s="14"/>
      <c r="L533" s="7"/>
      <c r="M533" s="14"/>
      <c r="N533" s="14"/>
      <c r="O533" s="7"/>
      <c r="P533" s="21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 x14ac:dyDescent="0.25">
      <c r="A534" s="14"/>
      <c r="B534" s="14"/>
      <c r="C534" s="14"/>
      <c r="D534" s="14"/>
      <c r="E534" s="25"/>
      <c r="F534" s="25"/>
      <c r="G534" s="14"/>
      <c r="H534" s="14"/>
      <c r="I534" s="14"/>
      <c r="J534" s="14"/>
      <c r="K534" s="14"/>
      <c r="L534" s="7"/>
      <c r="M534" s="14"/>
      <c r="N534" s="14"/>
      <c r="O534" s="7"/>
      <c r="P534" s="21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 x14ac:dyDescent="0.25">
      <c r="A535" s="14"/>
      <c r="B535" s="14"/>
      <c r="C535" s="14"/>
      <c r="D535" s="14"/>
      <c r="E535" s="25"/>
      <c r="F535" s="25"/>
      <c r="G535" s="14"/>
      <c r="H535" s="14"/>
      <c r="I535" s="14"/>
      <c r="J535" s="14"/>
      <c r="K535" s="14"/>
      <c r="L535" s="7"/>
      <c r="M535" s="14"/>
      <c r="N535" s="14"/>
      <c r="O535" s="7"/>
      <c r="P535" s="21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 x14ac:dyDescent="0.25">
      <c r="A536" s="14"/>
      <c r="B536" s="14"/>
      <c r="C536" s="14"/>
      <c r="D536" s="14"/>
      <c r="E536" s="25"/>
      <c r="F536" s="25"/>
      <c r="G536" s="14"/>
      <c r="H536" s="14"/>
      <c r="I536" s="14"/>
      <c r="J536" s="14"/>
      <c r="K536" s="14"/>
      <c r="L536" s="7"/>
      <c r="M536" s="14"/>
      <c r="N536" s="14"/>
      <c r="O536" s="7"/>
      <c r="P536" s="21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 x14ac:dyDescent="0.25">
      <c r="A537" s="14"/>
      <c r="B537" s="14"/>
      <c r="C537" s="14"/>
      <c r="D537" s="14"/>
      <c r="E537" s="25"/>
      <c r="F537" s="25"/>
      <c r="G537" s="14"/>
      <c r="H537" s="14"/>
      <c r="I537" s="14"/>
      <c r="J537" s="14"/>
      <c r="K537" s="14"/>
      <c r="L537" s="7"/>
      <c r="M537" s="14"/>
      <c r="N537" s="14"/>
      <c r="O537" s="7"/>
      <c r="P537" s="21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 x14ac:dyDescent="0.25">
      <c r="A538" s="14"/>
      <c r="B538" s="14"/>
      <c r="C538" s="14"/>
      <c r="D538" s="14"/>
      <c r="E538" s="25"/>
      <c r="F538" s="25"/>
      <c r="G538" s="14"/>
      <c r="H538" s="14"/>
      <c r="I538" s="14"/>
      <c r="J538" s="14"/>
      <c r="K538" s="14"/>
      <c r="L538" s="7"/>
      <c r="M538" s="14"/>
      <c r="N538" s="14"/>
      <c r="O538" s="7"/>
      <c r="P538" s="21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 x14ac:dyDescent="0.25">
      <c r="A539" s="14"/>
      <c r="B539" s="14"/>
      <c r="C539" s="14"/>
      <c r="D539" s="14"/>
      <c r="E539" s="25"/>
      <c r="F539" s="25"/>
      <c r="G539" s="14"/>
      <c r="H539" s="14"/>
      <c r="I539" s="14"/>
      <c r="J539" s="14"/>
      <c r="K539" s="14"/>
      <c r="L539" s="7"/>
      <c r="M539" s="14"/>
      <c r="N539" s="14"/>
      <c r="O539" s="7"/>
      <c r="P539" s="21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 x14ac:dyDescent="0.25">
      <c r="A540" s="14"/>
      <c r="B540" s="14"/>
      <c r="C540" s="14"/>
      <c r="D540" s="14"/>
      <c r="E540" s="25"/>
      <c r="F540" s="25"/>
      <c r="G540" s="14"/>
      <c r="H540" s="14"/>
      <c r="I540" s="14"/>
      <c r="J540" s="14"/>
      <c r="K540" s="14"/>
      <c r="L540" s="7"/>
      <c r="M540" s="14"/>
      <c r="N540" s="14"/>
      <c r="O540" s="7"/>
      <c r="P540" s="21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 x14ac:dyDescent="0.25">
      <c r="A541" s="14"/>
      <c r="B541" s="14"/>
      <c r="C541" s="14"/>
      <c r="D541" s="14"/>
      <c r="E541" s="25"/>
      <c r="F541" s="25"/>
      <c r="G541" s="14"/>
      <c r="H541" s="14"/>
      <c r="I541" s="14"/>
      <c r="J541" s="14"/>
      <c r="K541" s="14"/>
      <c r="L541" s="7"/>
      <c r="M541" s="14"/>
      <c r="N541" s="14"/>
      <c r="O541" s="7"/>
      <c r="P541" s="21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 x14ac:dyDescent="0.25">
      <c r="A542" s="14"/>
      <c r="B542" s="14"/>
      <c r="C542" s="14"/>
      <c r="D542" s="14"/>
      <c r="E542" s="25"/>
      <c r="F542" s="25"/>
      <c r="G542" s="14"/>
      <c r="H542" s="14"/>
      <c r="I542" s="14"/>
      <c r="J542" s="14"/>
      <c r="K542" s="14"/>
      <c r="L542" s="7"/>
      <c r="M542" s="14"/>
      <c r="N542" s="14"/>
      <c r="O542" s="7"/>
      <c r="P542" s="21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 x14ac:dyDescent="0.25">
      <c r="A543" s="14"/>
      <c r="B543" s="14"/>
      <c r="C543" s="14"/>
      <c r="D543" s="14"/>
      <c r="E543" s="25"/>
      <c r="F543" s="25"/>
      <c r="G543" s="14"/>
      <c r="H543" s="14"/>
      <c r="I543" s="14"/>
      <c r="J543" s="14"/>
      <c r="K543" s="14"/>
      <c r="L543" s="7"/>
      <c r="M543" s="14"/>
      <c r="N543" s="14"/>
      <c r="O543" s="7"/>
      <c r="P543" s="21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 x14ac:dyDescent="0.25">
      <c r="A544" s="14"/>
      <c r="B544" s="14"/>
      <c r="C544" s="14"/>
      <c r="D544" s="14"/>
      <c r="E544" s="25"/>
      <c r="F544" s="25"/>
      <c r="G544" s="14"/>
      <c r="H544" s="14"/>
      <c r="I544" s="14"/>
      <c r="J544" s="14"/>
      <c r="K544" s="14"/>
      <c r="L544" s="7"/>
      <c r="M544" s="14"/>
      <c r="N544" s="14"/>
      <c r="O544" s="7"/>
      <c r="P544" s="21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 x14ac:dyDescent="0.25">
      <c r="A545" s="14"/>
      <c r="B545" s="14"/>
      <c r="C545" s="14"/>
      <c r="D545" s="14"/>
      <c r="E545" s="25"/>
      <c r="F545" s="25"/>
      <c r="G545" s="14"/>
      <c r="H545" s="14"/>
      <c r="I545" s="14"/>
      <c r="J545" s="14"/>
      <c r="K545" s="14"/>
      <c r="L545" s="7"/>
      <c r="M545" s="14"/>
      <c r="N545" s="14"/>
      <c r="O545" s="7"/>
      <c r="P545" s="21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 x14ac:dyDescent="0.25">
      <c r="A546" s="14"/>
      <c r="B546" s="14"/>
      <c r="C546" s="14"/>
      <c r="D546" s="14"/>
      <c r="E546" s="25"/>
      <c r="F546" s="25"/>
      <c r="G546" s="14"/>
      <c r="H546" s="14"/>
      <c r="I546" s="14"/>
      <c r="J546" s="14"/>
      <c r="K546" s="14"/>
      <c r="L546" s="7"/>
      <c r="M546" s="14"/>
      <c r="N546" s="14"/>
      <c r="O546" s="7"/>
      <c r="P546" s="21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 x14ac:dyDescent="0.25">
      <c r="A547" s="14"/>
      <c r="B547" s="14"/>
      <c r="C547" s="14"/>
      <c r="D547" s="14"/>
      <c r="E547" s="25"/>
      <c r="F547" s="25"/>
      <c r="G547" s="14"/>
      <c r="H547" s="14"/>
      <c r="I547" s="14"/>
      <c r="J547" s="14"/>
      <c r="K547" s="14"/>
      <c r="L547" s="7"/>
      <c r="M547" s="14"/>
      <c r="N547" s="14"/>
      <c r="O547" s="7"/>
      <c r="P547" s="21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 x14ac:dyDescent="0.25">
      <c r="A548" s="14"/>
      <c r="B548" s="14"/>
      <c r="C548" s="14"/>
      <c r="D548" s="14"/>
      <c r="E548" s="25"/>
      <c r="F548" s="25"/>
      <c r="G548" s="14"/>
      <c r="H548" s="14"/>
      <c r="I548" s="14"/>
      <c r="J548" s="14"/>
      <c r="K548" s="14"/>
      <c r="L548" s="7"/>
      <c r="M548" s="14"/>
      <c r="N548" s="14"/>
      <c r="O548" s="7"/>
      <c r="P548" s="21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 x14ac:dyDescent="0.25">
      <c r="A549" s="14"/>
      <c r="B549" s="14"/>
      <c r="C549" s="14"/>
      <c r="D549" s="14"/>
      <c r="E549" s="25"/>
      <c r="F549" s="25"/>
      <c r="G549" s="14"/>
      <c r="H549" s="14"/>
      <c r="I549" s="14"/>
      <c r="J549" s="14"/>
      <c r="K549" s="14"/>
      <c r="L549" s="7"/>
      <c r="M549" s="14"/>
      <c r="N549" s="14"/>
      <c r="O549" s="7"/>
      <c r="P549" s="21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 x14ac:dyDescent="0.25">
      <c r="A550" s="14"/>
      <c r="B550" s="14"/>
      <c r="C550" s="14"/>
      <c r="D550" s="14"/>
      <c r="E550" s="25"/>
      <c r="F550" s="25"/>
      <c r="G550" s="14"/>
      <c r="H550" s="14"/>
      <c r="I550" s="14"/>
      <c r="J550" s="14"/>
      <c r="K550" s="14"/>
      <c r="L550" s="7"/>
      <c r="M550" s="14"/>
      <c r="N550" s="14"/>
      <c r="O550" s="7"/>
      <c r="P550" s="21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 x14ac:dyDescent="0.25">
      <c r="A551" s="14"/>
      <c r="B551" s="14"/>
      <c r="C551" s="14"/>
      <c r="D551" s="14"/>
      <c r="E551" s="25"/>
      <c r="F551" s="25"/>
      <c r="G551" s="14"/>
      <c r="H551" s="14"/>
      <c r="I551" s="14"/>
      <c r="J551" s="14"/>
      <c r="K551" s="14"/>
      <c r="L551" s="7"/>
      <c r="M551" s="14"/>
      <c r="N551" s="14"/>
      <c r="O551" s="7"/>
      <c r="P551" s="21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 x14ac:dyDescent="0.25">
      <c r="A552" s="14"/>
      <c r="B552" s="14"/>
      <c r="C552" s="14"/>
      <c r="D552" s="14"/>
      <c r="E552" s="25"/>
      <c r="F552" s="25"/>
      <c r="G552" s="14"/>
      <c r="H552" s="14"/>
      <c r="I552" s="14"/>
      <c r="J552" s="14"/>
      <c r="K552" s="14"/>
      <c r="L552" s="7"/>
      <c r="M552" s="14"/>
      <c r="N552" s="14"/>
      <c r="O552" s="7"/>
      <c r="P552" s="21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 x14ac:dyDescent="0.25">
      <c r="A553" s="14"/>
      <c r="B553" s="14"/>
      <c r="C553" s="14"/>
      <c r="D553" s="14"/>
      <c r="E553" s="25"/>
      <c r="F553" s="25"/>
      <c r="G553" s="14"/>
      <c r="H553" s="14"/>
      <c r="I553" s="14"/>
      <c r="J553" s="14"/>
      <c r="K553" s="14"/>
      <c r="L553" s="7"/>
      <c r="M553" s="14"/>
      <c r="N553" s="14"/>
      <c r="O553" s="7"/>
      <c r="P553" s="21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 x14ac:dyDescent="0.25">
      <c r="A554" s="14"/>
      <c r="B554" s="14"/>
      <c r="C554" s="14"/>
      <c r="D554" s="14"/>
      <c r="E554" s="25"/>
      <c r="F554" s="25"/>
      <c r="G554" s="14"/>
      <c r="H554" s="14"/>
      <c r="I554" s="14"/>
      <c r="J554" s="14"/>
      <c r="K554" s="14"/>
      <c r="L554" s="7"/>
      <c r="M554" s="14"/>
      <c r="N554" s="14"/>
      <c r="O554" s="7"/>
      <c r="P554" s="21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 x14ac:dyDescent="0.25">
      <c r="A555" s="14"/>
      <c r="B555" s="14"/>
      <c r="C555" s="14"/>
      <c r="D555" s="14"/>
      <c r="E555" s="25"/>
      <c r="F555" s="25"/>
      <c r="G555" s="14"/>
      <c r="H555" s="14"/>
      <c r="I555" s="14"/>
      <c r="J555" s="14"/>
      <c r="K555" s="14"/>
      <c r="L555" s="7"/>
      <c r="M555" s="14"/>
      <c r="N555" s="14"/>
      <c r="O555" s="7"/>
      <c r="P555" s="21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 x14ac:dyDescent="0.25">
      <c r="A556" s="14"/>
      <c r="B556" s="14"/>
      <c r="C556" s="14"/>
      <c r="D556" s="14"/>
      <c r="E556" s="25"/>
      <c r="F556" s="25"/>
      <c r="G556" s="14"/>
      <c r="H556" s="14"/>
      <c r="I556" s="14"/>
      <c r="J556" s="14"/>
      <c r="K556" s="14"/>
      <c r="L556" s="7"/>
      <c r="M556" s="14"/>
      <c r="N556" s="14"/>
      <c r="O556" s="7"/>
      <c r="P556" s="21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 x14ac:dyDescent="0.25">
      <c r="A557" s="14"/>
      <c r="B557" s="14"/>
      <c r="C557" s="14"/>
      <c r="D557" s="14"/>
      <c r="E557" s="25"/>
      <c r="F557" s="25"/>
      <c r="G557" s="14"/>
      <c r="H557" s="14"/>
      <c r="I557" s="14"/>
      <c r="J557" s="14"/>
      <c r="K557" s="14"/>
      <c r="L557" s="7"/>
      <c r="M557" s="14"/>
      <c r="N557" s="14"/>
      <c r="O557" s="7"/>
      <c r="P557" s="21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 x14ac:dyDescent="0.25">
      <c r="A558" s="14"/>
      <c r="B558" s="14"/>
      <c r="C558" s="14"/>
      <c r="D558" s="14"/>
      <c r="E558" s="25"/>
      <c r="F558" s="25"/>
      <c r="G558" s="14"/>
      <c r="H558" s="14"/>
      <c r="I558" s="14"/>
      <c r="J558" s="14"/>
      <c r="K558" s="14"/>
      <c r="L558" s="7"/>
      <c r="M558" s="14"/>
      <c r="N558" s="14"/>
      <c r="O558" s="7"/>
      <c r="P558" s="21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 x14ac:dyDescent="0.25">
      <c r="A559" s="14"/>
      <c r="B559" s="14"/>
      <c r="C559" s="14"/>
      <c r="D559" s="14"/>
      <c r="E559" s="25"/>
      <c r="F559" s="25"/>
      <c r="G559" s="14"/>
      <c r="H559" s="14"/>
      <c r="I559" s="14"/>
      <c r="J559" s="14"/>
      <c r="K559" s="14"/>
      <c r="L559" s="7"/>
      <c r="M559" s="14"/>
      <c r="N559" s="14"/>
      <c r="O559" s="7"/>
      <c r="P559" s="21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 x14ac:dyDescent="0.25">
      <c r="A560" s="14"/>
      <c r="B560" s="14"/>
      <c r="C560" s="14"/>
      <c r="D560" s="14"/>
      <c r="E560" s="25"/>
      <c r="F560" s="25"/>
      <c r="G560" s="14"/>
      <c r="H560" s="14"/>
      <c r="I560" s="14"/>
      <c r="J560" s="14"/>
      <c r="K560" s="14"/>
      <c r="L560" s="7"/>
      <c r="M560" s="14"/>
      <c r="N560" s="14"/>
      <c r="O560" s="7"/>
      <c r="P560" s="21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 x14ac:dyDescent="0.25">
      <c r="A561" s="14"/>
      <c r="B561" s="14"/>
      <c r="C561" s="14"/>
      <c r="D561" s="14"/>
      <c r="E561" s="25"/>
      <c r="F561" s="25"/>
      <c r="G561" s="14"/>
      <c r="H561" s="14"/>
      <c r="I561" s="14"/>
      <c r="J561" s="14"/>
      <c r="K561" s="14"/>
      <c r="L561" s="7"/>
      <c r="M561" s="14"/>
      <c r="N561" s="14"/>
      <c r="O561" s="7"/>
      <c r="P561" s="21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 x14ac:dyDescent="0.25">
      <c r="A562" s="14"/>
      <c r="B562" s="14"/>
      <c r="C562" s="14"/>
      <c r="D562" s="14"/>
      <c r="E562" s="25"/>
      <c r="F562" s="25"/>
      <c r="G562" s="14"/>
      <c r="H562" s="14"/>
      <c r="I562" s="14"/>
      <c r="J562" s="14"/>
      <c r="K562" s="14"/>
      <c r="L562" s="7"/>
      <c r="M562" s="14"/>
      <c r="N562" s="14"/>
      <c r="O562" s="7"/>
      <c r="P562" s="21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 x14ac:dyDescent="0.25">
      <c r="A563" s="14"/>
      <c r="B563" s="14"/>
      <c r="C563" s="14"/>
      <c r="D563" s="14"/>
      <c r="E563" s="25"/>
      <c r="F563" s="25"/>
      <c r="G563" s="14"/>
      <c r="H563" s="14"/>
      <c r="I563" s="14"/>
      <c r="J563" s="14"/>
      <c r="K563" s="14"/>
      <c r="L563" s="7"/>
      <c r="M563" s="14"/>
      <c r="N563" s="14"/>
      <c r="O563" s="7"/>
      <c r="P563" s="21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 x14ac:dyDescent="0.25">
      <c r="A564" s="14"/>
      <c r="B564" s="14"/>
      <c r="C564" s="14"/>
      <c r="D564" s="14"/>
      <c r="E564" s="25"/>
      <c r="F564" s="25"/>
      <c r="G564" s="14"/>
      <c r="H564" s="14"/>
      <c r="I564" s="14"/>
      <c r="J564" s="14"/>
      <c r="K564" s="14"/>
      <c r="L564" s="7"/>
      <c r="M564" s="14"/>
      <c r="N564" s="14"/>
      <c r="O564" s="7"/>
      <c r="P564" s="21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 x14ac:dyDescent="0.25">
      <c r="A565" s="14"/>
      <c r="B565" s="14"/>
      <c r="C565" s="14"/>
      <c r="D565" s="14"/>
      <c r="E565" s="25"/>
      <c r="F565" s="25"/>
      <c r="G565" s="14"/>
      <c r="H565" s="14"/>
      <c r="I565" s="14"/>
      <c r="J565" s="14"/>
      <c r="K565" s="14"/>
      <c r="L565" s="7"/>
      <c r="M565" s="14"/>
      <c r="N565" s="14"/>
      <c r="O565" s="7"/>
      <c r="P565" s="21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 x14ac:dyDescent="0.25">
      <c r="A566" s="14"/>
      <c r="B566" s="14"/>
      <c r="C566" s="14"/>
      <c r="D566" s="14"/>
      <c r="E566" s="25"/>
      <c r="F566" s="25"/>
      <c r="G566" s="14"/>
      <c r="H566" s="14"/>
      <c r="I566" s="14"/>
      <c r="J566" s="14"/>
      <c r="K566" s="14"/>
      <c r="L566" s="7"/>
      <c r="M566" s="14"/>
      <c r="N566" s="14"/>
      <c r="O566" s="7"/>
      <c r="P566" s="21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 x14ac:dyDescent="0.25">
      <c r="A567" s="14"/>
      <c r="B567" s="14"/>
      <c r="C567" s="14"/>
      <c r="D567" s="14"/>
      <c r="E567" s="25"/>
      <c r="F567" s="25"/>
      <c r="G567" s="14"/>
      <c r="H567" s="14"/>
      <c r="I567" s="14"/>
      <c r="J567" s="14"/>
      <c r="K567" s="14"/>
      <c r="L567" s="7"/>
      <c r="M567" s="14"/>
      <c r="N567" s="14"/>
      <c r="O567" s="7"/>
      <c r="P567" s="21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 x14ac:dyDescent="0.25">
      <c r="A568" s="14"/>
      <c r="B568" s="14"/>
      <c r="C568" s="14"/>
      <c r="D568" s="14"/>
      <c r="E568" s="25"/>
      <c r="F568" s="25"/>
      <c r="G568" s="14"/>
      <c r="H568" s="14"/>
      <c r="I568" s="14"/>
      <c r="J568" s="14"/>
      <c r="K568" s="14"/>
      <c r="L568" s="7"/>
      <c r="M568" s="14"/>
      <c r="N568" s="14"/>
      <c r="O568" s="7"/>
      <c r="P568" s="21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 x14ac:dyDescent="0.25">
      <c r="A569" s="14"/>
      <c r="B569" s="14"/>
      <c r="C569" s="14"/>
      <c r="D569" s="14"/>
      <c r="E569" s="25"/>
      <c r="F569" s="25"/>
      <c r="G569" s="14"/>
      <c r="H569" s="14"/>
      <c r="I569" s="14"/>
      <c r="J569" s="14"/>
      <c r="K569" s="14"/>
      <c r="L569" s="7"/>
      <c r="M569" s="14"/>
      <c r="N569" s="14"/>
      <c r="O569" s="7"/>
      <c r="P569" s="21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 x14ac:dyDescent="0.25">
      <c r="A570" s="14"/>
      <c r="B570" s="14"/>
      <c r="C570" s="14"/>
      <c r="D570" s="14"/>
      <c r="E570" s="25"/>
      <c r="F570" s="25"/>
      <c r="G570" s="14"/>
      <c r="H570" s="14"/>
      <c r="I570" s="14"/>
      <c r="J570" s="14"/>
      <c r="K570" s="14"/>
      <c r="L570" s="7"/>
      <c r="M570" s="14"/>
      <c r="N570" s="14"/>
      <c r="O570" s="7"/>
      <c r="P570" s="21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 x14ac:dyDescent="0.25">
      <c r="A571" s="14"/>
      <c r="B571" s="14"/>
      <c r="C571" s="14"/>
      <c r="D571" s="14"/>
      <c r="E571" s="25"/>
      <c r="F571" s="25"/>
      <c r="G571" s="14"/>
      <c r="H571" s="14"/>
      <c r="I571" s="14"/>
      <c r="J571" s="14"/>
      <c r="K571" s="14"/>
      <c r="L571" s="7"/>
      <c r="M571" s="14"/>
      <c r="N571" s="14"/>
      <c r="O571" s="7"/>
      <c r="P571" s="21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 x14ac:dyDescent="0.25">
      <c r="A572" s="14"/>
      <c r="B572" s="14"/>
      <c r="C572" s="14"/>
      <c r="D572" s="14"/>
      <c r="E572" s="25"/>
      <c r="F572" s="25"/>
      <c r="G572" s="14"/>
      <c r="H572" s="14"/>
      <c r="I572" s="14"/>
      <c r="J572" s="14"/>
      <c r="K572" s="14"/>
      <c r="L572" s="7"/>
      <c r="M572" s="14"/>
      <c r="N572" s="14"/>
      <c r="O572" s="7"/>
      <c r="P572" s="21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 x14ac:dyDescent="0.25">
      <c r="A573" s="14"/>
      <c r="B573" s="14"/>
      <c r="C573" s="14"/>
      <c r="D573" s="14"/>
      <c r="E573" s="25"/>
      <c r="F573" s="25"/>
      <c r="G573" s="14"/>
      <c r="H573" s="14"/>
      <c r="I573" s="14"/>
      <c r="J573" s="14"/>
      <c r="K573" s="14"/>
      <c r="L573" s="7"/>
      <c r="M573" s="14"/>
      <c r="N573" s="14"/>
      <c r="O573" s="7"/>
      <c r="P573" s="21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 x14ac:dyDescent="0.25">
      <c r="A574" s="14"/>
      <c r="B574" s="14"/>
      <c r="C574" s="14"/>
      <c r="D574" s="14"/>
      <c r="E574" s="25"/>
      <c r="F574" s="25"/>
      <c r="G574" s="14"/>
      <c r="H574" s="14"/>
      <c r="I574" s="14"/>
      <c r="J574" s="14"/>
      <c r="K574" s="14"/>
      <c r="L574" s="7"/>
      <c r="M574" s="14"/>
      <c r="N574" s="14"/>
      <c r="O574" s="7"/>
      <c r="P574" s="21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 x14ac:dyDescent="0.25">
      <c r="A575" s="14"/>
      <c r="B575" s="14"/>
      <c r="C575" s="14"/>
      <c r="D575" s="14"/>
      <c r="E575" s="25"/>
      <c r="F575" s="25"/>
      <c r="G575" s="14"/>
      <c r="H575" s="14"/>
      <c r="I575" s="14"/>
      <c r="J575" s="14"/>
      <c r="K575" s="14"/>
      <c r="L575" s="7"/>
      <c r="M575" s="14"/>
      <c r="N575" s="14"/>
      <c r="O575" s="7"/>
      <c r="P575" s="21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 x14ac:dyDescent="0.25">
      <c r="A576" s="14"/>
      <c r="B576" s="14"/>
      <c r="C576" s="14"/>
      <c r="D576" s="14"/>
      <c r="E576" s="25"/>
      <c r="F576" s="25"/>
      <c r="G576" s="14"/>
      <c r="H576" s="14"/>
      <c r="I576" s="14"/>
      <c r="J576" s="14"/>
      <c r="K576" s="14"/>
      <c r="L576" s="7"/>
      <c r="M576" s="14"/>
      <c r="N576" s="14"/>
      <c r="O576" s="7"/>
      <c r="P576" s="21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 x14ac:dyDescent="0.25">
      <c r="A577" s="14"/>
      <c r="B577" s="14"/>
      <c r="C577" s="14"/>
      <c r="D577" s="14"/>
      <c r="E577" s="25"/>
      <c r="F577" s="25"/>
      <c r="G577" s="14"/>
      <c r="H577" s="14"/>
      <c r="I577" s="14"/>
      <c r="J577" s="14"/>
      <c r="K577" s="14"/>
      <c r="L577" s="7"/>
      <c r="M577" s="14"/>
      <c r="N577" s="14"/>
      <c r="O577" s="7"/>
      <c r="P577" s="21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 x14ac:dyDescent="0.25">
      <c r="A578" s="14"/>
      <c r="B578" s="14"/>
      <c r="C578" s="14"/>
      <c r="D578" s="14"/>
      <c r="E578" s="25"/>
      <c r="F578" s="25"/>
      <c r="G578" s="14"/>
      <c r="H578" s="14"/>
      <c r="I578" s="14"/>
      <c r="J578" s="14"/>
      <c r="K578" s="14"/>
      <c r="L578" s="7"/>
      <c r="M578" s="14"/>
      <c r="N578" s="14"/>
      <c r="O578" s="7"/>
      <c r="P578" s="21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 x14ac:dyDescent="0.25">
      <c r="A579" s="14"/>
      <c r="B579" s="14"/>
      <c r="C579" s="14"/>
      <c r="D579" s="14"/>
      <c r="E579" s="25"/>
      <c r="F579" s="25"/>
      <c r="G579" s="14"/>
      <c r="H579" s="14"/>
      <c r="I579" s="14"/>
      <c r="J579" s="14"/>
      <c r="K579" s="14"/>
      <c r="L579" s="7"/>
      <c r="M579" s="14"/>
      <c r="N579" s="14"/>
      <c r="O579" s="7"/>
      <c r="P579" s="21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 x14ac:dyDescent="0.25">
      <c r="A580" s="14"/>
      <c r="B580" s="14"/>
      <c r="C580" s="14"/>
      <c r="D580" s="14"/>
      <c r="E580" s="25"/>
      <c r="F580" s="25"/>
      <c r="G580" s="14"/>
      <c r="H580" s="14"/>
      <c r="I580" s="14"/>
      <c r="J580" s="14"/>
      <c r="K580" s="14"/>
      <c r="L580" s="7"/>
      <c r="M580" s="14"/>
      <c r="N580" s="14"/>
      <c r="O580" s="7"/>
      <c r="P580" s="21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 x14ac:dyDescent="0.25">
      <c r="A581" s="14"/>
      <c r="B581" s="14"/>
      <c r="C581" s="14"/>
      <c r="D581" s="14"/>
      <c r="E581" s="25"/>
      <c r="F581" s="25"/>
      <c r="G581" s="14"/>
      <c r="H581" s="14"/>
      <c r="I581" s="14"/>
      <c r="J581" s="14"/>
      <c r="K581" s="14"/>
      <c r="L581" s="7"/>
      <c r="M581" s="14"/>
      <c r="N581" s="14"/>
      <c r="O581" s="7"/>
      <c r="P581" s="21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 x14ac:dyDescent="0.25">
      <c r="A582" s="14"/>
      <c r="B582" s="14"/>
      <c r="C582" s="14"/>
      <c r="D582" s="14"/>
      <c r="E582" s="25"/>
      <c r="F582" s="25"/>
      <c r="G582" s="14"/>
      <c r="H582" s="14"/>
      <c r="I582" s="14"/>
      <c r="J582" s="14"/>
      <c r="K582" s="14"/>
      <c r="L582" s="7"/>
      <c r="M582" s="14"/>
      <c r="N582" s="14"/>
      <c r="O582" s="7"/>
      <c r="P582" s="21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 x14ac:dyDescent="0.25">
      <c r="A583" s="14"/>
      <c r="B583" s="14"/>
      <c r="C583" s="14"/>
      <c r="D583" s="14"/>
      <c r="E583" s="25"/>
      <c r="F583" s="25"/>
      <c r="G583" s="14"/>
      <c r="H583" s="14"/>
      <c r="I583" s="14"/>
      <c r="J583" s="14"/>
      <c r="K583" s="14"/>
      <c r="L583" s="7"/>
      <c r="M583" s="14"/>
      <c r="N583" s="14"/>
      <c r="O583" s="7"/>
      <c r="P583" s="21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 x14ac:dyDescent="0.25">
      <c r="A584" s="14"/>
      <c r="B584" s="14"/>
      <c r="C584" s="14"/>
      <c r="D584" s="14"/>
      <c r="E584" s="25"/>
      <c r="F584" s="25"/>
      <c r="G584" s="14"/>
      <c r="H584" s="14"/>
      <c r="I584" s="14"/>
      <c r="J584" s="14"/>
      <c r="K584" s="14"/>
      <c r="L584" s="7"/>
      <c r="M584" s="14"/>
      <c r="N584" s="14"/>
      <c r="O584" s="7"/>
      <c r="P584" s="21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 x14ac:dyDescent="0.25">
      <c r="A585" s="14"/>
      <c r="B585" s="14"/>
      <c r="C585" s="14"/>
      <c r="D585" s="14"/>
      <c r="E585" s="25"/>
      <c r="F585" s="25"/>
      <c r="G585" s="14"/>
      <c r="H585" s="14"/>
      <c r="I585" s="14"/>
      <c r="J585" s="14"/>
      <c r="K585" s="14"/>
      <c r="L585" s="7"/>
      <c r="M585" s="14"/>
      <c r="N585" s="14"/>
      <c r="O585" s="7"/>
      <c r="P585" s="21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 x14ac:dyDescent="0.25">
      <c r="A586" s="14"/>
      <c r="B586" s="14"/>
      <c r="C586" s="14"/>
      <c r="D586" s="14"/>
      <c r="E586" s="25"/>
      <c r="F586" s="25"/>
      <c r="G586" s="14"/>
      <c r="H586" s="14"/>
      <c r="I586" s="14"/>
      <c r="J586" s="14"/>
      <c r="K586" s="14"/>
      <c r="L586" s="7"/>
      <c r="M586" s="14"/>
      <c r="N586" s="14"/>
      <c r="O586" s="7"/>
      <c r="P586" s="21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 x14ac:dyDescent="0.25">
      <c r="A587" s="14"/>
      <c r="B587" s="14"/>
      <c r="C587" s="14"/>
      <c r="D587" s="14"/>
      <c r="E587" s="25"/>
      <c r="F587" s="25"/>
      <c r="G587" s="14"/>
      <c r="H587" s="14"/>
      <c r="I587" s="14"/>
      <c r="J587" s="14"/>
      <c r="K587" s="14"/>
      <c r="L587" s="7"/>
      <c r="M587" s="14"/>
      <c r="N587" s="14"/>
      <c r="O587" s="7"/>
      <c r="P587" s="21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 x14ac:dyDescent="0.25">
      <c r="A588" s="14"/>
      <c r="B588" s="14"/>
      <c r="C588" s="14"/>
      <c r="D588" s="14"/>
      <c r="E588" s="25"/>
      <c r="F588" s="25"/>
      <c r="G588" s="14"/>
      <c r="H588" s="14"/>
      <c r="I588" s="14"/>
      <c r="J588" s="14"/>
      <c r="K588" s="14"/>
      <c r="L588" s="7"/>
      <c r="M588" s="14"/>
      <c r="N588" s="14"/>
      <c r="O588" s="7"/>
      <c r="P588" s="21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 x14ac:dyDescent="0.25">
      <c r="A589" s="14"/>
      <c r="B589" s="14"/>
      <c r="C589" s="14"/>
      <c r="D589" s="14"/>
      <c r="E589" s="25"/>
      <c r="F589" s="25"/>
      <c r="G589" s="14"/>
      <c r="H589" s="14"/>
      <c r="I589" s="14"/>
      <c r="J589" s="14"/>
      <c r="K589" s="14"/>
      <c r="L589" s="7"/>
      <c r="M589" s="14"/>
      <c r="N589" s="14"/>
      <c r="O589" s="7"/>
      <c r="P589" s="21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 x14ac:dyDescent="0.25">
      <c r="A590" s="14"/>
      <c r="B590" s="14"/>
      <c r="C590" s="14"/>
      <c r="D590" s="14"/>
      <c r="E590" s="25"/>
      <c r="F590" s="25"/>
      <c r="G590" s="14"/>
      <c r="H590" s="14"/>
      <c r="I590" s="14"/>
      <c r="J590" s="14"/>
      <c r="K590" s="14"/>
      <c r="L590" s="7"/>
      <c r="M590" s="14"/>
      <c r="N590" s="14"/>
      <c r="O590" s="7"/>
      <c r="P590" s="21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 x14ac:dyDescent="0.25">
      <c r="A591" s="14"/>
      <c r="B591" s="14"/>
      <c r="C591" s="14"/>
      <c r="D591" s="14"/>
      <c r="E591" s="25"/>
      <c r="F591" s="25"/>
      <c r="G591" s="14"/>
      <c r="H591" s="14"/>
      <c r="I591" s="14"/>
      <c r="J591" s="14"/>
      <c r="K591" s="14"/>
      <c r="L591" s="7"/>
      <c r="M591" s="14"/>
      <c r="N591" s="14"/>
      <c r="O591" s="7"/>
      <c r="P591" s="21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 x14ac:dyDescent="0.25">
      <c r="A592" s="14"/>
      <c r="B592" s="14"/>
      <c r="C592" s="14"/>
      <c r="D592" s="14"/>
      <c r="E592" s="25"/>
      <c r="F592" s="25"/>
      <c r="G592" s="14"/>
      <c r="H592" s="14"/>
      <c r="I592" s="14"/>
      <c r="J592" s="14"/>
      <c r="K592" s="14"/>
      <c r="L592" s="7"/>
      <c r="M592" s="14"/>
      <c r="N592" s="14"/>
      <c r="O592" s="7"/>
      <c r="P592" s="21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 x14ac:dyDescent="0.25">
      <c r="A593" s="14"/>
      <c r="B593" s="14"/>
      <c r="C593" s="14"/>
      <c r="D593" s="14"/>
      <c r="E593" s="25"/>
      <c r="F593" s="25"/>
      <c r="G593" s="14"/>
      <c r="H593" s="14"/>
      <c r="I593" s="14"/>
      <c r="J593" s="14"/>
      <c r="K593" s="14"/>
      <c r="L593" s="7"/>
      <c r="M593" s="14"/>
      <c r="N593" s="14"/>
      <c r="O593" s="7"/>
      <c r="P593" s="21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 x14ac:dyDescent="0.25">
      <c r="A594" s="14"/>
      <c r="B594" s="14"/>
      <c r="C594" s="14"/>
      <c r="D594" s="14"/>
      <c r="E594" s="25"/>
      <c r="F594" s="25"/>
      <c r="G594" s="14"/>
      <c r="H594" s="14"/>
      <c r="I594" s="14"/>
      <c r="J594" s="14"/>
      <c r="K594" s="14"/>
      <c r="L594" s="7"/>
      <c r="M594" s="14"/>
      <c r="N594" s="14"/>
      <c r="O594" s="7"/>
      <c r="P594" s="21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 x14ac:dyDescent="0.25">
      <c r="A595" s="14"/>
      <c r="B595" s="14"/>
      <c r="C595" s="14"/>
      <c r="D595" s="14"/>
      <c r="E595" s="25"/>
      <c r="F595" s="25"/>
      <c r="G595" s="14"/>
      <c r="H595" s="14"/>
      <c r="I595" s="14"/>
      <c r="J595" s="14"/>
      <c r="K595" s="14"/>
      <c r="L595" s="7"/>
      <c r="M595" s="14"/>
      <c r="N595" s="14"/>
      <c r="O595" s="7"/>
      <c r="P595" s="21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 x14ac:dyDescent="0.25">
      <c r="A596" s="14"/>
      <c r="B596" s="14"/>
      <c r="C596" s="14"/>
      <c r="D596" s="14"/>
      <c r="E596" s="25"/>
      <c r="F596" s="25"/>
      <c r="G596" s="14"/>
      <c r="H596" s="14"/>
      <c r="I596" s="14"/>
      <c r="J596" s="14"/>
      <c r="K596" s="14"/>
      <c r="L596" s="7"/>
      <c r="M596" s="14"/>
      <c r="N596" s="14"/>
      <c r="O596" s="7"/>
      <c r="P596" s="21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 x14ac:dyDescent="0.25">
      <c r="A597" s="14"/>
      <c r="B597" s="14"/>
      <c r="C597" s="14"/>
      <c r="D597" s="14"/>
      <c r="E597" s="25"/>
      <c r="F597" s="25"/>
      <c r="G597" s="14"/>
      <c r="H597" s="14"/>
      <c r="I597" s="14"/>
      <c r="J597" s="14"/>
      <c r="K597" s="14"/>
      <c r="L597" s="7"/>
      <c r="M597" s="14"/>
      <c r="N597" s="14"/>
      <c r="O597" s="7"/>
      <c r="P597" s="21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 x14ac:dyDescent="0.25">
      <c r="A598" s="14"/>
      <c r="B598" s="14"/>
      <c r="C598" s="14"/>
      <c r="D598" s="14"/>
      <c r="E598" s="25"/>
      <c r="F598" s="25"/>
      <c r="G598" s="14"/>
      <c r="H598" s="14"/>
      <c r="I598" s="14"/>
      <c r="J598" s="14"/>
      <c r="K598" s="14"/>
      <c r="L598" s="7"/>
      <c r="M598" s="14"/>
      <c r="N598" s="14"/>
      <c r="O598" s="7"/>
      <c r="P598" s="21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 x14ac:dyDescent="0.25">
      <c r="A599" s="14"/>
      <c r="B599" s="14"/>
      <c r="C599" s="14"/>
      <c r="D599" s="14"/>
      <c r="E599" s="25"/>
      <c r="F599" s="25"/>
      <c r="G599" s="14"/>
      <c r="H599" s="14"/>
      <c r="I599" s="14"/>
      <c r="J599" s="14"/>
      <c r="K599" s="14"/>
      <c r="L599" s="7"/>
      <c r="M599" s="14"/>
      <c r="N599" s="14"/>
      <c r="O599" s="7"/>
      <c r="P599" s="21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 x14ac:dyDescent="0.25">
      <c r="A600" s="14"/>
      <c r="B600" s="14"/>
      <c r="C600" s="14"/>
      <c r="D600" s="14"/>
      <c r="E600" s="25"/>
      <c r="F600" s="25"/>
      <c r="G600" s="14"/>
      <c r="H600" s="14"/>
      <c r="I600" s="14"/>
      <c r="J600" s="14"/>
      <c r="K600" s="14"/>
      <c r="L600" s="7"/>
      <c r="M600" s="14"/>
      <c r="N600" s="14"/>
      <c r="O600" s="7"/>
      <c r="P600" s="21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 x14ac:dyDescent="0.25">
      <c r="A601" s="14"/>
      <c r="B601" s="14"/>
      <c r="C601" s="14"/>
      <c r="D601" s="14"/>
      <c r="E601" s="25"/>
      <c r="F601" s="25"/>
      <c r="G601" s="14"/>
      <c r="H601" s="14"/>
      <c r="I601" s="14"/>
      <c r="J601" s="14"/>
      <c r="K601" s="14"/>
      <c r="L601" s="7"/>
      <c r="M601" s="14"/>
      <c r="N601" s="14"/>
      <c r="O601" s="7"/>
      <c r="P601" s="21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 x14ac:dyDescent="0.25">
      <c r="A602" s="14"/>
      <c r="B602" s="14"/>
      <c r="C602" s="14"/>
      <c r="D602" s="14"/>
      <c r="E602" s="25"/>
      <c r="F602" s="25"/>
      <c r="G602" s="14"/>
      <c r="H602" s="14"/>
      <c r="I602" s="14"/>
      <c r="J602" s="14"/>
      <c r="K602" s="14"/>
      <c r="L602" s="7"/>
      <c r="M602" s="14"/>
      <c r="N602" s="14"/>
      <c r="O602" s="7"/>
      <c r="P602" s="21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 x14ac:dyDescent="0.25">
      <c r="A603" s="14"/>
      <c r="B603" s="14"/>
      <c r="C603" s="14"/>
      <c r="D603" s="14"/>
      <c r="E603" s="25"/>
      <c r="F603" s="25"/>
      <c r="G603" s="14"/>
      <c r="H603" s="14"/>
      <c r="I603" s="14"/>
      <c r="J603" s="14"/>
      <c r="K603" s="14"/>
      <c r="L603" s="7"/>
      <c r="M603" s="14"/>
      <c r="N603" s="14"/>
      <c r="O603" s="7"/>
      <c r="P603" s="21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 x14ac:dyDescent="0.25">
      <c r="A604" s="14"/>
      <c r="B604" s="14"/>
      <c r="C604" s="14"/>
      <c r="D604" s="14"/>
      <c r="E604" s="25"/>
      <c r="F604" s="25"/>
      <c r="G604" s="14"/>
      <c r="H604" s="14"/>
      <c r="I604" s="14"/>
      <c r="J604" s="14"/>
      <c r="K604" s="14"/>
      <c r="L604" s="7"/>
      <c r="M604" s="14"/>
      <c r="N604" s="14"/>
      <c r="O604" s="7"/>
      <c r="P604" s="21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 x14ac:dyDescent="0.25">
      <c r="A605" s="14"/>
      <c r="B605" s="14"/>
      <c r="C605" s="14"/>
      <c r="D605" s="14"/>
      <c r="E605" s="25"/>
      <c r="F605" s="25"/>
      <c r="G605" s="14"/>
      <c r="H605" s="14"/>
      <c r="I605" s="14"/>
      <c r="J605" s="14"/>
      <c r="K605" s="14"/>
      <c r="L605" s="7"/>
      <c r="M605" s="14"/>
      <c r="N605" s="14"/>
      <c r="O605" s="7"/>
      <c r="P605" s="21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 x14ac:dyDescent="0.25">
      <c r="A606" s="14"/>
      <c r="B606" s="14"/>
      <c r="C606" s="14"/>
      <c r="D606" s="14"/>
      <c r="E606" s="25"/>
      <c r="F606" s="25"/>
      <c r="G606" s="14"/>
      <c r="H606" s="14"/>
      <c r="I606" s="14"/>
      <c r="J606" s="14"/>
      <c r="K606" s="14"/>
      <c r="L606" s="7"/>
      <c r="M606" s="14"/>
      <c r="N606" s="14"/>
      <c r="O606" s="7"/>
      <c r="P606" s="21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 x14ac:dyDescent="0.25">
      <c r="A607" s="14"/>
      <c r="B607" s="14"/>
      <c r="C607" s="14"/>
      <c r="D607" s="14"/>
      <c r="E607" s="25"/>
      <c r="F607" s="25"/>
      <c r="G607" s="14"/>
      <c r="H607" s="14"/>
      <c r="I607" s="14"/>
      <c r="J607" s="14"/>
      <c r="K607" s="14"/>
      <c r="L607" s="7"/>
      <c r="M607" s="14"/>
      <c r="N607" s="14"/>
      <c r="O607" s="7"/>
      <c r="P607" s="21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 x14ac:dyDescent="0.25">
      <c r="A608" s="14"/>
      <c r="B608" s="14"/>
      <c r="C608" s="14"/>
      <c r="D608" s="14"/>
      <c r="E608" s="25"/>
      <c r="F608" s="25"/>
      <c r="G608" s="14"/>
      <c r="H608" s="14"/>
      <c r="I608" s="14"/>
      <c r="J608" s="14"/>
      <c r="K608" s="14"/>
      <c r="L608" s="7"/>
      <c r="M608" s="14"/>
      <c r="N608" s="14"/>
      <c r="O608" s="7"/>
      <c r="P608" s="21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 x14ac:dyDescent="0.25">
      <c r="A609" s="14"/>
      <c r="B609" s="14"/>
      <c r="C609" s="14"/>
      <c r="D609" s="14"/>
      <c r="E609" s="25"/>
      <c r="F609" s="25"/>
      <c r="G609" s="14"/>
      <c r="H609" s="14"/>
      <c r="I609" s="14"/>
      <c r="J609" s="14"/>
      <c r="K609" s="14"/>
      <c r="L609" s="7"/>
      <c r="M609" s="14"/>
      <c r="N609" s="14"/>
      <c r="O609" s="7"/>
      <c r="P609" s="21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 x14ac:dyDescent="0.25">
      <c r="A610" s="14"/>
      <c r="B610" s="14"/>
      <c r="C610" s="14"/>
      <c r="D610" s="14"/>
      <c r="E610" s="25"/>
      <c r="F610" s="25"/>
      <c r="G610" s="14"/>
      <c r="H610" s="14"/>
      <c r="I610" s="14"/>
      <c r="J610" s="14"/>
      <c r="K610" s="14"/>
      <c r="L610" s="7"/>
      <c r="M610" s="14"/>
      <c r="N610" s="14"/>
      <c r="O610" s="7"/>
      <c r="P610" s="21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 x14ac:dyDescent="0.25">
      <c r="A611" s="14"/>
      <c r="B611" s="14"/>
      <c r="C611" s="14"/>
      <c r="D611" s="14"/>
      <c r="E611" s="25"/>
      <c r="F611" s="25"/>
      <c r="G611" s="14"/>
      <c r="H611" s="14"/>
      <c r="I611" s="14"/>
      <c r="J611" s="14"/>
      <c r="K611" s="14"/>
      <c r="L611" s="7"/>
      <c r="M611" s="14"/>
      <c r="N611" s="14"/>
      <c r="O611" s="7"/>
      <c r="P611" s="21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 x14ac:dyDescent="0.25">
      <c r="A612" s="14"/>
      <c r="B612" s="14"/>
      <c r="C612" s="14"/>
      <c r="D612" s="14"/>
      <c r="E612" s="25"/>
      <c r="F612" s="25"/>
      <c r="G612" s="14"/>
      <c r="H612" s="14"/>
      <c r="I612" s="14"/>
      <c r="J612" s="14"/>
      <c r="K612" s="14"/>
      <c r="L612" s="7"/>
      <c r="M612" s="14"/>
      <c r="N612" s="14"/>
      <c r="O612" s="7"/>
      <c r="P612" s="21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 x14ac:dyDescent="0.25">
      <c r="A613" s="14"/>
      <c r="B613" s="14"/>
      <c r="C613" s="14"/>
      <c r="D613" s="14"/>
      <c r="E613" s="25"/>
      <c r="F613" s="25"/>
      <c r="G613" s="14"/>
      <c r="H613" s="14"/>
      <c r="I613" s="14"/>
      <c r="J613" s="14"/>
      <c r="K613" s="14"/>
      <c r="L613" s="7"/>
      <c r="M613" s="14"/>
      <c r="N613" s="14"/>
      <c r="O613" s="7"/>
      <c r="P613" s="21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 x14ac:dyDescent="0.25">
      <c r="A614" s="14"/>
      <c r="B614" s="14"/>
      <c r="C614" s="14"/>
      <c r="D614" s="14"/>
      <c r="E614" s="25"/>
      <c r="F614" s="25"/>
      <c r="G614" s="14"/>
      <c r="H614" s="14"/>
      <c r="I614" s="14"/>
      <c r="J614" s="14"/>
      <c r="K614" s="14"/>
      <c r="L614" s="7"/>
      <c r="M614" s="14"/>
      <c r="N614" s="14"/>
      <c r="O614" s="7"/>
      <c r="P614" s="21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 x14ac:dyDescent="0.25">
      <c r="A615" s="14"/>
      <c r="B615" s="14"/>
      <c r="C615" s="14"/>
      <c r="D615" s="14"/>
      <c r="E615" s="25"/>
      <c r="F615" s="25"/>
      <c r="G615" s="14"/>
      <c r="H615" s="14"/>
      <c r="I615" s="14"/>
      <c r="J615" s="14"/>
      <c r="K615" s="14"/>
      <c r="L615" s="7"/>
      <c r="M615" s="14"/>
      <c r="N615" s="14"/>
      <c r="O615" s="7"/>
      <c r="P615" s="21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 x14ac:dyDescent="0.25">
      <c r="A616" s="14"/>
      <c r="B616" s="14"/>
      <c r="C616" s="14"/>
      <c r="D616" s="14"/>
      <c r="E616" s="25"/>
      <c r="F616" s="25"/>
      <c r="G616" s="14"/>
      <c r="H616" s="14"/>
      <c r="I616" s="14"/>
      <c r="J616" s="14"/>
      <c r="K616" s="14"/>
      <c r="L616" s="7"/>
      <c r="M616" s="14"/>
      <c r="N616" s="14"/>
      <c r="O616" s="7"/>
      <c r="P616" s="21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 x14ac:dyDescent="0.25">
      <c r="A617" s="14"/>
      <c r="B617" s="14"/>
      <c r="C617" s="14"/>
      <c r="D617" s="14"/>
      <c r="E617" s="25"/>
      <c r="F617" s="25"/>
      <c r="G617" s="14"/>
      <c r="H617" s="14"/>
      <c r="I617" s="14"/>
      <c r="J617" s="14"/>
      <c r="K617" s="14"/>
      <c r="L617" s="7"/>
      <c r="M617" s="14"/>
      <c r="N617" s="14"/>
      <c r="O617" s="7"/>
      <c r="P617" s="21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 x14ac:dyDescent="0.25">
      <c r="A618" s="14"/>
      <c r="B618" s="14"/>
      <c r="C618" s="14"/>
      <c r="D618" s="14"/>
      <c r="E618" s="25"/>
      <c r="F618" s="25"/>
      <c r="G618" s="14"/>
      <c r="H618" s="14"/>
      <c r="I618" s="14"/>
      <c r="J618" s="14"/>
      <c r="K618" s="14"/>
      <c r="L618" s="7"/>
      <c r="M618" s="14"/>
      <c r="N618" s="14"/>
      <c r="O618" s="7"/>
      <c r="P618" s="21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 x14ac:dyDescent="0.25">
      <c r="A619" s="14"/>
      <c r="B619" s="14"/>
      <c r="C619" s="14"/>
      <c r="D619" s="14"/>
      <c r="E619" s="25"/>
      <c r="F619" s="25"/>
      <c r="G619" s="14"/>
      <c r="H619" s="14"/>
      <c r="I619" s="14"/>
      <c r="J619" s="14"/>
      <c r="K619" s="14"/>
      <c r="L619" s="7"/>
      <c r="M619" s="14"/>
      <c r="N619" s="14"/>
      <c r="O619" s="7"/>
      <c r="P619" s="21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 x14ac:dyDescent="0.25">
      <c r="A620" s="14"/>
      <c r="B620" s="14"/>
      <c r="C620" s="14"/>
      <c r="D620" s="14"/>
      <c r="E620" s="25"/>
      <c r="F620" s="25"/>
      <c r="G620" s="14"/>
      <c r="H620" s="14"/>
      <c r="I620" s="14"/>
      <c r="J620" s="14"/>
      <c r="K620" s="14"/>
      <c r="L620" s="7"/>
      <c r="M620" s="14"/>
      <c r="N620" s="14"/>
      <c r="O620" s="7"/>
      <c r="P620" s="21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 x14ac:dyDescent="0.25">
      <c r="A621" s="14"/>
      <c r="B621" s="14"/>
      <c r="C621" s="14"/>
      <c r="D621" s="14"/>
      <c r="E621" s="25"/>
      <c r="F621" s="25"/>
      <c r="G621" s="14"/>
      <c r="H621" s="14"/>
      <c r="I621" s="14"/>
      <c r="J621" s="14"/>
      <c r="K621" s="14"/>
      <c r="L621" s="7"/>
      <c r="M621" s="14"/>
      <c r="N621" s="14"/>
      <c r="O621" s="7"/>
      <c r="P621" s="21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 x14ac:dyDescent="0.25">
      <c r="A622" s="14"/>
      <c r="B622" s="14"/>
      <c r="C622" s="14"/>
      <c r="D622" s="14"/>
      <c r="E622" s="25"/>
      <c r="F622" s="25"/>
      <c r="G622" s="14"/>
      <c r="H622" s="14"/>
      <c r="I622" s="14"/>
      <c r="J622" s="14"/>
      <c r="K622" s="14"/>
      <c r="L622" s="7"/>
      <c r="M622" s="14"/>
      <c r="N622" s="14"/>
      <c r="O622" s="7"/>
      <c r="P622" s="21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 x14ac:dyDescent="0.25">
      <c r="A623" s="14"/>
      <c r="B623" s="14"/>
      <c r="C623" s="14"/>
      <c r="D623" s="14"/>
      <c r="E623" s="25"/>
      <c r="F623" s="25"/>
      <c r="G623" s="14"/>
      <c r="H623" s="14"/>
      <c r="I623" s="14"/>
      <c r="J623" s="14"/>
      <c r="K623" s="14"/>
      <c r="L623" s="7"/>
      <c r="M623" s="14"/>
      <c r="N623" s="14"/>
      <c r="O623" s="7"/>
      <c r="P623" s="21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 x14ac:dyDescent="0.25">
      <c r="A624" s="14"/>
      <c r="B624" s="14"/>
      <c r="C624" s="14"/>
      <c r="D624" s="14"/>
      <c r="E624" s="25"/>
      <c r="F624" s="25"/>
      <c r="G624" s="14"/>
      <c r="H624" s="14"/>
      <c r="I624" s="14"/>
      <c r="J624" s="14"/>
      <c r="K624" s="14"/>
      <c r="L624" s="7"/>
      <c r="M624" s="14"/>
      <c r="N624" s="14"/>
      <c r="O624" s="7"/>
      <c r="P624" s="21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 x14ac:dyDescent="0.25">
      <c r="A625" s="14"/>
      <c r="B625" s="14"/>
      <c r="C625" s="14"/>
      <c r="D625" s="14"/>
      <c r="E625" s="25"/>
      <c r="F625" s="25"/>
      <c r="G625" s="14"/>
      <c r="H625" s="14"/>
      <c r="I625" s="14"/>
      <c r="J625" s="14"/>
      <c r="K625" s="14"/>
      <c r="L625" s="7"/>
      <c r="M625" s="14"/>
      <c r="N625" s="14"/>
      <c r="O625" s="7"/>
      <c r="P625" s="21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 x14ac:dyDescent="0.25">
      <c r="A626" s="14"/>
      <c r="B626" s="14"/>
      <c r="C626" s="14"/>
      <c r="D626" s="14"/>
      <c r="E626" s="25"/>
      <c r="F626" s="25"/>
      <c r="G626" s="14"/>
      <c r="H626" s="14"/>
      <c r="I626" s="14"/>
      <c r="J626" s="14"/>
      <c r="K626" s="14"/>
      <c r="L626" s="7"/>
      <c r="M626" s="14"/>
      <c r="N626" s="14"/>
      <c r="O626" s="7"/>
      <c r="P626" s="21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 x14ac:dyDescent="0.25">
      <c r="A627" s="14"/>
      <c r="B627" s="14"/>
      <c r="C627" s="14"/>
      <c r="D627" s="14"/>
      <c r="E627" s="25"/>
      <c r="F627" s="25"/>
      <c r="G627" s="14"/>
      <c r="H627" s="14"/>
      <c r="I627" s="14"/>
      <c r="J627" s="14"/>
      <c r="K627" s="14"/>
      <c r="L627" s="7"/>
      <c r="M627" s="14"/>
      <c r="N627" s="14"/>
      <c r="O627" s="7"/>
      <c r="P627" s="21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 x14ac:dyDescent="0.25">
      <c r="A628" s="14"/>
      <c r="B628" s="14"/>
      <c r="C628" s="14"/>
      <c r="D628" s="14"/>
      <c r="E628" s="25"/>
      <c r="F628" s="25"/>
      <c r="G628" s="14"/>
      <c r="H628" s="14"/>
      <c r="I628" s="14"/>
      <c r="J628" s="14"/>
      <c r="K628" s="14"/>
      <c r="L628" s="7"/>
      <c r="M628" s="14"/>
      <c r="N628" s="14"/>
      <c r="O628" s="7"/>
      <c r="P628" s="21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 x14ac:dyDescent="0.25">
      <c r="A629" s="14"/>
      <c r="B629" s="14"/>
      <c r="C629" s="14"/>
      <c r="D629" s="14"/>
      <c r="E629" s="25"/>
      <c r="F629" s="25"/>
      <c r="G629" s="14"/>
      <c r="H629" s="14"/>
      <c r="I629" s="14"/>
      <c r="J629" s="14"/>
      <c r="K629" s="14"/>
      <c r="L629" s="7"/>
      <c r="M629" s="14"/>
      <c r="N629" s="14"/>
      <c r="O629" s="7"/>
      <c r="P629" s="21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 x14ac:dyDescent="0.25">
      <c r="A630" s="14"/>
      <c r="B630" s="14"/>
      <c r="C630" s="14"/>
      <c r="D630" s="14"/>
      <c r="E630" s="25"/>
      <c r="F630" s="25"/>
      <c r="G630" s="14"/>
      <c r="H630" s="14"/>
      <c r="I630" s="14"/>
      <c r="J630" s="14"/>
      <c r="K630" s="14"/>
      <c r="L630" s="7"/>
      <c r="M630" s="14"/>
      <c r="N630" s="14"/>
      <c r="O630" s="7"/>
      <c r="P630" s="21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 x14ac:dyDescent="0.25">
      <c r="A631" s="14"/>
      <c r="B631" s="14"/>
      <c r="C631" s="14"/>
      <c r="D631" s="14"/>
      <c r="E631" s="25"/>
      <c r="F631" s="25"/>
      <c r="G631" s="14"/>
      <c r="H631" s="14"/>
      <c r="I631" s="14"/>
      <c r="J631" s="14"/>
      <c r="K631" s="14"/>
      <c r="L631" s="7"/>
      <c r="M631" s="14"/>
      <c r="N631" s="14"/>
      <c r="O631" s="7"/>
      <c r="P631" s="21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 x14ac:dyDescent="0.25">
      <c r="A632" s="14"/>
      <c r="B632" s="14"/>
      <c r="C632" s="14"/>
      <c r="D632" s="14"/>
      <c r="E632" s="25"/>
      <c r="F632" s="25"/>
      <c r="G632" s="14"/>
      <c r="H632" s="14"/>
      <c r="I632" s="14"/>
      <c r="J632" s="14"/>
      <c r="K632" s="14"/>
      <c r="L632" s="7"/>
      <c r="M632" s="14"/>
      <c r="N632" s="14"/>
      <c r="O632" s="7"/>
      <c r="P632" s="21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 x14ac:dyDescent="0.25">
      <c r="A633" s="14"/>
      <c r="B633" s="14"/>
      <c r="C633" s="14"/>
      <c r="D633" s="14"/>
      <c r="E633" s="25"/>
      <c r="F633" s="25"/>
      <c r="G633" s="14"/>
      <c r="H633" s="14"/>
      <c r="I633" s="14"/>
      <c r="J633" s="14"/>
      <c r="K633" s="14"/>
      <c r="L633" s="7"/>
      <c r="M633" s="14"/>
      <c r="N633" s="14"/>
      <c r="O633" s="7"/>
      <c r="P633" s="21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 x14ac:dyDescent="0.25">
      <c r="A634" s="14"/>
      <c r="B634" s="14"/>
      <c r="C634" s="14"/>
      <c r="D634" s="14"/>
      <c r="E634" s="25"/>
      <c r="F634" s="25"/>
      <c r="G634" s="14"/>
      <c r="H634" s="14"/>
      <c r="I634" s="14"/>
      <c r="J634" s="14"/>
      <c r="K634" s="14"/>
      <c r="L634" s="7"/>
      <c r="M634" s="14"/>
      <c r="N634" s="14"/>
      <c r="O634" s="7"/>
      <c r="P634" s="21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 x14ac:dyDescent="0.25">
      <c r="A635" s="14"/>
      <c r="B635" s="14"/>
      <c r="C635" s="14"/>
      <c r="D635" s="14"/>
      <c r="E635" s="25"/>
      <c r="F635" s="25"/>
      <c r="G635" s="14"/>
      <c r="H635" s="14"/>
      <c r="I635" s="14"/>
      <c r="J635" s="14"/>
      <c r="K635" s="14"/>
      <c r="L635" s="7"/>
      <c r="M635" s="14"/>
      <c r="N635" s="14"/>
      <c r="O635" s="7"/>
      <c r="P635" s="21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 x14ac:dyDescent="0.25">
      <c r="A636" s="14"/>
      <c r="B636" s="14"/>
      <c r="C636" s="14"/>
      <c r="D636" s="14"/>
      <c r="E636" s="25"/>
      <c r="F636" s="25"/>
      <c r="G636" s="14"/>
      <c r="H636" s="14"/>
      <c r="I636" s="14"/>
      <c r="J636" s="14"/>
      <c r="K636" s="14"/>
      <c r="L636" s="7"/>
      <c r="M636" s="14"/>
      <c r="N636" s="14"/>
      <c r="O636" s="7"/>
      <c r="P636" s="21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 x14ac:dyDescent="0.25">
      <c r="A637" s="14"/>
      <c r="B637" s="14"/>
      <c r="C637" s="14"/>
      <c r="D637" s="14"/>
      <c r="E637" s="25"/>
      <c r="F637" s="25"/>
      <c r="G637" s="14"/>
      <c r="H637" s="14"/>
      <c r="I637" s="14"/>
      <c r="J637" s="14"/>
      <c r="K637" s="14"/>
      <c r="L637" s="7"/>
      <c r="M637" s="14"/>
      <c r="N637" s="14"/>
      <c r="O637" s="7"/>
      <c r="P637" s="21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 x14ac:dyDescent="0.25">
      <c r="A638" s="14"/>
      <c r="B638" s="14"/>
      <c r="C638" s="14"/>
      <c r="D638" s="14"/>
      <c r="E638" s="25"/>
      <c r="F638" s="25"/>
      <c r="G638" s="14"/>
      <c r="H638" s="14"/>
      <c r="I638" s="14"/>
      <c r="J638" s="14"/>
      <c r="K638" s="14"/>
      <c r="L638" s="7"/>
      <c r="M638" s="14"/>
      <c r="N638" s="14"/>
      <c r="O638" s="7"/>
      <c r="P638" s="21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 x14ac:dyDescent="0.25">
      <c r="A639" s="14"/>
      <c r="B639" s="14"/>
      <c r="C639" s="14"/>
      <c r="D639" s="14"/>
      <c r="E639" s="25"/>
      <c r="F639" s="25"/>
      <c r="G639" s="14"/>
      <c r="H639" s="14"/>
      <c r="I639" s="14"/>
      <c r="J639" s="14"/>
      <c r="K639" s="14"/>
      <c r="L639" s="7"/>
      <c r="M639" s="14"/>
      <c r="N639" s="14"/>
      <c r="O639" s="7"/>
      <c r="P639" s="21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 x14ac:dyDescent="0.25">
      <c r="A640" s="14"/>
      <c r="B640" s="14"/>
      <c r="C640" s="14"/>
      <c r="D640" s="14"/>
      <c r="E640" s="25"/>
      <c r="F640" s="25"/>
      <c r="G640" s="14"/>
      <c r="H640" s="14"/>
      <c r="I640" s="14"/>
      <c r="J640" s="14"/>
      <c r="K640" s="14"/>
      <c r="L640" s="7"/>
      <c r="M640" s="14"/>
      <c r="N640" s="14"/>
      <c r="O640" s="7"/>
      <c r="P640" s="21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 x14ac:dyDescent="0.25">
      <c r="A641" s="14"/>
      <c r="B641" s="14"/>
      <c r="C641" s="14"/>
      <c r="D641" s="14"/>
      <c r="E641" s="25"/>
      <c r="F641" s="25"/>
      <c r="G641" s="14"/>
      <c r="H641" s="14"/>
      <c r="I641" s="14"/>
      <c r="J641" s="14"/>
      <c r="K641" s="14"/>
      <c r="L641" s="7"/>
      <c r="M641" s="14"/>
      <c r="N641" s="14"/>
      <c r="O641" s="7"/>
      <c r="P641" s="21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 x14ac:dyDescent="0.25">
      <c r="A642" s="14"/>
      <c r="B642" s="14"/>
      <c r="C642" s="14"/>
      <c r="D642" s="14"/>
      <c r="E642" s="25"/>
      <c r="F642" s="25"/>
      <c r="G642" s="14"/>
      <c r="H642" s="14"/>
      <c r="I642" s="14"/>
      <c r="J642" s="14"/>
      <c r="K642" s="14"/>
      <c r="L642" s="7"/>
      <c r="M642" s="14"/>
      <c r="N642" s="14"/>
      <c r="O642" s="7"/>
      <c r="P642" s="21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 x14ac:dyDescent="0.25">
      <c r="A643" s="14"/>
      <c r="B643" s="14"/>
      <c r="C643" s="14"/>
      <c r="D643" s="14"/>
      <c r="E643" s="25"/>
      <c r="F643" s="25"/>
      <c r="G643" s="14"/>
      <c r="H643" s="14"/>
      <c r="I643" s="14"/>
      <c r="J643" s="14"/>
      <c r="K643" s="14"/>
      <c r="L643" s="7"/>
      <c r="M643" s="14"/>
      <c r="N643" s="14"/>
      <c r="O643" s="7"/>
      <c r="P643" s="21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 x14ac:dyDescent="0.25">
      <c r="A644" s="14"/>
      <c r="B644" s="14"/>
      <c r="C644" s="14"/>
      <c r="D644" s="14"/>
      <c r="E644" s="25"/>
      <c r="F644" s="25"/>
      <c r="G644" s="14"/>
      <c r="H644" s="14"/>
      <c r="I644" s="14"/>
      <c r="J644" s="14"/>
      <c r="K644" s="14"/>
      <c r="L644" s="7"/>
      <c r="M644" s="14"/>
      <c r="N644" s="14"/>
      <c r="O644" s="7"/>
      <c r="P644" s="21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 x14ac:dyDescent="0.25">
      <c r="A645" s="14"/>
      <c r="B645" s="14"/>
      <c r="C645" s="14"/>
      <c r="D645" s="14"/>
      <c r="E645" s="25"/>
      <c r="F645" s="25"/>
      <c r="G645" s="14"/>
      <c r="H645" s="14"/>
      <c r="I645" s="14"/>
      <c r="J645" s="14"/>
      <c r="K645" s="14"/>
      <c r="L645" s="7"/>
      <c r="M645" s="14"/>
      <c r="N645" s="14"/>
      <c r="O645" s="7"/>
      <c r="P645" s="21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 x14ac:dyDescent="0.25">
      <c r="A646" s="14"/>
      <c r="B646" s="14"/>
      <c r="C646" s="14"/>
      <c r="D646" s="14"/>
      <c r="E646" s="25"/>
      <c r="F646" s="25"/>
      <c r="G646" s="14"/>
      <c r="H646" s="14"/>
      <c r="I646" s="14"/>
      <c r="J646" s="14"/>
      <c r="K646" s="14"/>
      <c r="L646" s="7"/>
      <c r="M646" s="14"/>
      <c r="N646" s="14"/>
      <c r="O646" s="7"/>
      <c r="P646" s="21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 x14ac:dyDescent="0.25">
      <c r="A647" s="14"/>
      <c r="B647" s="14"/>
      <c r="C647" s="14"/>
      <c r="D647" s="14"/>
      <c r="E647" s="25"/>
      <c r="F647" s="25"/>
      <c r="G647" s="14"/>
      <c r="H647" s="14"/>
      <c r="I647" s="14"/>
      <c r="J647" s="14"/>
      <c r="K647" s="14"/>
      <c r="L647" s="7"/>
      <c r="M647" s="14"/>
      <c r="N647" s="14"/>
      <c r="O647" s="7"/>
      <c r="P647" s="21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 x14ac:dyDescent="0.25">
      <c r="A648" s="14"/>
      <c r="B648" s="14"/>
      <c r="C648" s="14"/>
      <c r="D648" s="14"/>
      <c r="E648" s="25"/>
      <c r="F648" s="25"/>
      <c r="G648" s="14"/>
      <c r="H648" s="14"/>
      <c r="I648" s="14"/>
      <c r="J648" s="14"/>
      <c r="K648" s="14"/>
      <c r="L648" s="7"/>
      <c r="M648" s="14"/>
      <c r="N648" s="14"/>
      <c r="O648" s="7"/>
      <c r="P648" s="21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 x14ac:dyDescent="0.25">
      <c r="A649" s="14"/>
      <c r="B649" s="14"/>
      <c r="C649" s="14"/>
      <c r="D649" s="14"/>
      <c r="E649" s="25"/>
      <c r="F649" s="25"/>
      <c r="G649" s="14"/>
      <c r="H649" s="14"/>
      <c r="I649" s="14"/>
      <c r="J649" s="14"/>
      <c r="K649" s="14"/>
      <c r="L649" s="7"/>
      <c r="M649" s="14"/>
      <c r="N649" s="14"/>
      <c r="O649" s="7"/>
      <c r="P649" s="21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 x14ac:dyDescent="0.25">
      <c r="A650" s="14"/>
      <c r="B650" s="14"/>
      <c r="C650" s="14"/>
      <c r="D650" s="14"/>
      <c r="E650" s="25"/>
      <c r="F650" s="25"/>
      <c r="G650" s="14"/>
      <c r="H650" s="14"/>
      <c r="I650" s="14"/>
      <c r="J650" s="14"/>
      <c r="K650" s="14"/>
      <c r="L650" s="7"/>
      <c r="M650" s="14"/>
      <c r="N650" s="14"/>
      <c r="O650" s="7"/>
      <c r="P650" s="21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 x14ac:dyDescent="0.25">
      <c r="A651" s="14"/>
      <c r="B651" s="14"/>
      <c r="C651" s="14"/>
      <c r="D651" s="14"/>
      <c r="E651" s="25"/>
      <c r="F651" s="25"/>
      <c r="G651" s="14"/>
      <c r="H651" s="14"/>
      <c r="I651" s="14"/>
      <c r="J651" s="14"/>
      <c r="K651" s="14"/>
      <c r="L651" s="7"/>
      <c r="M651" s="14"/>
      <c r="N651" s="14"/>
      <c r="O651" s="7"/>
      <c r="P651" s="21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 x14ac:dyDescent="0.25">
      <c r="A652" s="14"/>
      <c r="B652" s="14"/>
      <c r="C652" s="14"/>
      <c r="D652" s="14"/>
      <c r="E652" s="25"/>
      <c r="F652" s="25"/>
      <c r="G652" s="14"/>
      <c r="H652" s="14"/>
      <c r="I652" s="14"/>
      <c r="J652" s="14"/>
      <c r="K652" s="14"/>
      <c r="L652" s="7"/>
      <c r="M652" s="14"/>
      <c r="N652" s="14"/>
      <c r="O652" s="7"/>
      <c r="P652" s="21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 x14ac:dyDescent="0.25">
      <c r="A653" s="14"/>
      <c r="B653" s="14"/>
      <c r="C653" s="14"/>
      <c r="D653" s="14"/>
      <c r="E653" s="25"/>
      <c r="F653" s="25"/>
      <c r="G653" s="14"/>
      <c r="H653" s="14"/>
      <c r="I653" s="14"/>
      <c r="J653" s="14"/>
      <c r="K653" s="14"/>
      <c r="L653" s="7"/>
      <c r="M653" s="14"/>
      <c r="N653" s="14"/>
      <c r="O653" s="7"/>
      <c r="P653" s="21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 x14ac:dyDescent="0.25">
      <c r="A654" s="14"/>
      <c r="B654" s="14"/>
      <c r="C654" s="14"/>
      <c r="D654" s="14"/>
      <c r="E654" s="25"/>
      <c r="F654" s="25"/>
      <c r="G654" s="14"/>
      <c r="H654" s="14"/>
      <c r="I654" s="14"/>
      <c r="J654" s="14"/>
      <c r="K654" s="14"/>
      <c r="L654" s="7"/>
      <c r="M654" s="14"/>
      <c r="N654" s="14"/>
      <c r="O654" s="7"/>
      <c r="P654" s="21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 x14ac:dyDescent="0.25">
      <c r="A655" s="14"/>
      <c r="B655" s="14"/>
      <c r="C655" s="14"/>
      <c r="D655" s="14"/>
      <c r="E655" s="25"/>
      <c r="F655" s="25"/>
      <c r="G655" s="14"/>
      <c r="H655" s="14"/>
      <c r="I655" s="14"/>
      <c r="J655" s="14"/>
      <c r="K655" s="14"/>
      <c r="L655" s="7"/>
      <c r="M655" s="14"/>
      <c r="N655" s="14"/>
      <c r="O655" s="7"/>
      <c r="P655" s="21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 x14ac:dyDescent="0.25">
      <c r="A656" s="14"/>
      <c r="B656" s="14"/>
      <c r="C656" s="14"/>
      <c r="D656" s="14"/>
      <c r="E656" s="25"/>
      <c r="F656" s="25"/>
      <c r="G656" s="14"/>
      <c r="H656" s="14"/>
      <c r="I656" s="14"/>
      <c r="J656" s="14"/>
      <c r="K656" s="14"/>
      <c r="L656" s="7"/>
      <c r="M656" s="14"/>
      <c r="N656" s="14"/>
      <c r="O656" s="7"/>
      <c r="P656" s="21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 x14ac:dyDescent="0.25">
      <c r="A657" s="14"/>
      <c r="B657" s="14"/>
      <c r="C657" s="14"/>
      <c r="D657" s="14"/>
      <c r="E657" s="25"/>
      <c r="F657" s="25"/>
      <c r="G657" s="14"/>
      <c r="H657" s="14"/>
      <c r="I657" s="14"/>
      <c r="J657" s="14"/>
      <c r="K657" s="14"/>
      <c r="L657" s="7"/>
      <c r="M657" s="14"/>
      <c r="N657" s="14"/>
      <c r="O657" s="7"/>
      <c r="P657" s="21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 x14ac:dyDescent="0.25">
      <c r="A658" s="14"/>
      <c r="B658" s="14"/>
      <c r="C658" s="14"/>
      <c r="D658" s="14"/>
      <c r="E658" s="25"/>
      <c r="F658" s="25"/>
      <c r="G658" s="14"/>
      <c r="H658" s="14"/>
      <c r="I658" s="14"/>
      <c r="J658" s="14"/>
      <c r="K658" s="14"/>
      <c r="L658" s="7"/>
      <c r="M658" s="14"/>
      <c r="N658" s="14"/>
      <c r="O658" s="7"/>
      <c r="P658" s="21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 x14ac:dyDescent="0.25">
      <c r="A659" s="14"/>
      <c r="B659" s="14"/>
      <c r="C659" s="14"/>
      <c r="D659" s="14"/>
      <c r="E659" s="25"/>
      <c r="F659" s="25"/>
      <c r="G659" s="14"/>
      <c r="H659" s="14"/>
      <c r="I659" s="14"/>
      <c r="J659" s="14"/>
      <c r="K659" s="14"/>
      <c r="L659" s="7"/>
      <c r="M659" s="14"/>
      <c r="N659" s="14"/>
      <c r="O659" s="7"/>
      <c r="P659" s="21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 x14ac:dyDescent="0.25">
      <c r="A660" s="14"/>
      <c r="B660" s="14"/>
      <c r="C660" s="14"/>
      <c r="D660" s="14"/>
      <c r="E660" s="25"/>
      <c r="F660" s="25"/>
      <c r="G660" s="14"/>
      <c r="H660" s="14"/>
      <c r="I660" s="14"/>
      <c r="J660" s="14"/>
      <c r="K660" s="14"/>
      <c r="L660" s="7"/>
      <c r="M660" s="14"/>
      <c r="N660" s="14"/>
      <c r="O660" s="7"/>
      <c r="P660" s="21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 x14ac:dyDescent="0.25">
      <c r="A661" s="14"/>
      <c r="B661" s="14"/>
      <c r="C661" s="14"/>
      <c r="D661" s="14"/>
      <c r="E661" s="25"/>
      <c r="F661" s="25"/>
      <c r="G661" s="14"/>
      <c r="H661" s="14"/>
      <c r="I661" s="14"/>
      <c r="J661" s="14"/>
      <c r="K661" s="14"/>
      <c r="L661" s="7"/>
      <c r="M661" s="14"/>
      <c r="N661" s="14"/>
      <c r="O661" s="7"/>
      <c r="P661" s="21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 x14ac:dyDescent="0.25">
      <c r="A662" s="14"/>
      <c r="B662" s="14"/>
      <c r="C662" s="14"/>
      <c r="D662" s="14"/>
      <c r="E662" s="25"/>
      <c r="F662" s="25"/>
      <c r="G662" s="14"/>
      <c r="H662" s="14"/>
      <c r="I662" s="14"/>
      <c r="J662" s="14"/>
      <c r="K662" s="14"/>
      <c r="L662" s="7"/>
      <c r="M662" s="14"/>
      <c r="N662" s="14"/>
      <c r="O662" s="7"/>
      <c r="P662" s="21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 x14ac:dyDescent="0.25">
      <c r="A663" s="14"/>
      <c r="B663" s="14"/>
      <c r="C663" s="14"/>
      <c r="D663" s="14"/>
      <c r="E663" s="25"/>
      <c r="F663" s="25"/>
      <c r="G663" s="14"/>
      <c r="H663" s="14"/>
      <c r="I663" s="14"/>
      <c r="J663" s="14"/>
      <c r="K663" s="14"/>
      <c r="L663" s="7"/>
      <c r="M663" s="14"/>
      <c r="N663" s="14"/>
      <c r="O663" s="7"/>
      <c r="P663" s="21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 x14ac:dyDescent="0.25">
      <c r="A664" s="14"/>
      <c r="B664" s="14"/>
      <c r="C664" s="14"/>
      <c r="D664" s="14"/>
      <c r="E664" s="25"/>
      <c r="F664" s="25"/>
      <c r="G664" s="14"/>
      <c r="H664" s="14"/>
      <c r="I664" s="14"/>
      <c r="J664" s="14"/>
      <c r="K664" s="14"/>
      <c r="L664" s="7"/>
      <c r="M664" s="14"/>
      <c r="N664" s="14"/>
      <c r="O664" s="7"/>
      <c r="P664" s="21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 x14ac:dyDescent="0.25">
      <c r="A665" s="14"/>
      <c r="B665" s="14"/>
      <c r="C665" s="14"/>
      <c r="D665" s="14"/>
      <c r="E665" s="25"/>
      <c r="F665" s="25"/>
      <c r="G665" s="14"/>
      <c r="H665" s="14"/>
      <c r="I665" s="14"/>
      <c r="J665" s="14"/>
      <c r="K665" s="14"/>
      <c r="L665" s="7"/>
      <c r="M665" s="14"/>
      <c r="N665" s="14"/>
      <c r="O665" s="7"/>
      <c r="P665" s="21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 x14ac:dyDescent="0.25">
      <c r="A666" s="14"/>
      <c r="B666" s="14"/>
      <c r="C666" s="14"/>
      <c r="D666" s="14"/>
      <c r="E666" s="25"/>
      <c r="F666" s="25"/>
      <c r="G666" s="14"/>
      <c r="H666" s="14"/>
      <c r="I666" s="14"/>
      <c r="J666" s="14"/>
      <c r="K666" s="14"/>
      <c r="L666" s="7"/>
      <c r="M666" s="14"/>
      <c r="N666" s="14"/>
      <c r="O666" s="7"/>
      <c r="P666" s="21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 x14ac:dyDescent="0.25">
      <c r="A667" s="14"/>
      <c r="B667" s="14"/>
      <c r="C667" s="14"/>
      <c r="D667" s="14"/>
      <c r="E667" s="25"/>
      <c r="F667" s="25"/>
      <c r="G667" s="14"/>
      <c r="H667" s="14"/>
      <c r="I667" s="14"/>
      <c r="J667" s="14"/>
      <c r="K667" s="14"/>
      <c r="L667" s="7"/>
      <c r="M667" s="14"/>
      <c r="N667" s="14"/>
      <c r="O667" s="7"/>
      <c r="P667" s="21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 x14ac:dyDescent="0.25">
      <c r="A668" s="14"/>
      <c r="B668" s="14"/>
      <c r="C668" s="14"/>
      <c r="D668" s="14"/>
      <c r="E668" s="25"/>
      <c r="F668" s="25"/>
      <c r="G668" s="14"/>
      <c r="H668" s="14"/>
      <c r="I668" s="14"/>
      <c r="J668" s="14"/>
      <c r="K668" s="14"/>
      <c r="L668" s="7"/>
      <c r="M668" s="14"/>
      <c r="N668" s="14"/>
      <c r="O668" s="7"/>
      <c r="P668" s="21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 x14ac:dyDescent="0.25">
      <c r="A669" s="14"/>
      <c r="B669" s="14"/>
      <c r="C669" s="14"/>
      <c r="D669" s="14"/>
      <c r="E669" s="25"/>
      <c r="F669" s="25"/>
      <c r="G669" s="14"/>
      <c r="H669" s="14"/>
      <c r="I669" s="14"/>
      <c r="J669" s="14"/>
      <c r="K669" s="14"/>
      <c r="L669" s="7"/>
      <c r="M669" s="14"/>
      <c r="N669" s="14"/>
      <c r="O669" s="7"/>
      <c r="P669" s="21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 x14ac:dyDescent="0.25">
      <c r="A670" s="14"/>
      <c r="B670" s="14"/>
      <c r="C670" s="14"/>
      <c r="D670" s="14"/>
      <c r="E670" s="25"/>
      <c r="F670" s="25"/>
      <c r="G670" s="14"/>
      <c r="H670" s="14"/>
      <c r="I670" s="14"/>
      <c r="J670" s="14"/>
      <c r="K670" s="14"/>
      <c r="L670" s="7"/>
      <c r="M670" s="14"/>
      <c r="N670" s="14"/>
      <c r="O670" s="7"/>
      <c r="P670" s="21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 x14ac:dyDescent="0.25">
      <c r="A671" s="14"/>
      <c r="B671" s="14"/>
      <c r="C671" s="14"/>
      <c r="D671" s="14"/>
      <c r="E671" s="25"/>
      <c r="F671" s="25"/>
      <c r="G671" s="14"/>
      <c r="H671" s="14"/>
      <c r="I671" s="14"/>
      <c r="J671" s="14"/>
      <c r="K671" s="14"/>
      <c r="L671" s="7"/>
      <c r="M671" s="14"/>
      <c r="N671" s="14"/>
      <c r="O671" s="7"/>
      <c r="P671" s="21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 x14ac:dyDescent="0.25">
      <c r="A672" s="14"/>
      <c r="B672" s="14"/>
      <c r="C672" s="14"/>
      <c r="D672" s="14"/>
      <c r="E672" s="25"/>
      <c r="F672" s="25"/>
      <c r="G672" s="14"/>
      <c r="H672" s="14"/>
      <c r="I672" s="14"/>
      <c r="J672" s="14"/>
      <c r="K672" s="14"/>
      <c r="L672" s="7"/>
      <c r="M672" s="14"/>
      <c r="N672" s="14"/>
      <c r="O672" s="7"/>
      <c r="P672" s="21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 x14ac:dyDescent="0.25">
      <c r="A673" s="14"/>
      <c r="B673" s="14"/>
      <c r="C673" s="14"/>
      <c r="D673" s="14"/>
      <c r="E673" s="25"/>
      <c r="F673" s="25"/>
      <c r="G673" s="14"/>
      <c r="H673" s="14"/>
      <c r="I673" s="14"/>
      <c r="J673" s="14"/>
      <c r="K673" s="14"/>
      <c r="L673" s="7"/>
      <c r="M673" s="14"/>
      <c r="N673" s="14"/>
      <c r="O673" s="7"/>
      <c r="P673" s="21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 x14ac:dyDescent="0.25">
      <c r="A674" s="14"/>
      <c r="B674" s="14"/>
      <c r="C674" s="14"/>
      <c r="D674" s="14"/>
      <c r="E674" s="25"/>
      <c r="F674" s="25"/>
      <c r="G674" s="14"/>
      <c r="H674" s="14"/>
      <c r="I674" s="14"/>
      <c r="J674" s="14"/>
      <c r="K674" s="14"/>
      <c r="L674" s="7"/>
      <c r="M674" s="14"/>
      <c r="N674" s="14"/>
      <c r="O674" s="7"/>
      <c r="P674" s="21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 x14ac:dyDescent="0.25">
      <c r="A675" s="14"/>
      <c r="B675" s="14"/>
      <c r="C675" s="14"/>
      <c r="D675" s="14"/>
      <c r="E675" s="25"/>
      <c r="F675" s="25"/>
      <c r="G675" s="14"/>
      <c r="H675" s="14"/>
      <c r="I675" s="14"/>
      <c r="J675" s="14"/>
      <c r="K675" s="14"/>
      <c r="L675" s="7"/>
      <c r="M675" s="14"/>
      <c r="N675" s="14"/>
      <c r="O675" s="7"/>
      <c r="P675" s="21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 x14ac:dyDescent="0.25">
      <c r="A676" s="14"/>
      <c r="B676" s="14"/>
      <c r="C676" s="14"/>
      <c r="D676" s="14"/>
      <c r="E676" s="25"/>
      <c r="F676" s="25"/>
      <c r="G676" s="14"/>
      <c r="H676" s="14"/>
      <c r="I676" s="14"/>
      <c r="J676" s="14"/>
      <c r="K676" s="14"/>
      <c r="L676" s="7"/>
      <c r="M676" s="14"/>
      <c r="N676" s="14"/>
      <c r="O676" s="7"/>
      <c r="P676" s="21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 x14ac:dyDescent="0.25">
      <c r="A677" s="14"/>
      <c r="B677" s="14"/>
      <c r="C677" s="14"/>
      <c r="D677" s="14"/>
      <c r="E677" s="25"/>
      <c r="F677" s="25"/>
      <c r="G677" s="14"/>
      <c r="H677" s="14"/>
      <c r="I677" s="14"/>
      <c r="J677" s="14"/>
      <c r="K677" s="14"/>
      <c r="L677" s="7"/>
      <c r="M677" s="14"/>
      <c r="N677" s="14"/>
      <c r="O677" s="7"/>
      <c r="P677" s="21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 x14ac:dyDescent="0.25">
      <c r="A678" s="14"/>
      <c r="B678" s="14"/>
      <c r="C678" s="14"/>
      <c r="D678" s="14"/>
      <c r="E678" s="25"/>
      <c r="F678" s="25"/>
      <c r="G678" s="14"/>
      <c r="H678" s="14"/>
      <c r="I678" s="14"/>
      <c r="J678" s="14"/>
      <c r="K678" s="14"/>
      <c r="L678" s="7"/>
      <c r="M678" s="14"/>
      <c r="N678" s="14"/>
      <c r="O678" s="7"/>
      <c r="P678" s="21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 x14ac:dyDescent="0.25">
      <c r="A679" s="14"/>
      <c r="B679" s="14"/>
      <c r="C679" s="14"/>
      <c r="D679" s="14"/>
      <c r="E679" s="25"/>
      <c r="F679" s="25"/>
      <c r="G679" s="14"/>
      <c r="H679" s="14"/>
      <c r="I679" s="14"/>
      <c r="J679" s="14"/>
      <c r="K679" s="14"/>
      <c r="L679" s="7"/>
      <c r="M679" s="14"/>
      <c r="N679" s="14"/>
      <c r="O679" s="7"/>
      <c r="P679" s="21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 x14ac:dyDescent="0.25">
      <c r="A680" s="14"/>
      <c r="B680" s="14"/>
      <c r="C680" s="14"/>
      <c r="D680" s="14"/>
      <c r="E680" s="25"/>
      <c r="F680" s="25"/>
      <c r="G680" s="14"/>
      <c r="H680" s="14"/>
      <c r="I680" s="14"/>
      <c r="J680" s="14"/>
      <c r="K680" s="14"/>
      <c r="L680" s="7"/>
      <c r="M680" s="14"/>
      <c r="N680" s="14"/>
      <c r="O680" s="7"/>
      <c r="P680" s="21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 x14ac:dyDescent="0.25">
      <c r="A681" s="14"/>
      <c r="B681" s="14"/>
      <c r="C681" s="14"/>
      <c r="D681" s="14"/>
      <c r="E681" s="25"/>
      <c r="F681" s="25"/>
      <c r="G681" s="14"/>
      <c r="H681" s="14"/>
      <c r="I681" s="14"/>
      <c r="J681" s="14"/>
      <c r="K681" s="14"/>
      <c r="L681" s="7"/>
      <c r="M681" s="14"/>
      <c r="N681" s="14"/>
      <c r="O681" s="7"/>
      <c r="P681" s="21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 x14ac:dyDescent="0.25">
      <c r="A682" s="14"/>
      <c r="B682" s="14"/>
      <c r="C682" s="14"/>
      <c r="D682" s="14"/>
      <c r="E682" s="25"/>
      <c r="F682" s="25"/>
      <c r="G682" s="14"/>
      <c r="H682" s="14"/>
      <c r="I682" s="14"/>
      <c r="J682" s="14"/>
      <c r="K682" s="14"/>
      <c r="L682" s="7"/>
      <c r="M682" s="14"/>
      <c r="N682" s="14"/>
      <c r="O682" s="7"/>
      <c r="P682" s="21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 x14ac:dyDescent="0.25">
      <c r="A683" s="14"/>
      <c r="B683" s="14"/>
      <c r="C683" s="14"/>
      <c r="D683" s="14"/>
      <c r="E683" s="25"/>
      <c r="F683" s="25"/>
      <c r="G683" s="14"/>
      <c r="H683" s="14"/>
      <c r="I683" s="14"/>
      <c r="J683" s="14"/>
      <c r="K683" s="14"/>
      <c r="L683" s="7"/>
      <c r="M683" s="14"/>
      <c r="N683" s="14"/>
      <c r="O683" s="7"/>
      <c r="P683" s="21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 x14ac:dyDescent="0.25">
      <c r="A684" s="14"/>
      <c r="B684" s="14"/>
      <c r="C684" s="14"/>
      <c r="D684" s="14"/>
      <c r="E684" s="25"/>
      <c r="F684" s="25"/>
      <c r="G684" s="14"/>
      <c r="H684" s="14"/>
      <c r="I684" s="14"/>
      <c r="J684" s="14"/>
      <c r="K684" s="14"/>
      <c r="L684" s="7"/>
      <c r="M684" s="14"/>
      <c r="N684" s="14"/>
      <c r="O684" s="7"/>
      <c r="P684" s="21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 x14ac:dyDescent="0.25">
      <c r="A685" s="14"/>
      <c r="B685" s="14"/>
      <c r="C685" s="14"/>
      <c r="D685" s="14"/>
      <c r="E685" s="25"/>
      <c r="F685" s="25"/>
      <c r="G685" s="14"/>
      <c r="H685" s="14"/>
      <c r="I685" s="14"/>
      <c r="J685" s="14"/>
      <c r="K685" s="14"/>
      <c r="L685" s="7"/>
      <c r="M685" s="14"/>
      <c r="N685" s="14"/>
      <c r="O685" s="7"/>
      <c r="P685" s="21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 x14ac:dyDescent="0.25">
      <c r="A686" s="14"/>
      <c r="B686" s="14"/>
      <c r="C686" s="14"/>
      <c r="D686" s="14"/>
      <c r="E686" s="25"/>
      <c r="F686" s="25"/>
      <c r="G686" s="14"/>
      <c r="H686" s="14"/>
      <c r="I686" s="14"/>
      <c r="J686" s="14"/>
      <c r="K686" s="14"/>
      <c r="L686" s="7"/>
      <c r="M686" s="14"/>
      <c r="N686" s="14"/>
      <c r="O686" s="7"/>
      <c r="P686" s="21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 x14ac:dyDescent="0.25">
      <c r="A687" s="14"/>
      <c r="B687" s="14"/>
      <c r="C687" s="14"/>
      <c r="D687" s="14"/>
      <c r="E687" s="25"/>
      <c r="F687" s="25"/>
      <c r="G687" s="14"/>
      <c r="H687" s="14"/>
      <c r="I687" s="14"/>
      <c r="J687" s="14"/>
      <c r="K687" s="14"/>
      <c r="L687" s="7"/>
      <c r="M687" s="14"/>
      <c r="N687" s="14"/>
      <c r="O687" s="7"/>
      <c r="P687" s="21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 x14ac:dyDescent="0.25">
      <c r="A688" s="14"/>
      <c r="B688" s="14"/>
      <c r="C688" s="14"/>
      <c r="D688" s="14"/>
      <c r="E688" s="25"/>
      <c r="F688" s="25"/>
      <c r="G688" s="14"/>
      <c r="H688" s="14"/>
      <c r="I688" s="14"/>
      <c r="J688" s="14"/>
      <c r="K688" s="14"/>
      <c r="L688" s="7"/>
      <c r="M688" s="14"/>
      <c r="N688" s="14"/>
      <c r="O688" s="7"/>
      <c r="P688" s="21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 x14ac:dyDescent="0.25">
      <c r="A689" s="14"/>
      <c r="B689" s="14"/>
      <c r="C689" s="14"/>
      <c r="D689" s="14"/>
      <c r="E689" s="25"/>
      <c r="F689" s="25"/>
      <c r="G689" s="14"/>
      <c r="H689" s="14"/>
      <c r="I689" s="14"/>
      <c r="J689" s="14"/>
      <c r="K689" s="14"/>
      <c r="L689" s="7"/>
      <c r="M689" s="14"/>
      <c r="N689" s="14"/>
      <c r="O689" s="7"/>
      <c r="P689" s="21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 x14ac:dyDescent="0.25">
      <c r="A690" s="14"/>
      <c r="B690" s="14"/>
      <c r="C690" s="14"/>
      <c r="D690" s="14"/>
      <c r="E690" s="25"/>
      <c r="F690" s="25"/>
      <c r="G690" s="14"/>
      <c r="H690" s="14"/>
      <c r="I690" s="14"/>
      <c r="J690" s="14"/>
      <c r="K690" s="14"/>
      <c r="L690" s="7"/>
      <c r="M690" s="14"/>
      <c r="N690" s="14"/>
      <c r="O690" s="7"/>
      <c r="P690" s="21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 x14ac:dyDescent="0.25">
      <c r="A691" s="14"/>
      <c r="B691" s="14"/>
      <c r="C691" s="14"/>
      <c r="D691" s="14"/>
      <c r="E691" s="25"/>
      <c r="F691" s="25"/>
      <c r="G691" s="14"/>
      <c r="H691" s="14"/>
      <c r="I691" s="14"/>
      <c r="J691" s="14"/>
      <c r="K691" s="14"/>
      <c r="L691" s="7"/>
      <c r="M691" s="14"/>
      <c r="N691" s="14"/>
      <c r="O691" s="7"/>
      <c r="P691" s="21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 x14ac:dyDescent="0.25">
      <c r="A692" s="14"/>
      <c r="B692" s="14"/>
      <c r="C692" s="14"/>
      <c r="D692" s="14"/>
      <c r="E692" s="25"/>
      <c r="F692" s="25"/>
      <c r="G692" s="14"/>
      <c r="H692" s="14"/>
      <c r="I692" s="14"/>
      <c r="J692" s="14"/>
      <c r="K692" s="14"/>
      <c r="L692" s="7"/>
      <c r="M692" s="14"/>
      <c r="N692" s="14"/>
      <c r="O692" s="7"/>
      <c r="P692" s="21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 x14ac:dyDescent="0.25">
      <c r="A693" s="14"/>
      <c r="B693" s="14"/>
      <c r="C693" s="14"/>
      <c r="D693" s="14"/>
      <c r="E693" s="25"/>
      <c r="F693" s="25"/>
      <c r="G693" s="14"/>
      <c r="H693" s="14"/>
      <c r="I693" s="14"/>
      <c r="J693" s="14"/>
      <c r="K693" s="14"/>
      <c r="L693" s="7"/>
      <c r="M693" s="14"/>
      <c r="N693" s="14"/>
      <c r="O693" s="7"/>
      <c r="P693" s="21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 x14ac:dyDescent="0.25">
      <c r="A694" s="14"/>
      <c r="B694" s="14"/>
      <c r="C694" s="14"/>
      <c r="D694" s="14"/>
      <c r="E694" s="25"/>
      <c r="F694" s="25"/>
      <c r="G694" s="14"/>
      <c r="H694" s="14"/>
      <c r="I694" s="14"/>
      <c r="J694" s="14"/>
      <c r="K694" s="14"/>
      <c r="L694" s="7"/>
      <c r="M694" s="14"/>
      <c r="N694" s="14"/>
      <c r="O694" s="7"/>
      <c r="P694" s="21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 x14ac:dyDescent="0.25">
      <c r="A695" s="14"/>
      <c r="B695" s="14"/>
      <c r="C695" s="14"/>
      <c r="D695" s="14"/>
      <c r="E695" s="25"/>
      <c r="F695" s="25"/>
      <c r="G695" s="14"/>
      <c r="H695" s="14"/>
      <c r="I695" s="14"/>
      <c r="J695" s="14"/>
      <c r="K695" s="14"/>
      <c r="L695" s="7"/>
      <c r="M695" s="14"/>
      <c r="N695" s="14"/>
      <c r="O695" s="7"/>
      <c r="P695" s="21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 x14ac:dyDescent="0.25">
      <c r="A696" s="14"/>
      <c r="B696" s="14"/>
      <c r="C696" s="14"/>
      <c r="D696" s="14"/>
      <c r="E696" s="25"/>
      <c r="F696" s="25"/>
      <c r="G696" s="14"/>
      <c r="H696" s="14"/>
      <c r="I696" s="14"/>
      <c r="J696" s="14"/>
      <c r="K696" s="14"/>
      <c r="L696" s="7"/>
      <c r="M696" s="14"/>
      <c r="N696" s="14"/>
      <c r="O696" s="7"/>
      <c r="P696" s="21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 x14ac:dyDescent="0.25">
      <c r="A697" s="14"/>
      <c r="B697" s="14"/>
      <c r="C697" s="14"/>
      <c r="D697" s="14"/>
      <c r="E697" s="25"/>
      <c r="F697" s="25"/>
      <c r="G697" s="14"/>
      <c r="H697" s="14"/>
      <c r="I697" s="14"/>
      <c r="J697" s="14"/>
      <c r="K697" s="14"/>
      <c r="L697" s="7"/>
      <c r="M697" s="14"/>
      <c r="N697" s="14"/>
      <c r="O697" s="7"/>
      <c r="P697" s="21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 x14ac:dyDescent="0.25">
      <c r="A698" s="14"/>
      <c r="B698" s="14"/>
      <c r="C698" s="14"/>
      <c r="D698" s="14"/>
      <c r="E698" s="25"/>
      <c r="F698" s="25"/>
      <c r="G698" s="14"/>
      <c r="H698" s="14"/>
      <c r="I698" s="14"/>
      <c r="J698" s="14"/>
      <c r="K698" s="14"/>
      <c r="L698" s="7"/>
      <c r="M698" s="14"/>
      <c r="N698" s="14"/>
      <c r="O698" s="7"/>
      <c r="P698" s="21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 x14ac:dyDescent="0.25">
      <c r="A699" s="14"/>
      <c r="B699" s="14"/>
      <c r="C699" s="14"/>
      <c r="D699" s="14"/>
      <c r="E699" s="25"/>
      <c r="F699" s="25"/>
      <c r="G699" s="14"/>
      <c r="H699" s="14"/>
      <c r="I699" s="14"/>
      <c r="J699" s="14"/>
      <c r="K699" s="14"/>
      <c r="L699" s="7"/>
      <c r="M699" s="14"/>
      <c r="N699" s="14"/>
      <c r="O699" s="7"/>
      <c r="P699" s="21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 x14ac:dyDescent="0.25">
      <c r="A700" s="14"/>
      <c r="B700" s="14"/>
      <c r="C700" s="14"/>
      <c r="D700" s="14"/>
      <c r="E700" s="25"/>
      <c r="F700" s="25"/>
      <c r="G700" s="14"/>
      <c r="H700" s="14"/>
      <c r="I700" s="14"/>
      <c r="J700" s="14"/>
      <c r="K700" s="14"/>
      <c r="L700" s="7"/>
      <c r="M700" s="14"/>
      <c r="N700" s="14"/>
      <c r="O700" s="7"/>
      <c r="P700" s="21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 x14ac:dyDescent="0.25">
      <c r="A701" s="14"/>
      <c r="B701" s="14"/>
      <c r="C701" s="14"/>
      <c r="D701" s="14"/>
      <c r="E701" s="25"/>
      <c r="F701" s="25"/>
      <c r="G701" s="14"/>
      <c r="H701" s="14"/>
      <c r="I701" s="14"/>
      <c r="J701" s="14"/>
      <c r="K701" s="14"/>
      <c r="L701" s="7"/>
      <c r="M701" s="14"/>
      <c r="N701" s="14"/>
      <c r="O701" s="7"/>
      <c r="P701" s="21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 x14ac:dyDescent="0.25">
      <c r="A702" s="14"/>
      <c r="B702" s="14"/>
      <c r="C702" s="14"/>
      <c r="D702" s="14"/>
      <c r="E702" s="25"/>
      <c r="F702" s="25"/>
      <c r="G702" s="14"/>
      <c r="H702" s="14"/>
      <c r="I702" s="14"/>
      <c r="J702" s="14"/>
      <c r="K702" s="14"/>
      <c r="L702" s="7"/>
      <c r="M702" s="14"/>
      <c r="N702" s="14"/>
      <c r="O702" s="7"/>
      <c r="P702" s="21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 x14ac:dyDescent="0.25">
      <c r="A703" s="14"/>
      <c r="B703" s="14"/>
      <c r="C703" s="14"/>
      <c r="D703" s="14"/>
      <c r="E703" s="25"/>
      <c r="F703" s="25"/>
      <c r="G703" s="14"/>
      <c r="H703" s="14"/>
      <c r="I703" s="14"/>
      <c r="J703" s="14"/>
      <c r="K703" s="14"/>
      <c r="L703" s="7"/>
      <c r="M703" s="14"/>
      <c r="N703" s="14"/>
      <c r="O703" s="7"/>
      <c r="P703" s="21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 x14ac:dyDescent="0.25">
      <c r="A704" s="14"/>
      <c r="B704" s="14"/>
      <c r="C704" s="14"/>
      <c r="D704" s="14"/>
      <c r="E704" s="25"/>
      <c r="F704" s="25"/>
      <c r="G704" s="14"/>
      <c r="H704" s="14"/>
      <c r="I704" s="14"/>
      <c r="J704" s="14"/>
      <c r="K704" s="14"/>
      <c r="L704" s="7"/>
      <c r="M704" s="14"/>
      <c r="N704" s="14"/>
      <c r="O704" s="7"/>
      <c r="P704" s="21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 x14ac:dyDescent="0.25">
      <c r="A705" s="14"/>
      <c r="B705" s="14"/>
      <c r="C705" s="14"/>
      <c r="D705" s="14"/>
      <c r="E705" s="25"/>
      <c r="F705" s="25"/>
      <c r="G705" s="14"/>
      <c r="H705" s="14"/>
      <c r="I705" s="14"/>
      <c r="J705" s="14"/>
      <c r="K705" s="14"/>
      <c r="L705" s="7"/>
      <c r="M705" s="14"/>
      <c r="N705" s="14"/>
      <c r="O705" s="7"/>
      <c r="P705" s="21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 x14ac:dyDescent="0.25">
      <c r="A706" s="14"/>
      <c r="B706" s="14"/>
      <c r="C706" s="14"/>
      <c r="D706" s="14"/>
      <c r="E706" s="25"/>
      <c r="F706" s="25"/>
      <c r="G706" s="14"/>
      <c r="H706" s="14"/>
      <c r="I706" s="14"/>
      <c r="J706" s="14"/>
      <c r="K706" s="14"/>
      <c r="L706" s="7"/>
      <c r="M706" s="14"/>
      <c r="N706" s="14"/>
      <c r="O706" s="7"/>
      <c r="P706" s="21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 x14ac:dyDescent="0.25">
      <c r="A707" s="14"/>
      <c r="B707" s="14"/>
      <c r="C707" s="14"/>
      <c r="D707" s="14"/>
      <c r="E707" s="25"/>
      <c r="F707" s="25"/>
      <c r="G707" s="14"/>
      <c r="H707" s="14"/>
      <c r="I707" s="14"/>
      <c r="J707" s="14"/>
      <c r="K707" s="14"/>
      <c r="L707" s="7"/>
      <c r="M707" s="14"/>
      <c r="N707" s="14"/>
      <c r="O707" s="7"/>
      <c r="P707" s="21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 x14ac:dyDescent="0.25">
      <c r="A708" s="14"/>
      <c r="B708" s="14"/>
      <c r="C708" s="14"/>
      <c r="D708" s="14"/>
      <c r="E708" s="25"/>
      <c r="F708" s="25"/>
      <c r="G708" s="14"/>
      <c r="H708" s="14"/>
      <c r="I708" s="14"/>
      <c r="J708" s="14"/>
      <c r="K708" s="14"/>
      <c r="L708" s="7"/>
      <c r="M708" s="14"/>
      <c r="N708" s="14"/>
      <c r="O708" s="7"/>
      <c r="P708" s="21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 x14ac:dyDescent="0.25">
      <c r="A709" s="14"/>
      <c r="B709" s="14"/>
      <c r="C709" s="14"/>
      <c r="D709" s="14"/>
      <c r="E709" s="25"/>
      <c r="F709" s="25"/>
      <c r="G709" s="14"/>
      <c r="H709" s="14"/>
      <c r="I709" s="14"/>
      <c r="J709" s="14"/>
      <c r="K709" s="14"/>
      <c r="L709" s="7"/>
      <c r="M709" s="14"/>
      <c r="N709" s="14"/>
      <c r="O709" s="7"/>
      <c r="P709" s="21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 x14ac:dyDescent="0.25">
      <c r="A710" s="14"/>
      <c r="B710" s="14"/>
      <c r="C710" s="14"/>
      <c r="D710" s="14"/>
      <c r="E710" s="25"/>
      <c r="F710" s="25"/>
      <c r="G710" s="14"/>
      <c r="H710" s="14"/>
      <c r="I710" s="14"/>
      <c r="J710" s="14"/>
      <c r="K710" s="14"/>
      <c r="L710" s="7"/>
      <c r="M710" s="14"/>
      <c r="N710" s="14"/>
      <c r="O710" s="7"/>
      <c r="P710" s="21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 x14ac:dyDescent="0.25">
      <c r="A711" s="14"/>
      <c r="B711" s="14"/>
      <c r="C711" s="14"/>
      <c r="D711" s="14"/>
      <c r="E711" s="25"/>
      <c r="F711" s="25"/>
      <c r="G711" s="14"/>
      <c r="H711" s="14"/>
      <c r="I711" s="14"/>
      <c r="J711" s="14"/>
      <c r="K711" s="14"/>
      <c r="L711" s="7"/>
      <c r="M711" s="14"/>
      <c r="N711" s="14"/>
      <c r="O711" s="7"/>
      <c r="P711" s="21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 x14ac:dyDescent="0.25">
      <c r="A712" s="14"/>
      <c r="B712" s="14"/>
      <c r="C712" s="14"/>
      <c r="D712" s="14"/>
      <c r="E712" s="25"/>
      <c r="F712" s="25"/>
      <c r="G712" s="14"/>
      <c r="H712" s="14"/>
      <c r="I712" s="14"/>
      <c r="J712" s="14"/>
      <c r="K712" s="14"/>
      <c r="L712" s="7"/>
      <c r="M712" s="14"/>
      <c r="N712" s="14"/>
      <c r="O712" s="7"/>
      <c r="P712" s="21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 x14ac:dyDescent="0.25">
      <c r="A713" s="14"/>
      <c r="B713" s="14"/>
      <c r="C713" s="14"/>
      <c r="D713" s="14"/>
      <c r="E713" s="25"/>
      <c r="F713" s="25"/>
      <c r="G713" s="14"/>
      <c r="H713" s="14"/>
      <c r="I713" s="14"/>
      <c r="J713" s="14"/>
      <c r="K713" s="14"/>
      <c r="L713" s="7"/>
      <c r="M713" s="14"/>
      <c r="N713" s="14"/>
      <c r="O713" s="7"/>
      <c r="P713" s="21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 x14ac:dyDescent="0.25">
      <c r="A714" s="14"/>
      <c r="B714" s="14"/>
      <c r="C714" s="14"/>
      <c r="D714" s="14"/>
      <c r="E714" s="25"/>
      <c r="F714" s="25"/>
      <c r="G714" s="14"/>
      <c r="H714" s="14"/>
      <c r="I714" s="14"/>
      <c r="J714" s="14"/>
      <c r="K714" s="14"/>
      <c r="L714" s="7"/>
      <c r="M714" s="14"/>
      <c r="N714" s="14"/>
      <c r="O714" s="7"/>
      <c r="P714" s="21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 x14ac:dyDescent="0.25">
      <c r="A715" s="14"/>
      <c r="B715" s="14"/>
      <c r="C715" s="14"/>
      <c r="D715" s="14"/>
      <c r="E715" s="25"/>
      <c r="F715" s="25"/>
      <c r="G715" s="14"/>
      <c r="H715" s="14"/>
      <c r="I715" s="14"/>
      <c r="J715" s="14"/>
      <c r="K715" s="14"/>
      <c r="L715" s="7"/>
      <c r="M715" s="14"/>
      <c r="N715" s="14"/>
      <c r="O715" s="7"/>
      <c r="P715" s="21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 x14ac:dyDescent="0.25">
      <c r="A716" s="14"/>
      <c r="B716" s="14"/>
      <c r="C716" s="14"/>
      <c r="D716" s="14"/>
      <c r="E716" s="25"/>
      <c r="F716" s="25"/>
      <c r="G716" s="14"/>
      <c r="H716" s="14"/>
      <c r="I716" s="14"/>
      <c r="J716" s="14"/>
      <c r="K716" s="14"/>
      <c r="L716" s="7"/>
      <c r="M716" s="14"/>
      <c r="N716" s="14"/>
      <c r="O716" s="7"/>
      <c r="P716" s="21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 x14ac:dyDescent="0.25">
      <c r="A717" s="14"/>
      <c r="B717" s="14"/>
      <c r="C717" s="14"/>
      <c r="D717" s="14"/>
      <c r="E717" s="25"/>
      <c r="F717" s="25"/>
      <c r="G717" s="14"/>
      <c r="H717" s="14"/>
      <c r="I717" s="14"/>
      <c r="J717" s="14"/>
      <c r="K717" s="14"/>
      <c r="L717" s="7"/>
      <c r="M717" s="14"/>
      <c r="N717" s="14"/>
      <c r="O717" s="7"/>
      <c r="P717" s="21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 x14ac:dyDescent="0.25">
      <c r="A718" s="14"/>
      <c r="B718" s="14"/>
      <c r="C718" s="14"/>
      <c r="D718" s="14"/>
      <c r="E718" s="25"/>
      <c r="F718" s="25"/>
      <c r="G718" s="14"/>
      <c r="H718" s="14"/>
      <c r="I718" s="14"/>
      <c r="J718" s="14"/>
      <c r="K718" s="14"/>
      <c r="L718" s="7"/>
      <c r="M718" s="14"/>
      <c r="N718" s="14"/>
      <c r="O718" s="7"/>
      <c r="P718" s="21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 x14ac:dyDescent="0.25">
      <c r="A719" s="14"/>
      <c r="B719" s="14"/>
      <c r="C719" s="14"/>
      <c r="D719" s="14"/>
      <c r="E719" s="25"/>
      <c r="F719" s="25"/>
      <c r="G719" s="14"/>
      <c r="H719" s="14"/>
      <c r="I719" s="14"/>
      <c r="J719" s="14"/>
      <c r="K719" s="14"/>
      <c r="L719" s="7"/>
      <c r="M719" s="14"/>
      <c r="N719" s="14"/>
      <c r="O719" s="7"/>
      <c r="P719" s="21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 x14ac:dyDescent="0.25">
      <c r="A720" s="14"/>
      <c r="B720" s="14"/>
      <c r="C720" s="14"/>
      <c r="D720" s="14"/>
      <c r="E720" s="25"/>
      <c r="F720" s="25"/>
      <c r="G720" s="14"/>
      <c r="H720" s="14"/>
      <c r="I720" s="14"/>
      <c r="J720" s="14"/>
      <c r="K720" s="14"/>
      <c r="L720" s="7"/>
      <c r="M720" s="14"/>
      <c r="N720" s="14"/>
      <c r="O720" s="7"/>
      <c r="P720" s="21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 x14ac:dyDescent="0.25">
      <c r="A721" s="14"/>
      <c r="B721" s="14"/>
      <c r="C721" s="14"/>
      <c r="D721" s="14"/>
      <c r="E721" s="25"/>
      <c r="F721" s="25"/>
      <c r="G721" s="14"/>
      <c r="H721" s="14"/>
      <c r="I721" s="14"/>
      <c r="J721" s="14"/>
      <c r="K721" s="14"/>
      <c r="L721" s="7"/>
      <c r="M721" s="14"/>
      <c r="N721" s="14"/>
      <c r="O721" s="7"/>
      <c r="P721" s="21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 x14ac:dyDescent="0.25">
      <c r="A722" s="14"/>
      <c r="B722" s="14"/>
      <c r="C722" s="14"/>
      <c r="D722" s="14"/>
      <c r="E722" s="25"/>
      <c r="F722" s="25"/>
      <c r="G722" s="14"/>
      <c r="H722" s="14"/>
      <c r="I722" s="14"/>
      <c r="J722" s="14"/>
      <c r="K722" s="14"/>
      <c r="L722" s="7"/>
      <c r="M722" s="14"/>
      <c r="N722" s="14"/>
      <c r="O722" s="7"/>
      <c r="P722" s="21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 x14ac:dyDescent="0.25">
      <c r="A723" s="14"/>
      <c r="B723" s="14"/>
      <c r="C723" s="14"/>
      <c r="D723" s="14"/>
      <c r="E723" s="25"/>
      <c r="F723" s="25"/>
      <c r="G723" s="14"/>
      <c r="H723" s="14"/>
      <c r="I723" s="14"/>
      <c r="J723" s="14"/>
      <c r="K723" s="14"/>
      <c r="L723" s="7"/>
      <c r="M723" s="14"/>
      <c r="N723" s="14"/>
      <c r="O723" s="7"/>
      <c r="P723" s="21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 x14ac:dyDescent="0.25">
      <c r="A724" s="14"/>
      <c r="B724" s="14"/>
      <c r="C724" s="14"/>
      <c r="D724" s="14"/>
      <c r="E724" s="25"/>
      <c r="F724" s="25"/>
      <c r="G724" s="14"/>
      <c r="H724" s="14"/>
      <c r="I724" s="14"/>
      <c r="J724" s="14"/>
      <c r="K724" s="14"/>
      <c r="L724" s="7"/>
      <c r="M724" s="14"/>
      <c r="N724" s="14"/>
      <c r="O724" s="7"/>
      <c r="P724" s="21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 x14ac:dyDescent="0.25">
      <c r="A725" s="14"/>
      <c r="B725" s="14"/>
      <c r="C725" s="14"/>
      <c r="D725" s="14"/>
      <c r="E725" s="25"/>
      <c r="F725" s="25"/>
      <c r="G725" s="14"/>
      <c r="H725" s="14"/>
      <c r="I725" s="14"/>
      <c r="J725" s="14"/>
      <c r="K725" s="14"/>
      <c r="L725" s="7"/>
      <c r="M725" s="14"/>
      <c r="N725" s="14"/>
      <c r="O725" s="7"/>
      <c r="P725" s="21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 x14ac:dyDescent="0.25">
      <c r="A726" s="14"/>
      <c r="B726" s="14"/>
      <c r="C726" s="14"/>
      <c r="D726" s="14"/>
      <c r="E726" s="25"/>
      <c r="F726" s="25"/>
      <c r="G726" s="14"/>
      <c r="H726" s="14"/>
      <c r="I726" s="14"/>
      <c r="J726" s="14"/>
      <c r="K726" s="14"/>
      <c r="L726" s="7"/>
      <c r="M726" s="14"/>
      <c r="N726" s="14"/>
      <c r="O726" s="7"/>
      <c r="P726" s="21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 x14ac:dyDescent="0.25">
      <c r="A727" s="14"/>
      <c r="B727" s="14"/>
      <c r="C727" s="14"/>
      <c r="D727" s="14"/>
      <c r="E727" s="25"/>
      <c r="F727" s="25"/>
      <c r="G727" s="14"/>
      <c r="H727" s="14"/>
      <c r="I727" s="14"/>
      <c r="J727" s="14"/>
      <c r="K727" s="14"/>
      <c r="L727" s="7"/>
      <c r="M727" s="14"/>
      <c r="N727" s="14"/>
      <c r="O727" s="7"/>
      <c r="P727" s="21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 x14ac:dyDescent="0.25">
      <c r="A728" s="14"/>
      <c r="B728" s="14"/>
      <c r="C728" s="14"/>
      <c r="D728" s="14"/>
      <c r="E728" s="25"/>
      <c r="F728" s="25"/>
      <c r="G728" s="14"/>
      <c r="H728" s="14"/>
      <c r="I728" s="14"/>
      <c r="J728" s="14"/>
      <c r="K728" s="14"/>
      <c r="L728" s="7"/>
      <c r="M728" s="14"/>
      <c r="N728" s="14"/>
      <c r="O728" s="7"/>
      <c r="P728" s="21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 x14ac:dyDescent="0.25">
      <c r="A729" s="14"/>
      <c r="B729" s="14"/>
      <c r="C729" s="14"/>
      <c r="D729" s="14"/>
      <c r="E729" s="25"/>
      <c r="F729" s="25"/>
      <c r="G729" s="14"/>
      <c r="H729" s="14"/>
      <c r="I729" s="14"/>
      <c r="J729" s="14"/>
      <c r="K729" s="14"/>
      <c r="L729" s="7"/>
      <c r="M729" s="14"/>
      <c r="N729" s="14"/>
      <c r="O729" s="7"/>
      <c r="P729" s="21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 x14ac:dyDescent="0.25">
      <c r="A730" s="14"/>
      <c r="B730" s="14"/>
      <c r="C730" s="14"/>
      <c r="D730" s="14"/>
      <c r="E730" s="25"/>
      <c r="F730" s="25"/>
      <c r="G730" s="14"/>
      <c r="H730" s="14"/>
      <c r="I730" s="14"/>
      <c r="J730" s="14"/>
      <c r="K730" s="14"/>
      <c r="L730" s="7"/>
      <c r="M730" s="14"/>
      <c r="N730" s="14"/>
      <c r="O730" s="7"/>
      <c r="P730" s="21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 x14ac:dyDescent="0.25">
      <c r="A731" s="14"/>
      <c r="B731" s="14"/>
      <c r="C731" s="14"/>
      <c r="D731" s="14"/>
      <c r="E731" s="25"/>
      <c r="F731" s="25"/>
      <c r="G731" s="14"/>
      <c r="H731" s="14"/>
      <c r="I731" s="14"/>
      <c r="J731" s="14"/>
      <c r="K731" s="14"/>
      <c r="L731" s="7"/>
      <c r="M731" s="14"/>
      <c r="N731" s="14"/>
      <c r="O731" s="7"/>
      <c r="P731" s="21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 x14ac:dyDescent="0.25">
      <c r="A732" s="14"/>
      <c r="B732" s="14"/>
      <c r="C732" s="14"/>
      <c r="D732" s="14"/>
      <c r="E732" s="25"/>
      <c r="F732" s="25"/>
      <c r="G732" s="14"/>
      <c r="H732" s="14"/>
      <c r="I732" s="14"/>
      <c r="J732" s="14"/>
      <c r="K732" s="14"/>
      <c r="L732" s="7"/>
      <c r="M732" s="14"/>
      <c r="N732" s="14"/>
      <c r="O732" s="7"/>
      <c r="P732" s="21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 x14ac:dyDescent="0.25">
      <c r="A733" s="14"/>
      <c r="B733" s="14"/>
      <c r="C733" s="14"/>
      <c r="D733" s="14"/>
      <c r="E733" s="25"/>
      <c r="F733" s="25"/>
      <c r="G733" s="14"/>
      <c r="H733" s="14"/>
      <c r="I733" s="14"/>
      <c r="J733" s="14"/>
      <c r="K733" s="14"/>
      <c r="L733" s="7"/>
      <c r="M733" s="14"/>
      <c r="N733" s="14"/>
      <c r="O733" s="7"/>
      <c r="P733" s="21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 x14ac:dyDescent="0.25">
      <c r="A734" s="14"/>
      <c r="B734" s="14"/>
      <c r="C734" s="14"/>
      <c r="D734" s="14"/>
      <c r="E734" s="25"/>
      <c r="F734" s="25"/>
      <c r="G734" s="14"/>
      <c r="H734" s="14"/>
      <c r="I734" s="14"/>
      <c r="J734" s="14"/>
      <c r="K734" s="14"/>
      <c r="L734" s="7"/>
      <c r="M734" s="14"/>
      <c r="N734" s="14"/>
      <c r="O734" s="7"/>
      <c r="P734" s="21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 x14ac:dyDescent="0.25">
      <c r="A735" s="14"/>
      <c r="B735" s="14"/>
      <c r="C735" s="14"/>
      <c r="D735" s="14"/>
      <c r="E735" s="25"/>
      <c r="F735" s="25"/>
      <c r="G735" s="14"/>
      <c r="H735" s="14"/>
      <c r="I735" s="14"/>
      <c r="J735" s="14"/>
      <c r="K735" s="14"/>
      <c r="L735" s="7"/>
      <c r="M735" s="14"/>
      <c r="N735" s="14"/>
      <c r="O735" s="7"/>
      <c r="P735" s="21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 x14ac:dyDescent="0.25">
      <c r="A736" s="14"/>
      <c r="B736" s="14"/>
      <c r="C736" s="14"/>
      <c r="D736" s="14"/>
      <c r="E736" s="25"/>
      <c r="F736" s="25"/>
      <c r="G736" s="14"/>
      <c r="H736" s="14"/>
      <c r="I736" s="14"/>
      <c r="J736" s="14"/>
      <c r="K736" s="14"/>
      <c r="L736" s="7"/>
      <c r="M736" s="14"/>
      <c r="N736" s="14"/>
      <c r="O736" s="7"/>
      <c r="P736" s="21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 x14ac:dyDescent="0.25">
      <c r="A737" s="14"/>
      <c r="B737" s="14"/>
      <c r="C737" s="14"/>
      <c r="D737" s="14"/>
      <c r="E737" s="25"/>
      <c r="F737" s="25"/>
      <c r="G737" s="14"/>
      <c r="H737" s="14"/>
      <c r="I737" s="14"/>
      <c r="J737" s="14"/>
      <c r="K737" s="14"/>
      <c r="L737" s="7"/>
      <c r="M737" s="14"/>
      <c r="N737" s="14"/>
      <c r="O737" s="7"/>
      <c r="P737" s="21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 x14ac:dyDescent="0.25">
      <c r="A738" s="14"/>
      <c r="B738" s="14"/>
      <c r="C738" s="14"/>
      <c r="D738" s="14"/>
      <c r="E738" s="25"/>
      <c r="F738" s="25"/>
      <c r="G738" s="14"/>
      <c r="H738" s="14"/>
      <c r="I738" s="14"/>
      <c r="J738" s="14"/>
      <c r="K738" s="14"/>
      <c r="L738" s="7"/>
      <c r="M738" s="14"/>
      <c r="N738" s="14"/>
      <c r="O738" s="7"/>
      <c r="P738" s="21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 x14ac:dyDescent="0.25">
      <c r="A739" s="14"/>
      <c r="B739" s="14"/>
      <c r="C739" s="14"/>
      <c r="D739" s="14"/>
      <c r="E739" s="25"/>
      <c r="F739" s="25"/>
      <c r="G739" s="14"/>
      <c r="H739" s="14"/>
      <c r="I739" s="14"/>
      <c r="J739" s="14"/>
      <c r="K739" s="14"/>
      <c r="L739" s="7"/>
      <c r="M739" s="14"/>
      <c r="N739" s="14"/>
      <c r="O739" s="7"/>
      <c r="P739" s="21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 x14ac:dyDescent="0.25">
      <c r="A740" s="14"/>
      <c r="B740" s="14"/>
      <c r="C740" s="14"/>
      <c r="D740" s="14"/>
      <c r="E740" s="25"/>
      <c r="F740" s="25"/>
      <c r="G740" s="14"/>
      <c r="H740" s="14"/>
      <c r="I740" s="14"/>
      <c r="J740" s="14"/>
      <c r="K740" s="14"/>
      <c r="L740" s="7"/>
      <c r="M740" s="14"/>
      <c r="N740" s="14"/>
      <c r="O740" s="7"/>
      <c r="P740" s="21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 x14ac:dyDescent="0.25">
      <c r="A741" s="14"/>
      <c r="B741" s="14"/>
      <c r="C741" s="14"/>
      <c r="D741" s="14"/>
      <c r="E741" s="25"/>
      <c r="F741" s="25"/>
      <c r="G741" s="14"/>
      <c r="H741" s="14"/>
      <c r="I741" s="14"/>
      <c r="J741" s="14"/>
      <c r="K741" s="14"/>
      <c r="L741" s="7"/>
      <c r="M741" s="14"/>
      <c r="N741" s="14"/>
      <c r="O741" s="7"/>
      <c r="P741" s="21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 x14ac:dyDescent="0.25">
      <c r="A742" s="14"/>
      <c r="B742" s="14"/>
      <c r="C742" s="14"/>
      <c r="D742" s="14"/>
      <c r="E742" s="25"/>
      <c r="F742" s="25"/>
      <c r="G742" s="14"/>
      <c r="H742" s="14"/>
      <c r="I742" s="14"/>
      <c r="J742" s="14"/>
      <c r="K742" s="14"/>
      <c r="L742" s="7"/>
      <c r="M742" s="14"/>
      <c r="N742" s="14"/>
      <c r="O742" s="7"/>
      <c r="P742" s="21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 x14ac:dyDescent="0.25">
      <c r="A743" s="14"/>
      <c r="B743" s="14"/>
      <c r="C743" s="14"/>
      <c r="D743" s="14"/>
      <c r="E743" s="25"/>
      <c r="F743" s="25"/>
      <c r="G743" s="14"/>
      <c r="H743" s="14"/>
      <c r="I743" s="14"/>
      <c r="J743" s="14"/>
      <c r="K743" s="14"/>
      <c r="L743" s="7"/>
      <c r="M743" s="14"/>
      <c r="N743" s="14"/>
      <c r="O743" s="7"/>
      <c r="P743" s="21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 x14ac:dyDescent="0.25">
      <c r="A744" s="14"/>
      <c r="B744" s="14"/>
      <c r="C744" s="14"/>
      <c r="D744" s="14"/>
      <c r="E744" s="25"/>
      <c r="F744" s="25"/>
      <c r="G744" s="14"/>
      <c r="H744" s="14"/>
      <c r="I744" s="14"/>
      <c r="J744" s="14"/>
      <c r="K744" s="14"/>
      <c r="L744" s="7"/>
      <c r="M744" s="14"/>
      <c r="N744" s="14"/>
      <c r="O744" s="7"/>
      <c r="P744" s="21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 x14ac:dyDescent="0.25">
      <c r="A745" s="14"/>
      <c r="B745" s="14"/>
      <c r="C745" s="14"/>
      <c r="D745" s="14"/>
      <c r="E745" s="25"/>
      <c r="F745" s="25"/>
      <c r="G745" s="14"/>
      <c r="H745" s="14"/>
      <c r="I745" s="14"/>
      <c r="J745" s="14"/>
      <c r="K745" s="14"/>
      <c r="L745" s="7"/>
      <c r="M745" s="14"/>
      <c r="N745" s="14"/>
      <c r="O745" s="7"/>
      <c r="P745" s="21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 x14ac:dyDescent="0.25">
      <c r="A746" s="14"/>
      <c r="B746" s="14"/>
      <c r="C746" s="14"/>
      <c r="D746" s="14"/>
      <c r="E746" s="25"/>
      <c r="F746" s="25"/>
      <c r="G746" s="14"/>
      <c r="H746" s="14"/>
      <c r="I746" s="14"/>
      <c r="J746" s="14"/>
      <c r="K746" s="14"/>
      <c r="L746" s="7"/>
      <c r="M746" s="14"/>
      <c r="N746" s="14"/>
      <c r="O746" s="7"/>
      <c r="P746" s="21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 x14ac:dyDescent="0.25">
      <c r="A747" s="14"/>
      <c r="B747" s="14"/>
      <c r="C747" s="14"/>
      <c r="D747" s="14"/>
      <c r="E747" s="25"/>
      <c r="F747" s="25"/>
      <c r="G747" s="14"/>
      <c r="H747" s="14"/>
      <c r="I747" s="14"/>
      <c r="J747" s="14"/>
      <c r="K747" s="14"/>
      <c r="L747" s="7"/>
      <c r="M747" s="14"/>
      <c r="N747" s="14"/>
      <c r="O747" s="7"/>
      <c r="P747" s="21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 x14ac:dyDescent="0.25">
      <c r="A748" s="14"/>
      <c r="B748" s="14"/>
      <c r="C748" s="14"/>
      <c r="D748" s="14"/>
      <c r="E748" s="25"/>
      <c r="F748" s="25"/>
      <c r="G748" s="14"/>
      <c r="H748" s="14"/>
      <c r="I748" s="14"/>
      <c r="J748" s="14"/>
      <c r="K748" s="14"/>
      <c r="L748" s="7"/>
      <c r="M748" s="14"/>
      <c r="N748" s="14"/>
      <c r="O748" s="7"/>
      <c r="P748" s="21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 x14ac:dyDescent="0.25">
      <c r="A749" s="14"/>
      <c r="B749" s="14"/>
      <c r="C749" s="14"/>
      <c r="D749" s="14"/>
      <c r="E749" s="25"/>
      <c r="F749" s="25"/>
      <c r="G749" s="14"/>
      <c r="H749" s="14"/>
      <c r="I749" s="14"/>
      <c r="J749" s="14"/>
      <c r="K749" s="14"/>
      <c r="L749" s="7"/>
      <c r="M749" s="14"/>
      <c r="N749" s="14"/>
      <c r="O749" s="7"/>
      <c r="P749" s="21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 x14ac:dyDescent="0.25">
      <c r="A750" s="14"/>
      <c r="B750" s="14"/>
      <c r="C750" s="14"/>
      <c r="D750" s="14"/>
      <c r="E750" s="25"/>
      <c r="F750" s="25"/>
      <c r="G750" s="14"/>
      <c r="H750" s="14"/>
      <c r="I750" s="14"/>
      <c r="J750" s="14"/>
      <c r="K750" s="14"/>
      <c r="L750" s="7"/>
      <c r="M750" s="14"/>
      <c r="N750" s="14"/>
      <c r="O750" s="7"/>
      <c r="P750" s="21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 x14ac:dyDescent="0.25">
      <c r="A751" s="14"/>
      <c r="B751" s="14"/>
      <c r="C751" s="14"/>
      <c r="D751" s="14"/>
      <c r="E751" s="25"/>
      <c r="F751" s="25"/>
      <c r="G751" s="14"/>
      <c r="H751" s="14"/>
      <c r="I751" s="14"/>
      <c r="J751" s="14"/>
      <c r="K751" s="14"/>
      <c r="L751" s="7"/>
      <c r="M751" s="14"/>
      <c r="N751" s="14"/>
      <c r="O751" s="7"/>
      <c r="P751" s="21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 x14ac:dyDescent="0.25">
      <c r="A752" s="14"/>
      <c r="B752" s="14"/>
      <c r="C752" s="14"/>
      <c r="D752" s="14"/>
      <c r="E752" s="25"/>
      <c r="F752" s="25"/>
      <c r="G752" s="14"/>
      <c r="H752" s="14"/>
      <c r="I752" s="14"/>
      <c r="J752" s="14"/>
      <c r="K752" s="14"/>
      <c r="L752" s="7"/>
      <c r="M752" s="14"/>
      <c r="N752" s="14"/>
      <c r="O752" s="7"/>
      <c r="P752" s="21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 x14ac:dyDescent="0.25">
      <c r="A753" s="14"/>
      <c r="B753" s="14"/>
      <c r="C753" s="14"/>
      <c r="D753" s="14"/>
      <c r="E753" s="25"/>
      <c r="F753" s="25"/>
      <c r="G753" s="14"/>
      <c r="H753" s="14"/>
      <c r="I753" s="14"/>
      <c r="J753" s="14"/>
      <c r="K753" s="14"/>
      <c r="L753" s="7"/>
      <c r="M753" s="14"/>
      <c r="N753" s="14"/>
      <c r="O753" s="7"/>
      <c r="P753" s="21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 x14ac:dyDescent="0.25">
      <c r="A754" s="14"/>
      <c r="B754" s="14"/>
      <c r="C754" s="14"/>
      <c r="D754" s="14"/>
      <c r="E754" s="25"/>
      <c r="F754" s="25"/>
      <c r="G754" s="14"/>
      <c r="H754" s="14"/>
      <c r="I754" s="14"/>
      <c r="J754" s="14"/>
      <c r="K754" s="14"/>
      <c r="L754" s="7"/>
      <c r="M754" s="14"/>
      <c r="N754" s="14"/>
      <c r="O754" s="7"/>
      <c r="P754" s="21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 x14ac:dyDescent="0.25">
      <c r="A755" s="14"/>
      <c r="B755" s="14"/>
      <c r="C755" s="14"/>
      <c r="D755" s="14"/>
      <c r="E755" s="25"/>
      <c r="F755" s="25"/>
      <c r="G755" s="14"/>
      <c r="H755" s="14"/>
      <c r="I755" s="14"/>
      <c r="J755" s="14"/>
      <c r="K755" s="14"/>
      <c r="L755" s="7"/>
      <c r="M755" s="14"/>
      <c r="N755" s="14"/>
      <c r="O755" s="7"/>
      <c r="P755" s="21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 x14ac:dyDescent="0.25">
      <c r="A756" s="14"/>
      <c r="B756" s="14"/>
      <c r="C756" s="14"/>
      <c r="D756" s="14"/>
      <c r="E756" s="25"/>
      <c r="F756" s="25"/>
      <c r="G756" s="14"/>
      <c r="H756" s="14"/>
      <c r="I756" s="14"/>
      <c r="J756" s="14"/>
      <c r="K756" s="14"/>
      <c r="L756" s="7"/>
      <c r="M756" s="14"/>
      <c r="N756" s="14"/>
      <c r="O756" s="7"/>
      <c r="P756" s="21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 x14ac:dyDescent="0.25">
      <c r="A757" s="14"/>
      <c r="B757" s="14"/>
      <c r="C757" s="14"/>
      <c r="D757" s="14"/>
      <c r="E757" s="25"/>
      <c r="F757" s="25"/>
      <c r="G757" s="14"/>
      <c r="H757" s="14"/>
      <c r="I757" s="14"/>
      <c r="J757" s="14"/>
      <c r="K757" s="14"/>
      <c r="L757" s="7"/>
      <c r="M757" s="14"/>
      <c r="N757" s="14"/>
      <c r="O757" s="7"/>
      <c r="P757" s="21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 x14ac:dyDescent="0.25">
      <c r="A758" s="14"/>
      <c r="B758" s="14"/>
      <c r="C758" s="14"/>
      <c r="D758" s="14"/>
      <c r="E758" s="25"/>
      <c r="F758" s="25"/>
      <c r="G758" s="14"/>
      <c r="H758" s="14"/>
      <c r="I758" s="14"/>
      <c r="J758" s="14"/>
      <c r="K758" s="14"/>
      <c r="L758" s="7"/>
      <c r="M758" s="14"/>
      <c r="N758" s="14"/>
      <c r="O758" s="7"/>
      <c r="P758" s="21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 x14ac:dyDescent="0.25">
      <c r="A759" s="14"/>
      <c r="B759" s="14"/>
      <c r="C759" s="14"/>
      <c r="D759" s="14"/>
      <c r="E759" s="25"/>
      <c r="F759" s="25"/>
      <c r="G759" s="14"/>
      <c r="H759" s="14"/>
      <c r="I759" s="14"/>
      <c r="J759" s="14"/>
      <c r="K759" s="14"/>
      <c r="L759" s="7"/>
      <c r="M759" s="14"/>
      <c r="N759" s="14"/>
      <c r="O759" s="7"/>
      <c r="P759" s="21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 x14ac:dyDescent="0.25">
      <c r="A760" s="14"/>
      <c r="B760" s="14"/>
      <c r="C760" s="14"/>
      <c r="D760" s="14"/>
      <c r="E760" s="25"/>
      <c r="F760" s="25"/>
      <c r="G760" s="14"/>
      <c r="H760" s="14"/>
      <c r="I760" s="14"/>
      <c r="J760" s="14"/>
      <c r="K760" s="14"/>
      <c r="L760" s="7"/>
      <c r="M760" s="14"/>
      <c r="N760" s="14"/>
      <c r="O760" s="7"/>
      <c r="P760" s="21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 x14ac:dyDescent="0.25">
      <c r="A761" s="14"/>
      <c r="B761" s="14"/>
      <c r="C761" s="14"/>
      <c r="D761" s="14"/>
      <c r="E761" s="25"/>
      <c r="F761" s="25"/>
      <c r="G761" s="14"/>
      <c r="H761" s="14"/>
      <c r="I761" s="14"/>
      <c r="J761" s="14"/>
      <c r="K761" s="14"/>
      <c r="L761" s="7"/>
      <c r="M761" s="14"/>
      <c r="N761" s="14"/>
      <c r="O761" s="7"/>
      <c r="P761" s="21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 x14ac:dyDescent="0.25">
      <c r="A762" s="14"/>
      <c r="B762" s="14"/>
      <c r="C762" s="14"/>
      <c r="D762" s="14"/>
      <c r="E762" s="25"/>
      <c r="F762" s="25"/>
      <c r="G762" s="14"/>
      <c r="H762" s="14"/>
      <c r="I762" s="14"/>
      <c r="J762" s="14"/>
      <c r="K762" s="14"/>
      <c r="L762" s="7"/>
      <c r="M762" s="14"/>
      <c r="N762" s="14"/>
      <c r="O762" s="7"/>
      <c r="P762" s="21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 x14ac:dyDescent="0.25">
      <c r="A763" s="14"/>
      <c r="B763" s="14"/>
      <c r="C763" s="14"/>
      <c r="D763" s="14"/>
      <c r="E763" s="25"/>
      <c r="F763" s="25"/>
      <c r="G763" s="14"/>
      <c r="H763" s="14"/>
      <c r="I763" s="14"/>
      <c r="J763" s="14"/>
      <c r="K763" s="14"/>
      <c r="L763" s="7"/>
      <c r="M763" s="14"/>
      <c r="N763" s="14"/>
      <c r="O763" s="7"/>
      <c r="P763" s="21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 x14ac:dyDescent="0.25">
      <c r="A764" s="14"/>
      <c r="B764" s="14"/>
      <c r="C764" s="14"/>
      <c r="D764" s="14"/>
      <c r="E764" s="25"/>
      <c r="F764" s="25"/>
      <c r="G764" s="14"/>
      <c r="H764" s="14"/>
      <c r="I764" s="14"/>
      <c r="J764" s="14"/>
      <c r="K764" s="14"/>
      <c r="L764" s="7"/>
      <c r="M764" s="14"/>
      <c r="N764" s="14"/>
      <c r="O764" s="7"/>
      <c r="P764" s="21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 x14ac:dyDescent="0.25">
      <c r="A765" s="14"/>
      <c r="B765" s="14"/>
      <c r="C765" s="14"/>
      <c r="D765" s="14"/>
      <c r="E765" s="25"/>
      <c r="F765" s="25"/>
      <c r="G765" s="14"/>
      <c r="H765" s="14"/>
      <c r="I765" s="14"/>
      <c r="J765" s="14"/>
      <c r="K765" s="14"/>
      <c r="L765" s="7"/>
      <c r="M765" s="14"/>
      <c r="N765" s="14"/>
      <c r="O765" s="7"/>
      <c r="P765" s="21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 x14ac:dyDescent="0.25">
      <c r="A766" s="14"/>
      <c r="B766" s="14"/>
      <c r="C766" s="14"/>
      <c r="D766" s="14"/>
      <c r="E766" s="25"/>
      <c r="F766" s="25"/>
      <c r="G766" s="14"/>
      <c r="H766" s="14"/>
      <c r="I766" s="14"/>
      <c r="J766" s="14"/>
      <c r="K766" s="14"/>
      <c r="L766" s="7"/>
      <c r="M766" s="14"/>
      <c r="N766" s="14"/>
      <c r="O766" s="7"/>
      <c r="P766" s="21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 x14ac:dyDescent="0.25">
      <c r="A767" s="14"/>
      <c r="B767" s="14"/>
      <c r="C767" s="14"/>
      <c r="D767" s="14"/>
      <c r="E767" s="25"/>
      <c r="F767" s="25"/>
      <c r="G767" s="14"/>
      <c r="H767" s="14"/>
      <c r="I767" s="14"/>
      <c r="J767" s="14"/>
      <c r="K767" s="14"/>
      <c r="L767" s="7"/>
      <c r="M767" s="14"/>
      <c r="N767" s="14"/>
      <c r="O767" s="7"/>
      <c r="P767" s="21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 x14ac:dyDescent="0.25">
      <c r="A768" s="14"/>
      <c r="B768" s="14"/>
      <c r="C768" s="14"/>
      <c r="D768" s="14"/>
      <c r="E768" s="25"/>
      <c r="F768" s="25"/>
      <c r="G768" s="14"/>
      <c r="H768" s="14"/>
      <c r="I768" s="14"/>
      <c r="J768" s="14"/>
      <c r="K768" s="14"/>
      <c r="L768" s="7"/>
      <c r="M768" s="14"/>
      <c r="N768" s="14"/>
      <c r="O768" s="7"/>
      <c r="P768" s="21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 x14ac:dyDescent="0.25">
      <c r="A769" s="14"/>
      <c r="B769" s="14"/>
      <c r="C769" s="14"/>
      <c r="D769" s="14"/>
      <c r="E769" s="25"/>
      <c r="F769" s="25"/>
      <c r="G769" s="14"/>
      <c r="H769" s="14"/>
      <c r="I769" s="14"/>
      <c r="J769" s="14"/>
      <c r="K769" s="14"/>
      <c r="L769" s="7"/>
      <c r="M769" s="14"/>
      <c r="N769" s="14"/>
      <c r="O769" s="7"/>
      <c r="P769" s="21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 x14ac:dyDescent="0.25">
      <c r="A770" s="14"/>
      <c r="B770" s="14"/>
      <c r="C770" s="14"/>
      <c r="D770" s="14"/>
      <c r="E770" s="25"/>
      <c r="F770" s="25"/>
      <c r="G770" s="14"/>
      <c r="H770" s="14"/>
      <c r="I770" s="14"/>
      <c r="J770" s="14"/>
      <c r="K770" s="14"/>
      <c r="L770" s="7"/>
      <c r="M770" s="14"/>
      <c r="N770" s="14"/>
      <c r="O770" s="7"/>
      <c r="P770" s="21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 x14ac:dyDescent="0.25">
      <c r="A771" s="14"/>
      <c r="B771" s="14"/>
      <c r="C771" s="14"/>
      <c r="D771" s="14"/>
      <c r="E771" s="25"/>
      <c r="F771" s="25"/>
      <c r="G771" s="14"/>
      <c r="H771" s="14"/>
      <c r="I771" s="14"/>
      <c r="J771" s="14"/>
      <c r="K771" s="14"/>
      <c r="L771" s="7"/>
      <c r="M771" s="14"/>
      <c r="N771" s="14"/>
      <c r="O771" s="7"/>
      <c r="P771" s="21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 x14ac:dyDescent="0.25">
      <c r="A772" s="14"/>
      <c r="B772" s="14"/>
      <c r="C772" s="14"/>
      <c r="D772" s="14"/>
      <c r="E772" s="25"/>
      <c r="F772" s="25"/>
      <c r="G772" s="14"/>
      <c r="H772" s="14"/>
      <c r="I772" s="14"/>
      <c r="J772" s="14"/>
      <c r="K772" s="14"/>
      <c r="L772" s="7"/>
      <c r="M772" s="14"/>
      <c r="N772" s="14"/>
      <c r="O772" s="7"/>
      <c r="P772" s="21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 x14ac:dyDescent="0.25">
      <c r="A773" s="14"/>
      <c r="B773" s="14"/>
      <c r="C773" s="14"/>
      <c r="D773" s="14"/>
      <c r="E773" s="25"/>
      <c r="F773" s="25"/>
      <c r="G773" s="14"/>
      <c r="H773" s="14"/>
      <c r="I773" s="14"/>
      <c r="J773" s="14"/>
      <c r="K773" s="14"/>
      <c r="L773" s="7"/>
      <c r="M773" s="14"/>
      <c r="N773" s="14"/>
      <c r="O773" s="7"/>
      <c r="P773" s="21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 x14ac:dyDescent="0.25">
      <c r="A774" s="14"/>
      <c r="B774" s="14"/>
      <c r="C774" s="14"/>
      <c r="D774" s="14"/>
      <c r="E774" s="25"/>
      <c r="F774" s="25"/>
      <c r="G774" s="14"/>
      <c r="H774" s="14"/>
      <c r="I774" s="14"/>
      <c r="J774" s="14"/>
      <c r="K774" s="14"/>
      <c r="L774" s="7"/>
      <c r="M774" s="14"/>
      <c r="N774" s="14"/>
      <c r="O774" s="7"/>
      <c r="P774" s="21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 x14ac:dyDescent="0.25">
      <c r="A775" s="14"/>
      <c r="B775" s="14"/>
      <c r="C775" s="14"/>
      <c r="D775" s="14"/>
      <c r="E775" s="25"/>
      <c r="F775" s="25"/>
      <c r="G775" s="14"/>
      <c r="H775" s="14"/>
      <c r="I775" s="14"/>
      <c r="J775" s="14"/>
      <c r="K775" s="14"/>
      <c r="L775" s="7"/>
      <c r="M775" s="14"/>
      <c r="N775" s="14"/>
      <c r="O775" s="7"/>
      <c r="P775" s="21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 x14ac:dyDescent="0.25">
      <c r="A776" s="14"/>
      <c r="B776" s="14"/>
      <c r="C776" s="14"/>
      <c r="D776" s="14"/>
      <c r="E776" s="25"/>
      <c r="F776" s="25"/>
      <c r="G776" s="14"/>
      <c r="H776" s="14"/>
      <c r="I776" s="14"/>
      <c r="J776" s="14"/>
      <c r="K776" s="14"/>
      <c r="L776" s="7"/>
      <c r="M776" s="14"/>
      <c r="N776" s="14"/>
      <c r="O776" s="7"/>
      <c r="P776" s="21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 x14ac:dyDescent="0.25">
      <c r="A777" s="14"/>
      <c r="B777" s="14"/>
      <c r="C777" s="14"/>
      <c r="D777" s="14"/>
      <c r="E777" s="25"/>
      <c r="F777" s="25"/>
      <c r="G777" s="14"/>
      <c r="H777" s="14"/>
      <c r="I777" s="14"/>
      <c r="J777" s="14"/>
      <c r="K777" s="14"/>
      <c r="L777" s="7"/>
      <c r="M777" s="14"/>
      <c r="N777" s="14"/>
      <c r="O777" s="7"/>
      <c r="P777" s="21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 x14ac:dyDescent="0.25">
      <c r="A778" s="14"/>
      <c r="B778" s="14"/>
      <c r="C778" s="14"/>
      <c r="D778" s="14"/>
      <c r="E778" s="25"/>
      <c r="F778" s="25"/>
      <c r="G778" s="14"/>
      <c r="H778" s="14"/>
      <c r="I778" s="14"/>
      <c r="J778" s="14"/>
      <c r="K778" s="14"/>
      <c r="L778" s="7"/>
      <c r="M778" s="14"/>
      <c r="N778" s="14"/>
      <c r="O778" s="7"/>
      <c r="P778" s="21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 x14ac:dyDescent="0.25">
      <c r="A779" s="14"/>
      <c r="B779" s="14"/>
      <c r="C779" s="14"/>
      <c r="D779" s="14"/>
      <c r="E779" s="25"/>
      <c r="F779" s="25"/>
      <c r="G779" s="14"/>
      <c r="H779" s="14"/>
      <c r="I779" s="14"/>
      <c r="J779" s="14"/>
      <c r="K779" s="14"/>
      <c r="L779" s="7"/>
      <c r="M779" s="14"/>
      <c r="N779" s="14"/>
      <c r="O779" s="7"/>
      <c r="P779" s="21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 x14ac:dyDescent="0.25">
      <c r="A780" s="14"/>
      <c r="B780" s="14"/>
      <c r="C780" s="14"/>
      <c r="D780" s="14"/>
      <c r="E780" s="25"/>
      <c r="F780" s="25"/>
      <c r="G780" s="14"/>
      <c r="H780" s="14"/>
      <c r="I780" s="14"/>
      <c r="J780" s="14"/>
      <c r="K780" s="14"/>
      <c r="L780" s="7"/>
      <c r="M780" s="14"/>
      <c r="N780" s="14"/>
      <c r="O780" s="7"/>
      <c r="P780" s="21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 x14ac:dyDescent="0.25">
      <c r="A781" s="14"/>
      <c r="B781" s="14"/>
      <c r="C781" s="14"/>
      <c r="D781" s="14"/>
      <c r="E781" s="25"/>
      <c r="F781" s="25"/>
      <c r="G781" s="14"/>
      <c r="H781" s="14"/>
      <c r="I781" s="14"/>
      <c r="J781" s="14"/>
      <c r="K781" s="14"/>
      <c r="L781" s="7"/>
      <c r="M781" s="14"/>
      <c r="N781" s="14"/>
      <c r="O781" s="7"/>
      <c r="P781" s="21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 x14ac:dyDescent="0.25">
      <c r="A782" s="14"/>
      <c r="B782" s="14"/>
      <c r="C782" s="14"/>
      <c r="D782" s="14"/>
      <c r="E782" s="25"/>
      <c r="F782" s="25"/>
      <c r="G782" s="14"/>
      <c r="H782" s="14"/>
      <c r="I782" s="14"/>
      <c r="J782" s="14"/>
      <c r="K782" s="14"/>
      <c r="L782" s="7"/>
      <c r="M782" s="14"/>
      <c r="N782" s="14"/>
      <c r="O782" s="7"/>
      <c r="P782" s="21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 x14ac:dyDescent="0.25">
      <c r="A783" s="14"/>
      <c r="B783" s="14"/>
      <c r="C783" s="14"/>
      <c r="D783" s="14"/>
      <c r="E783" s="25"/>
      <c r="F783" s="25"/>
      <c r="G783" s="14"/>
      <c r="H783" s="14"/>
      <c r="I783" s="14"/>
      <c r="J783" s="14"/>
      <c r="K783" s="14"/>
      <c r="L783" s="7"/>
      <c r="M783" s="14"/>
      <c r="N783" s="14"/>
      <c r="O783" s="7"/>
      <c r="P783" s="21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 x14ac:dyDescent="0.25">
      <c r="A784" s="14"/>
      <c r="B784" s="14"/>
      <c r="C784" s="14"/>
      <c r="D784" s="14"/>
      <c r="E784" s="25"/>
      <c r="F784" s="25"/>
      <c r="G784" s="14"/>
      <c r="H784" s="14"/>
      <c r="I784" s="14"/>
      <c r="J784" s="14"/>
      <c r="K784" s="14"/>
      <c r="L784" s="7"/>
      <c r="M784" s="14"/>
      <c r="N784" s="14"/>
      <c r="O784" s="7"/>
      <c r="P784" s="21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 x14ac:dyDescent="0.25">
      <c r="A785" s="14"/>
      <c r="B785" s="14"/>
      <c r="C785" s="14"/>
      <c r="D785" s="14"/>
      <c r="E785" s="25"/>
      <c r="F785" s="25"/>
      <c r="G785" s="14"/>
      <c r="H785" s="14"/>
      <c r="I785" s="14"/>
      <c r="J785" s="14"/>
      <c r="K785" s="14"/>
      <c r="L785" s="7"/>
      <c r="M785" s="14"/>
      <c r="N785" s="14"/>
      <c r="O785" s="7"/>
      <c r="P785" s="21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 x14ac:dyDescent="0.25">
      <c r="A786" s="14"/>
      <c r="B786" s="14"/>
      <c r="C786" s="14"/>
      <c r="D786" s="14"/>
      <c r="E786" s="25"/>
      <c r="F786" s="25"/>
      <c r="G786" s="14"/>
      <c r="H786" s="14"/>
      <c r="I786" s="14"/>
      <c r="J786" s="14"/>
      <c r="K786" s="14"/>
      <c r="L786" s="7"/>
      <c r="M786" s="14"/>
      <c r="N786" s="14"/>
      <c r="O786" s="7"/>
      <c r="P786" s="21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 x14ac:dyDescent="0.25">
      <c r="A787" s="14"/>
      <c r="B787" s="14"/>
      <c r="C787" s="14"/>
      <c r="D787" s="14"/>
      <c r="E787" s="25"/>
      <c r="F787" s="25"/>
      <c r="G787" s="14"/>
      <c r="H787" s="14"/>
      <c r="I787" s="14"/>
      <c r="J787" s="14"/>
      <c r="K787" s="14"/>
      <c r="L787" s="7"/>
      <c r="M787" s="14"/>
      <c r="N787" s="14"/>
      <c r="O787" s="7"/>
      <c r="P787" s="21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 x14ac:dyDescent="0.25">
      <c r="A788" s="14"/>
      <c r="B788" s="14"/>
      <c r="C788" s="14"/>
      <c r="D788" s="14"/>
      <c r="E788" s="25"/>
      <c r="F788" s="25"/>
      <c r="G788" s="14"/>
      <c r="H788" s="14"/>
      <c r="I788" s="14"/>
      <c r="J788" s="14"/>
      <c r="K788" s="14"/>
      <c r="L788" s="7"/>
      <c r="M788" s="14"/>
      <c r="N788" s="14"/>
      <c r="O788" s="7"/>
      <c r="P788" s="21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 x14ac:dyDescent="0.25">
      <c r="A789" s="14"/>
      <c r="B789" s="14"/>
      <c r="C789" s="14"/>
      <c r="D789" s="14"/>
      <c r="E789" s="25"/>
      <c r="F789" s="25"/>
      <c r="G789" s="14"/>
      <c r="H789" s="14"/>
      <c r="I789" s="14"/>
      <c r="J789" s="14"/>
      <c r="K789" s="14"/>
      <c r="L789" s="7"/>
      <c r="M789" s="14"/>
      <c r="N789" s="14"/>
      <c r="O789" s="7"/>
      <c r="P789" s="21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 x14ac:dyDescent="0.25">
      <c r="A790" s="14"/>
      <c r="B790" s="14"/>
      <c r="C790" s="14"/>
      <c r="D790" s="14"/>
      <c r="E790" s="25"/>
      <c r="F790" s="25"/>
      <c r="G790" s="14"/>
      <c r="H790" s="14"/>
      <c r="I790" s="14"/>
      <c r="J790" s="14"/>
      <c r="K790" s="14"/>
      <c r="L790" s="7"/>
      <c r="M790" s="14"/>
      <c r="N790" s="14"/>
      <c r="O790" s="7"/>
      <c r="P790" s="21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 x14ac:dyDescent="0.25">
      <c r="A791" s="14"/>
      <c r="B791" s="14"/>
      <c r="C791" s="14"/>
      <c r="D791" s="14"/>
      <c r="E791" s="25"/>
      <c r="F791" s="25"/>
      <c r="G791" s="14"/>
      <c r="H791" s="14"/>
      <c r="I791" s="14"/>
      <c r="J791" s="14"/>
      <c r="K791" s="14"/>
      <c r="L791" s="7"/>
      <c r="M791" s="14"/>
      <c r="N791" s="14"/>
      <c r="O791" s="7"/>
      <c r="P791" s="21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 x14ac:dyDescent="0.25">
      <c r="A792" s="14"/>
      <c r="B792" s="14"/>
      <c r="C792" s="14"/>
      <c r="D792" s="14"/>
      <c r="E792" s="25"/>
      <c r="F792" s="25"/>
      <c r="G792" s="14"/>
      <c r="H792" s="14"/>
      <c r="I792" s="14"/>
      <c r="J792" s="14"/>
      <c r="K792" s="14"/>
      <c r="L792" s="7"/>
      <c r="M792" s="14"/>
      <c r="N792" s="14"/>
      <c r="O792" s="7"/>
      <c r="P792" s="21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 x14ac:dyDescent="0.25">
      <c r="A793" s="14"/>
      <c r="B793" s="14"/>
      <c r="C793" s="14"/>
      <c r="D793" s="14"/>
      <c r="E793" s="25"/>
      <c r="F793" s="25"/>
      <c r="G793" s="14"/>
      <c r="H793" s="14"/>
      <c r="I793" s="14"/>
      <c r="J793" s="14"/>
      <c r="K793" s="14"/>
      <c r="L793" s="7"/>
      <c r="M793" s="14"/>
      <c r="N793" s="14"/>
      <c r="O793" s="7"/>
      <c r="P793" s="21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 x14ac:dyDescent="0.25">
      <c r="A794" s="14"/>
      <c r="B794" s="14"/>
      <c r="C794" s="14"/>
      <c r="D794" s="14"/>
      <c r="E794" s="25"/>
      <c r="F794" s="25"/>
      <c r="G794" s="14"/>
      <c r="H794" s="14"/>
      <c r="I794" s="14"/>
      <c r="J794" s="14"/>
      <c r="K794" s="14"/>
      <c r="L794" s="7"/>
      <c r="M794" s="14"/>
      <c r="N794" s="14"/>
      <c r="O794" s="7"/>
      <c r="P794" s="21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 x14ac:dyDescent="0.25">
      <c r="A795" s="14"/>
      <c r="B795" s="14"/>
      <c r="C795" s="14"/>
      <c r="D795" s="14"/>
      <c r="E795" s="25"/>
      <c r="F795" s="25"/>
      <c r="G795" s="14"/>
      <c r="H795" s="14"/>
      <c r="I795" s="14"/>
      <c r="J795" s="14"/>
      <c r="K795" s="14"/>
      <c r="L795" s="7"/>
      <c r="M795" s="14"/>
      <c r="N795" s="14"/>
      <c r="O795" s="7"/>
      <c r="P795" s="21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 x14ac:dyDescent="0.25">
      <c r="A796" s="14"/>
      <c r="B796" s="14"/>
      <c r="C796" s="14"/>
      <c r="D796" s="14"/>
      <c r="E796" s="25"/>
      <c r="F796" s="25"/>
      <c r="G796" s="14"/>
      <c r="H796" s="14"/>
      <c r="I796" s="14"/>
      <c r="J796" s="14"/>
      <c r="K796" s="14"/>
      <c r="L796" s="7"/>
      <c r="M796" s="14"/>
      <c r="N796" s="14"/>
      <c r="O796" s="7"/>
      <c r="P796" s="21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 x14ac:dyDescent="0.25">
      <c r="A797" s="14"/>
      <c r="B797" s="14"/>
      <c r="C797" s="14"/>
      <c r="D797" s="14"/>
      <c r="E797" s="25"/>
      <c r="F797" s="25"/>
      <c r="G797" s="14"/>
      <c r="H797" s="14"/>
      <c r="I797" s="14"/>
      <c r="J797" s="14"/>
      <c r="K797" s="14"/>
      <c r="L797" s="7"/>
      <c r="M797" s="14"/>
      <c r="N797" s="14"/>
      <c r="O797" s="7"/>
      <c r="P797" s="21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 x14ac:dyDescent="0.25">
      <c r="A798" s="14"/>
      <c r="B798" s="14"/>
      <c r="C798" s="14"/>
      <c r="D798" s="14"/>
      <c r="E798" s="25"/>
      <c r="F798" s="25"/>
      <c r="G798" s="14"/>
      <c r="H798" s="14"/>
      <c r="I798" s="14"/>
      <c r="J798" s="14"/>
      <c r="K798" s="14"/>
      <c r="L798" s="7"/>
      <c r="M798" s="14"/>
      <c r="N798" s="14"/>
      <c r="O798" s="7"/>
      <c r="P798" s="21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 x14ac:dyDescent="0.25">
      <c r="A799" s="14"/>
      <c r="B799" s="14"/>
      <c r="C799" s="14"/>
      <c r="D799" s="14"/>
      <c r="E799" s="25"/>
      <c r="F799" s="25"/>
      <c r="G799" s="14"/>
      <c r="H799" s="14"/>
      <c r="I799" s="14"/>
      <c r="J799" s="14"/>
      <c r="K799" s="14"/>
      <c r="L799" s="7"/>
      <c r="M799" s="14"/>
      <c r="N799" s="14"/>
      <c r="O799" s="7"/>
      <c r="P799" s="21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 x14ac:dyDescent="0.25">
      <c r="A800" s="14"/>
      <c r="B800" s="14"/>
      <c r="C800" s="14"/>
      <c r="D800" s="14"/>
      <c r="E800" s="25"/>
      <c r="F800" s="25"/>
      <c r="G800" s="14"/>
      <c r="H800" s="14"/>
      <c r="I800" s="14"/>
      <c r="J800" s="14"/>
      <c r="K800" s="14"/>
      <c r="L800" s="7"/>
      <c r="M800" s="14"/>
      <c r="N800" s="14"/>
      <c r="O800" s="7"/>
      <c r="P800" s="21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 x14ac:dyDescent="0.25">
      <c r="A801" s="14"/>
      <c r="B801" s="14"/>
      <c r="C801" s="14"/>
      <c r="D801" s="14"/>
      <c r="E801" s="25"/>
      <c r="F801" s="25"/>
      <c r="G801" s="14"/>
      <c r="H801" s="14"/>
      <c r="I801" s="14"/>
      <c r="J801" s="14"/>
      <c r="K801" s="14"/>
      <c r="L801" s="7"/>
      <c r="M801" s="14"/>
      <c r="N801" s="14"/>
      <c r="O801" s="7"/>
      <c r="P801" s="21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 x14ac:dyDescent="0.25">
      <c r="A802" s="14"/>
      <c r="B802" s="14"/>
      <c r="C802" s="14"/>
      <c r="D802" s="14"/>
      <c r="E802" s="25"/>
      <c r="F802" s="25"/>
      <c r="G802" s="14"/>
      <c r="H802" s="14"/>
      <c r="I802" s="14"/>
      <c r="J802" s="14"/>
      <c r="K802" s="14"/>
      <c r="L802" s="7"/>
      <c r="M802" s="14"/>
      <c r="N802" s="14"/>
      <c r="O802" s="7"/>
      <c r="P802" s="21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 x14ac:dyDescent="0.25">
      <c r="A803" s="14"/>
      <c r="B803" s="14"/>
      <c r="C803" s="14"/>
      <c r="D803" s="14"/>
      <c r="E803" s="25"/>
      <c r="F803" s="25"/>
      <c r="G803" s="14"/>
      <c r="H803" s="14"/>
      <c r="I803" s="14"/>
      <c r="J803" s="14"/>
      <c r="K803" s="14"/>
      <c r="L803" s="7"/>
      <c r="M803" s="14"/>
      <c r="N803" s="14"/>
      <c r="O803" s="7"/>
      <c r="P803" s="21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 x14ac:dyDescent="0.25">
      <c r="A804" s="14"/>
      <c r="B804" s="14"/>
      <c r="C804" s="14"/>
      <c r="D804" s="14"/>
      <c r="E804" s="25"/>
      <c r="F804" s="25"/>
      <c r="G804" s="14"/>
      <c r="H804" s="14"/>
      <c r="I804" s="14"/>
      <c r="J804" s="14"/>
      <c r="K804" s="14"/>
      <c r="L804" s="7"/>
      <c r="M804" s="14"/>
      <c r="N804" s="14"/>
      <c r="O804" s="7"/>
      <c r="P804" s="21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 x14ac:dyDescent="0.25">
      <c r="A805" s="14"/>
      <c r="B805" s="14"/>
      <c r="C805" s="14"/>
      <c r="D805" s="14"/>
      <c r="E805" s="25"/>
      <c r="F805" s="25"/>
      <c r="G805" s="14"/>
      <c r="H805" s="14"/>
      <c r="I805" s="14"/>
      <c r="J805" s="14"/>
      <c r="K805" s="14"/>
      <c r="L805" s="7"/>
      <c r="M805" s="14"/>
      <c r="N805" s="14"/>
      <c r="O805" s="7"/>
      <c r="P805" s="21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 x14ac:dyDescent="0.25">
      <c r="A806" s="14"/>
      <c r="B806" s="14"/>
      <c r="C806" s="14"/>
      <c r="D806" s="14"/>
      <c r="E806" s="25"/>
      <c r="F806" s="25"/>
      <c r="G806" s="14"/>
      <c r="H806" s="14"/>
      <c r="I806" s="14"/>
      <c r="J806" s="14"/>
      <c r="K806" s="14"/>
      <c r="L806" s="7"/>
      <c r="M806" s="14"/>
      <c r="N806" s="14"/>
      <c r="O806" s="7"/>
      <c r="P806" s="21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 x14ac:dyDescent="0.25">
      <c r="A807" s="14"/>
      <c r="B807" s="14"/>
      <c r="C807" s="14"/>
      <c r="D807" s="14"/>
      <c r="E807" s="25"/>
      <c r="F807" s="25"/>
      <c r="G807" s="14"/>
      <c r="H807" s="14"/>
      <c r="I807" s="14"/>
      <c r="J807" s="14"/>
      <c r="K807" s="14"/>
      <c r="L807" s="7"/>
      <c r="M807" s="14"/>
      <c r="N807" s="14"/>
      <c r="O807" s="7"/>
      <c r="P807" s="21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 x14ac:dyDescent="0.25">
      <c r="A808" s="14"/>
      <c r="B808" s="14"/>
      <c r="C808" s="14"/>
      <c r="D808" s="14"/>
      <c r="E808" s="25"/>
      <c r="F808" s="25"/>
      <c r="G808" s="14"/>
      <c r="H808" s="14"/>
      <c r="I808" s="14"/>
      <c r="J808" s="14"/>
      <c r="K808" s="14"/>
      <c r="L808" s="7"/>
      <c r="M808" s="14"/>
      <c r="N808" s="14"/>
      <c r="O808" s="7"/>
      <c r="P808" s="21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 x14ac:dyDescent="0.25">
      <c r="A809" s="14"/>
      <c r="B809" s="14"/>
      <c r="C809" s="14"/>
      <c r="D809" s="14"/>
      <c r="E809" s="25"/>
      <c r="F809" s="25"/>
      <c r="G809" s="14"/>
      <c r="H809" s="14"/>
      <c r="I809" s="14"/>
      <c r="J809" s="14"/>
      <c r="K809" s="14"/>
      <c r="L809" s="7"/>
      <c r="M809" s="14"/>
      <c r="N809" s="14"/>
      <c r="O809" s="7"/>
      <c r="P809" s="21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 x14ac:dyDescent="0.25">
      <c r="A810" s="14"/>
      <c r="B810" s="14"/>
      <c r="C810" s="14"/>
      <c r="D810" s="14"/>
      <c r="E810" s="25"/>
      <c r="F810" s="25"/>
      <c r="G810" s="14"/>
      <c r="H810" s="14"/>
      <c r="I810" s="14"/>
      <c r="J810" s="14"/>
      <c r="K810" s="14"/>
      <c r="L810" s="7"/>
      <c r="M810" s="14"/>
      <c r="N810" s="14"/>
      <c r="O810" s="7"/>
      <c r="P810" s="21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 x14ac:dyDescent="0.25">
      <c r="A811" s="14"/>
      <c r="B811" s="14"/>
      <c r="C811" s="14"/>
      <c r="D811" s="14"/>
      <c r="E811" s="25"/>
      <c r="F811" s="25"/>
      <c r="G811" s="14"/>
      <c r="H811" s="14"/>
      <c r="I811" s="14"/>
      <c r="J811" s="14"/>
      <c r="K811" s="14"/>
      <c r="L811" s="7"/>
      <c r="M811" s="14"/>
      <c r="N811" s="14"/>
      <c r="O811" s="7"/>
      <c r="P811" s="21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 x14ac:dyDescent="0.25">
      <c r="A812" s="14"/>
      <c r="B812" s="14"/>
      <c r="C812" s="14"/>
      <c r="D812" s="14"/>
      <c r="E812" s="25"/>
      <c r="F812" s="25"/>
      <c r="G812" s="14"/>
      <c r="H812" s="14"/>
      <c r="I812" s="14"/>
      <c r="J812" s="14"/>
      <c r="K812" s="14"/>
      <c r="L812" s="7"/>
      <c r="M812" s="14"/>
      <c r="N812" s="14"/>
      <c r="O812" s="7"/>
      <c r="P812" s="21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 x14ac:dyDescent="0.25">
      <c r="A813" s="14"/>
      <c r="B813" s="14"/>
      <c r="C813" s="14"/>
      <c r="D813" s="14"/>
      <c r="E813" s="25"/>
      <c r="F813" s="25"/>
      <c r="G813" s="14"/>
      <c r="H813" s="14"/>
      <c r="I813" s="14"/>
      <c r="J813" s="14"/>
      <c r="K813" s="14"/>
      <c r="L813" s="7"/>
      <c r="M813" s="14"/>
      <c r="N813" s="14"/>
      <c r="O813" s="7"/>
      <c r="P813" s="21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 x14ac:dyDescent="0.25">
      <c r="A814" s="14"/>
      <c r="B814" s="14"/>
      <c r="C814" s="14"/>
      <c r="D814" s="14"/>
      <c r="E814" s="25"/>
      <c r="F814" s="25"/>
      <c r="G814" s="14"/>
      <c r="H814" s="14"/>
      <c r="I814" s="14"/>
      <c r="J814" s="14"/>
      <c r="K814" s="14"/>
      <c r="L814" s="7"/>
      <c r="M814" s="14"/>
      <c r="N814" s="14"/>
      <c r="O814" s="7"/>
      <c r="P814" s="21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 x14ac:dyDescent="0.25">
      <c r="A815" s="14"/>
      <c r="B815" s="14"/>
      <c r="C815" s="14"/>
      <c r="D815" s="14"/>
      <c r="E815" s="25"/>
      <c r="F815" s="25"/>
      <c r="G815" s="14"/>
      <c r="H815" s="14"/>
      <c r="I815" s="14"/>
      <c r="J815" s="14"/>
      <c r="K815" s="14"/>
      <c r="L815" s="7"/>
      <c r="M815" s="14"/>
      <c r="N815" s="14"/>
      <c r="O815" s="7"/>
      <c r="P815" s="21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 x14ac:dyDescent="0.25">
      <c r="A816" s="14"/>
      <c r="B816" s="14"/>
      <c r="C816" s="14"/>
      <c r="D816" s="14"/>
      <c r="E816" s="25"/>
      <c r="F816" s="25"/>
      <c r="G816" s="14"/>
      <c r="H816" s="14"/>
      <c r="I816" s="14"/>
      <c r="J816" s="14"/>
      <c r="K816" s="14"/>
      <c r="L816" s="7"/>
      <c r="M816" s="14"/>
      <c r="N816" s="14"/>
      <c r="O816" s="7"/>
      <c r="P816" s="21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 x14ac:dyDescent="0.25">
      <c r="A817" s="14"/>
      <c r="B817" s="14"/>
      <c r="C817" s="14"/>
      <c r="D817" s="14"/>
      <c r="E817" s="25"/>
      <c r="F817" s="25"/>
      <c r="G817" s="14"/>
      <c r="H817" s="14"/>
      <c r="I817" s="14"/>
      <c r="J817" s="14"/>
      <c r="K817" s="14"/>
      <c r="L817" s="7"/>
      <c r="M817" s="14"/>
      <c r="N817" s="14"/>
      <c r="O817" s="7"/>
      <c r="P817" s="21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 x14ac:dyDescent="0.25">
      <c r="A818" s="14"/>
      <c r="B818" s="14"/>
      <c r="C818" s="14"/>
      <c r="D818" s="14"/>
      <c r="E818" s="25"/>
      <c r="F818" s="25"/>
      <c r="G818" s="14"/>
      <c r="H818" s="14"/>
      <c r="I818" s="14"/>
      <c r="J818" s="14"/>
      <c r="K818" s="14"/>
      <c r="L818" s="7"/>
      <c r="M818" s="14"/>
      <c r="N818" s="14"/>
      <c r="O818" s="7"/>
      <c r="P818" s="21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 x14ac:dyDescent="0.25">
      <c r="A819" s="14"/>
      <c r="B819" s="14"/>
      <c r="C819" s="14"/>
      <c r="D819" s="14"/>
      <c r="E819" s="25"/>
      <c r="F819" s="25"/>
      <c r="G819" s="14"/>
      <c r="H819" s="14"/>
      <c r="I819" s="14"/>
      <c r="J819" s="14"/>
      <c r="K819" s="14"/>
      <c r="L819" s="7"/>
      <c r="M819" s="14"/>
      <c r="N819" s="14"/>
      <c r="O819" s="7"/>
      <c r="P819" s="21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 x14ac:dyDescent="0.25">
      <c r="A820" s="14"/>
      <c r="B820" s="14"/>
      <c r="C820" s="14"/>
      <c r="D820" s="14"/>
      <c r="E820" s="25"/>
      <c r="F820" s="25"/>
      <c r="G820" s="14"/>
      <c r="H820" s="14"/>
      <c r="I820" s="14"/>
      <c r="J820" s="14"/>
      <c r="K820" s="14"/>
      <c r="L820" s="7"/>
      <c r="M820" s="14"/>
      <c r="N820" s="14"/>
      <c r="O820" s="7"/>
      <c r="P820" s="21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 x14ac:dyDescent="0.25">
      <c r="A821" s="14"/>
      <c r="B821" s="14"/>
      <c r="C821" s="14"/>
      <c r="D821" s="14"/>
      <c r="E821" s="25"/>
      <c r="F821" s="25"/>
      <c r="G821" s="14"/>
      <c r="H821" s="14"/>
      <c r="I821" s="14"/>
      <c r="J821" s="14"/>
      <c r="K821" s="14"/>
      <c r="L821" s="7"/>
      <c r="M821" s="14"/>
      <c r="N821" s="14"/>
      <c r="O821" s="7"/>
      <c r="P821" s="21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 x14ac:dyDescent="0.25">
      <c r="A822" s="14"/>
      <c r="B822" s="14"/>
      <c r="C822" s="14"/>
      <c r="D822" s="14"/>
      <c r="E822" s="25"/>
      <c r="F822" s="25"/>
      <c r="G822" s="14"/>
      <c r="H822" s="14"/>
      <c r="I822" s="14"/>
      <c r="J822" s="14"/>
      <c r="K822" s="14"/>
      <c r="L822" s="7"/>
      <c r="M822" s="14"/>
      <c r="N822" s="14"/>
      <c r="O822" s="7"/>
      <c r="P822" s="21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 x14ac:dyDescent="0.25">
      <c r="A823" s="14"/>
      <c r="B823" s="14"/>
      <c r="C823" s="14"/>
      <c r="D823" s="14"/>
      <c r="E823" s="25"/>
      <c r="F823" s="25"/>
      <c r="G823" s="14"/>
      <c r="H823" s="14"/>
      <c r="I823" s="14"/>
      <c r="J823" s="14"/>
      <c r="K823" s="14"/>
      <c r="L823" s="7"/>
      <c r="M823" s="14"/>
      <c r="N823" s="14"/>
      <c r="O823" s="7"/>
      <c r="P823" s="21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 x14ac:dyDescent="0.25">
      <c r="A824" s="14"/>
      <c r="B824" s="14"/>
      <c r="C824" s="14"/>
      <c r="D824" s="14"/>
      <c r="E824" s="25"/>
      <c r="F824" s="25"/>
      <c r="G824" s="14"/>
      <c r="H824" s="14"/>
      <c r="I824" s="14"/>
      <c r="J824" s="14"/>
      <c r="K824" s="14"/>
      <c r="L824" s="7"/>
      <c r="M824" s="14"/>
      <c r="N824" s="14"/>
      <c r="O824" s="7"/>
      <c r="P824" s="21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 x14ac:dyDescent="0.25">
      <c r="A825" s="14"/>
      <c r="B825" s="14"/>
      <c r="C825" s="14"/>
      <c r="D825" s="14"/>
      <c r="E825" s="25"/>
      <c r="F825" s="25"/>
      <c r="G825" s="14"/>
      <c r="H825" s="14"/>
      <c r="I825" s="14"/>
      <c r="J825" s="14"/>
      <c r="K825" s="14"/>
      <c r="L825" s="7"/>
      <c r="M825" s="14"/>
      <c r="N825" s="14"/>
      <c r="O825" s="7"/>
      <c r="P825" s="21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 x14ac:dyDescent="0.25">
      <c r="A826" s="14"/>
      <c r="B826" s="14"/>
      <c r="C826" s="14"/>
      <c r="D826" s="14"/>
      <c r="E826" s="25"/>
      <c r="F826" s="25"/>
      <c r="G826" s="14"/>
      <c r="H826" s="14"/>
      <c r="I826" s="14"/>
      <c r="J826" s="14"/>
      <c r="K826" s="14"/>
      <c r="L826" s="7"/>
      <c r="M826" s="14"/>
      <c r="N826" s="14"/>
      <c r="O826" s="7"/>
      <c r="P826" s="21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 x14ac:dyDescent="0.25">
      <c r="A827" s="14"/>
      <c r="B827" s="14"/>
      <c r="C827" s="14"/>
      <c r="D827" s="14"/>
      <c r="E827" s="25"/>
      <c r="F827" s="25"/>
      <c r="G827" s="14"/>
      <c r="H827" s="14"/>
      <c r="I827" s="14"/>
      <c r="J827" s="14"/>
      <c r="K827" s="14"/>
      <c r="L827" s="7"/>
      <c r="M827" s="14"/>
      <c r="N827" s="14"/>
      <c r="O827" s="7"/>
      <c r="P827" s="21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 x14ac:dyDescent="0.25">
      <c r="A828" s="14"/>
      <c r="B828" s="14"/>
      <c r="C828" s="14"/>
      <c r="D828" s="14"/>
      <c r="E828" s="25"/>
      <c r="F828" s="25"/>
      <c r="G828" s="14"/>
      <c r="H828" s="14"/>
      <c r="I828" s="14"/>
      <c r="J828" s="14"/>
      <c r="K828" s="14"/>
      <c r="L828" s="7"/>
      <c r="M828" s="14"/>
      <c r="N828" s="14"/>
      <c r="O828" s="7"/>
      <c r="P828" s="21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 x14ac:dyDescent="0.25">
      <c r="A829" s="14"/>
      <c r="B829" s="14"/>
      <c r="C829" s="14"/>
      <c r="D829" s="14"/>
      <c r="E829" s="25"/>
      <c r="F829" s="25"/>
      <c r="G829" s="14"/>
      <c r="H829" s="14"/>
      <c r="I829" s="14"/>
      <c r="J829" s="14"/>
      <c r="K829" s="14"/>
      <c r="L829" s="7"/>
      <c r="M829" s="14"/>
      <c r="N829" s="14"/>
      <c r="O829" s="7"/>
      <c r="P829" s="21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 x14ac:dyDescent="0.25">
      <c r="A830" s="14"/>
      <c r="B830" s="14"/>
      <c r="C830" s="14"/>
      <c r="D830" s="14"/>
      <c r="E830" s="25"/>
      <c r="F830" s="25"/>
      <c r="G830" s="14"/>
      <c r="H830" s="14"/>
      <c r="I830" s="14"/>
      <c r="J830" s="14"/>
      <c r="K830" s="14"/>
      <c r="L830" s="7"/>
      <c r="M830" s="14"/>
      <c r="N830" s="14"/>
      <c r="O830" s="7"/>
      <c r="P830" s="21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 x14ac:dyDescent="0.25">
      <c r="A831" s="14"/>
      <c r="B831" s="14"/>
      <c r="C831" s="14"/>
      <c r="D831" s="14"/>
      <c r="E831" s="25"/>
      <c r="F831" s="25"/>
      <c r="G831" s="14"/>
      <c r="H831" s="14"/>
      <c r="I831" s="14"/>
      <c r="J831" s="14"/>
      <c r="K831" s="14"/>
      <c r="L831" s="7"/>
      <c r="M831" s="14"/>
      <c r="N831" s="14"/>
      <c r="O831" s="7"/>
      <c r="P831" s="21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 x14ac:dyDescent="0.25">
      <c r="A832" s="14"/>
      <c r="B832" s="14"/>
      <c r="C832" s="14"/>
      <c r="D832" s="14"/>
      <c r="E832" s="25"/>
      <c r="F832" s="25"/>
      <c r="G832" s="14"/>
      <c r="H832" s="14"/>
      <c r="I832" s="14"/>
      <c r="J832" s="14"/>
      <c r="K832" s="14"/>
      <c r="L832" s="7"/>
      <c r="M832" s="14"/>
      <c r="N832" s="14"/>
      <c r="O832" s="7"/>
      <c r="P832" s="21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 x14ac:dyDescent="0.25">
      <c r="A833" s="14"/>
      <c r="B833" s="14"/>
      <c r="C833" s="14"/>
      <c r="D833" s="14"/>
      <c r="E833" s="25"/>
      <c r="F833" s="25"/>
      <c r="G833" s="14"/>
      <c r="H833" s="14"/>
      <c r="I833" s="14"/>
      <c r="J833" s="14"/>
      <c r="K833" s="14"/>
      <c r="L833" s="7"/>
      <c r="M833" s="14"/>
      <c r="N833" s="14"/>
      <c r="O833" s="7"/>
      <c r="P833" s="21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 x14ac:dyDescent="0.25">
      <c r="A834" s="14"/>
      <c r="B834" s="14"/>
      <c r="C834" s="14"/>
      <c r="D834" s="14"/>
      <c r="E834" s="25"/>
      <c r="F834" s="25"/>
      <c r="G834" s="14"/>
      <c r="H834" s="14"/>
      <c r="I834" s="14"/>
      <c r="J834" s="14"/>
      <c r="K834" s="14"/>
      <c r="L834" s="7"/>
      <c r="M834" s="14"/>
      <c r="N834" s="14"/>
      <c r="O834" s="7"/>
      <c r="P834" s="21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 x14ac:dyDescent="0.25">
      <c r="A835" s="14"/>
      <c r="B835" s="14"/>
      <c r="C835" s="14"/>
      <c r="D835" s="14"/>
      <c r="E835" s="25"/>
      <c r="F835" s="25"/>
      <c r="G835" s="14"/>
      <c r="H835" s="14"/>
      <c r="I835" s="14"/>
      <c r="J835" s="14"/>
      <c r="K835" s="14"/>
      <c r="L835" s="7"/>
      <c r="M835" s="14"/>
      <c r="N835" s="14"/>
      <c r="O835" s="7"/>
      <c r="P835" s="21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 x14ac:dyDescent="0.25">
      <c r="A836" s="14"/>
      <c r="B836" s="14"/>
      <c r="C836" s="14"/>
      <c r="D836" s="14"/>
      <c r="E836" s="25"/>
      <c r="F836" s="25"/>
      <c r="G836" s="14"/>
      <c r="H836" s="14"/>
      <c r="I836" s="14"/>
      <c r="J836" s="14"/>
      <c r="K836" s="14"/>
      <c r="L836" s="7"/>
      <c r="M836" s="14"/>
      <c r="N836" s="14"/>
      <c r="O836" s="7"/>
      <c r="P836" s="21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 x14ac:dyDescent="0.25">
      <c r="A837" s="14"/>
      <c r="B837" s="14"/>
      <c r="C837" s="14"/>
      <c r="D837" s="14"/>
      <c r="E837" s="25"/>
      <c r="F837" s="25"/>
      <c r="G837" s="14"/>
      <c r="H837" s="14"/>
      <c r="I837" s="14"/>
      <c r="J837" s="14"/>
      <c r="K837" s="14"/>
      <c r="L837" s="7"/>
      <c r="M837" s="14"/>
      <c r="N837" s="14"/>
      <c r="O837" s="7"/>
      <c r="P837" s="21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 x14ac:dyDescent="0.25">
      <c r="A838" s="14"/>
      <c r="B838" s="14"/>
      <c r="C838" s="14"/>
      <c r="D838" s="14"/>
      <c r="E838" s="25"/>
      <c r="F838" s="25"/>
      <c r="G838" s="14"/>
      <c r="H838" s="14"/>
      <c r="I838" s="14"/>
      <c r="J838" s="14"/>
      <c r="K838" s="14"/>
      <c r="L838" s="7"/>
      <c r="M838" s="14"/>
      <c r="N838" s="14"/>
      <c r="O838" s="7"/>
      <c r="P838" s="21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 x14ac:dyDescent="0.25">
      <c r="A839" s="14"/>
      <c r="B839" s="14"/>
      <c r="C839" s="14"/>
      <c r="D839" s="14"/>
      <c r="E839" s="25"/>
      <c r="F839" s="25"/>
      <c r="G839" s="14"/>
      <c r="H839" s="14"/>
      <c r="I839" s="14"/>
      <c r="J839" s="14"/>
      <c r="K839" s="14"/>
      <c r="L839" s="7"/>
      <c r="M839" s="14"/>
      <c r="N839" s="14"/>
      <c r="O839" s="7"/>
      <c r="P839" s="21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 x14ac:dyDescent="0.25">
      <c r="A840" s="14"/>
      <c r="B840" s="14"/>
      <c r="C840" s="14"/>
      <c r="D840" s="14"/>
      <c r="E840" s="25"/>
      <c r="F840" s="25"/>
      <c r="G840" s="14"/>
      <c r="H840" s="14"/>
      <c r="I840" s="14"/>
      <c r="J840" s="14"/>
      <c r="K840" s="14"/>
      <c r="L840" s="7"/>
      <c r="M840" s="14"/>
      <c r="N840" s="14"/>
      <c r="O840" s="7"/>
      <c r="P840" s="21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 x14ac:dyDescent="0.25">
      <c r="A841" s="14"/>
      <c r="B841" s="14"/>
      <c r="C841" s="14"/>
      <c r="D841" s="14"/>
      <c r="E841" s="25"/>
      <c r="F841" s="25"/>
      <c r="G841" s="14"/>
      <c r="H841" s="14"/>
      <c r="I841" s="14"/>
      <c r="J841" s="14"/>
      <c r="K841" s="14"/>
      <c r="L841" s="7"/>
      <c r="M841" s="14"/>
      <c r="N841" s="14"/>
      <c r="O841" s="7"/>
      <c r="P841" s="21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 x14ac:dyDescent="0.25">
      <c r="A842" s="14"/>
      <c r="B842" s="14"/>
      <c r="C842" s="14"/>
      <c r="D842" s="14"/>
      <c r="E842" s="25"/>
      <c r="F842" s="25"/>
      <c r="G842" s="14"/>
      <c r="H842" s="14"/>
      <c r="I842" s="14"/>
      <c r="J842" s="14"/>
      <c r="K842" s="14"/>
      <c r="L842" s="7"/>
      <c r="M842" s="14"/>
      <c r="N842" s="14"/>
      <c r="O842" s="7"/>
      <c r="P842" s="21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 x14ac:dyDescent="0.25">
      <c r="A843" s="14"/>
      <c r="B843" s="14"/>
      <c r="C843" s="14"/>
      <c r="D843" s="14"/>
      <c r="E843" s="25"/>
      <c r="F843" s="25"/>
      <c r="G843" s="14"/>
      <c r="H843" s="14"/>
      <c r="I843" s="14"/>
      <c r="J843" s="14"/>
      <c r="K843" s="14"/>
      <c r="L843" s="7"/>
      <c r="M843" s="14"/>
      <c r="N843" s="14"/>
      <c r="O843" s="7"/>
      <c r="P843" s="21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 x14ac:dyDescent="0.25">
      <c r="A844" s="14"/>
      <c r="B844" s="14"/>
      <c r="C844" s="14"/>
      <c r="D844" s="14"/>
      <c r="E844" s="25"/>
      <c r="F844" s="25"/>
      <c r="G844" s="14"/>
      <c r="H844" s="14"/>
      <c r="I844" s="14"/>
      <c r="J844" s="14"/>
      <c r="K844" s="14"/>
      <c r="L844" s="7"/>
      <c r="M844" s="14"/>
      <c r="N844" s="14"/>
      <c r="O844" s="7"/>
      <c r="P844" s="21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 x14ac:dyDescent="0.25">
      <c r="A845" s="14"/>
      <c r="B845" s="14"/>
      <c r="C845" s="14"/>
      <c r="D845" s="14"/>
      <c r="E845" s="25"/>
      <c r="F845" s="25"/>
      <c r="G845" s="14"/>
      <c r="H845" s="14"/>
      <c r="I845" s="14"/>
      <c r="J845" s="14"/>
      <c r="K845" s="14"/>
      <c r="L845" s="7"/>
      <c r="M845" s="14"/>
      <c r="N845" s="14"/>
      <c r="O845" s="7"/>
      <c r="P845" s="21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 x14ac:dyDescent="0.25">
      <c r="A846" s="14"/>
      <c r="B846" s="14"/>
      <c r="C846" s="14"/>
      <c r="D846" s="14"/>
      <c r="E846" s="25"/>
      <c r="F846" s="25"/>
      <c r="G846" s="14"/>
      <c r="H846" s="14"/>
      <c r="I846" s="14"/>
      <c r="J846" s="14"/>
      <c r="K846" s="14"/>
      <c r="L846" s="7"/>
      <c r="M846" s="14"/>
      <c r="N846" s="14"/>
      <c r="O846" s="7"/>
      <c r="P846" s="21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 x14ac:dyDescent="0.25">
      <c r="A847" s="14"/>
      <c r="B847" s="14"/>
      <c r="C847" s="14"/>
      <c r="D847" s="14"/>
      <c r="E847" s="25"/>
      <c r="F847" s="25"/>
      <c r="G847" s="14"/>
      <c r="H847" s="14"/>
      <c r="I847" s="14"/>
      <c r="J847" s="14"/>
      <c r="K847" s="14"/>
      <c r="L847" s="7"/>
      <c r="M847" s="14"/>
      <c r="N847" s="14"/>
      <c r="O847" s="7"/>
      <c r="P847" s="21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 x14ac:dyDescent="0.25">
      <c r="A848" s="14"/>
      <c r="B848" s="14"/>
      <c r="C848" s="14"/>
      <c r="D848" s="14"/>
      <c r="E848" s="25"/>
      <c r="F848" s="25"/>
      <c r="G848" s="14"/>
      <c r="H848" s="14"/>
      <c r="I848" s="14"/>
      <c r="J848" s="14"/>
      <c r="K848" s="14"/>
      <c r="L848" s="7"/>
      <c r="M848" s="14"/>
      <c r="N848" s="14"/>
      <c r="O848" s="7"/>
      <c r="P848" s="21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 x14ac:dyDescent="0.25">
      <c r="A849" s="14"/>
      <c r="B849" s="14"/>
      <c r="C849" s="14"/>
      <c r="D849" s="14"/>
      <c r="E849" s="25"/>
      <c r="F849" s="25"/>
      <c r="G849" s="14"/>
      <c r="H849" s="14"/>
      <c r="I849" s="14"/>
      <c r="J849" s="14"/>
      <c r="K849" s="14"/>
      <c r="L849" s="7"/>
      <c r="M849" s="14"/>
      <c r="N849" s="14"/>
      <c r="O849" s="7"/>
      <c r="P849" s="21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 x14ac:dyDescent="0.25">
      <c r="A850" s="14"/>
      <c r="B850" s="14"/>
      <c r="C850" s="14"/>
      <c r="D850" s="14"/>
      <c r="E850" s="25"/>
      <c r="F850" s="25"/>
      <c r="G850" s="14"/>
      <c r="H850" s="14"/>
      <c r="I850" s="14"/>
      <c r="J850" s="14"/>
      <c r="K850" s="14"/>
      <c r="L850" s="7"/>
      <c r="M850" s="14"/>
      <c r="N850" s="14"/>
      <c r="O850" s="7"/>
      <c r="P850" s="21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 x14ac:dyDescent="0.25">
      <c r="A851" s="14"/>
      <c r="B851" s="14"/>
      <c r="C851" s="14"/>
      <c r="D851" s="14"/>
      <c r="E851" s="25"/>
      <c r="F851" s="25"/>
      <c r="G851" s="14"/>
      <c r="H851" s="14"/>
      <c r="I851" s="14"/>
      <c r="J851" s="14"/>
      <c r="K851" s="14"/>
      <c r="L851" s="7"/>
      <c r="M851" s="14"/>
      <c r="N851" s="14"/>
      <c r="O851" s="7"/>
      <c r="P851" s="21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 x14ac:dyDescent="0.25">
      <c r="A852" s="14"/>
      <c r="B852" s="14"/>
      <c r="C852" s="14"/>
      <c r="D852" s="14"/>
      <c r="E852" s="25"/>
      <c r="F852" s="25"/>
      <c r="G852" s="14"/>
      <c r="H852" s="14"/>
      <c r="I852" s="14"/>
      <c r="J852" s="14"/>
      <c r="K852" s="14"/>
      <c r="L852" s="7"/>
      <c r="M852" s="14"/>
      <c r="N852" s="14"/>
      <c r="O852" s="7"/>
      <c r="P852" s="21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 x14ac:dyDescent="0.25">
      <c r="A853" s="14"/>
      <c r="B853" s="14"/>
      <c r="C853" s="14"/>
      <c r="D853" s="14"/>
      <c r="E853" s="25"/>
      <c r="F853" s="25"/>
      <c r="G853" s="14"/>
      <c r="H853" s="14"/>
      <c r="I853" s="14"/>
      <c r="J853" s="14"/>
      <c r="K853" s="14"/>
      <c r="L853" s="7"/>
      <c r="M853" s="14"/>
      <c r="N853" s="14"/>
      <c r="O853" s="7"/>
      <c r="P853" s="21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 x14ac:dyDescent="0.25">
      <c r="A854" s="14"/>
      <c r="B854" s="14"/>
      <c r="C854" s="14"/>
      <c r="D854" s="14"/>
      <c r="E854" s="25"/>
      <c r="F854" s="25"/>
      <c r="G854" s="14"/>
      <c r="H854" s="14"/>
      <c r="I854" s="14"/>
      <c r="J854" s="14"/>
      <c r="K854" s="14"/>
      <c r="L854" s="7"/>
      <c r="M854" s="14"/>
      <c r="N854" s="14"/>
      <c r="O854" s="7"/>
      <c r="P854" s="21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 x14ac:dyDescent="0.25">
      <c r="A855" s="14"/>
      <c r="B855" s="14"/>
      <c r="C855" s="14"/>
      <c r="D855" s="14"/>
      <c r="E855" s="25"/>
      <c r="F855" s="25"/>
      <c r="G855" s="14"/>
      <c r="H855" s="14"/>
      <c r="I855" s="14"/>
      <c r="J855" s="14"/>
      <c r="K855" s="14"/>
      <c r="L855" s="7"/>
      <c r="M855" s="14"/>
      <c r="N855" s="14"/>
      <c r="O855" s="7"/>
      <c r="P855" s="21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 x14ac:dyDescent="0.25">
      <c r="A856" s="14"/>
      <c r="B856" s="14"/>
      <c r="C856" s="14"/>
      <c r="D856" s="14"/>
      <c r="E856" s="25"/>
      <c r="F856" s="25"/>
      <c r="G856" s="14"/>
      <c r="H856" s="14"/>
      <c r="I856" s="14"/>
      <c r="J856" s="14"/>
      <c r="K856" s="14"/>
      <c r="L856" s="7"/>
      <c r="M856" s="14"/>
      <c r="N856" s="14"/>
      <c r="O856" s="7"/>
      <c r="P856" s="21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 x14ac:dyDescent="0.25">
      <c r="A857" s="14"/>
      <c r="B857" s="14"/>
      <c r="C857" s="14"/>
      <c r="D857" s="14"/>
      <c r="E857" s="25"/>
      <c r="F857" s="25"/>
      <c r="G857" s="14"/>
      <c r="H857" s="14"/>
      <c r="I857" s="14"/>
      <c r="J857" s="14"/>
      <c r="K857" s="14"/>
      <c r="L857" s="7"/>
      <c r="M857" s="14"/>
      <c r="N857" s="14"/>
      <c r="O857" s="7"/>
      <c r="P857" s="21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 x14ac:dyDescent="0.25">
      <c r="A858" s="14"/>
      <c r="B858" s="14"/>
      <c r="C858" s="14"/>
      <c r="D858" s="14"/>
      <c r="E858" s="25"/>
      <c r="F858" s="25"/>
      <c r="G858" s="14"/>
      <c r="H858" s="14"/>
      <c r="I858" s="14"/>
      <c r="J858" s="14"/>
      <c r="K858" s="14"/>
      <c r="L858" s="7"/>
      <c r="M858" s="14"/>
      <c r="N858" s="14"/>
      <c r="O858" s="7"/>
      <c r="P858" s="21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 x14ac:dyDescent="0.25">
      <c r="A859" s="14"/>
      <c r="B859" s="14"/>
      <c r="C859" s="14"/>
      <c r="D859" s="14"/>
      <c r="E859" s="25"/>
      <c r="F859" s="25"/>
      <c r="G859" s="14"/>
      <c r="H859" s="14"/>
      <c r="I859" s="14"/>
      <c r="J859" s="14"/>
      <c r="K859" s="14"/>
      <c r="L859" s="7"/>
      <c r="M859" s="14"/>
      <c r="N859" s="14"/>
      <c r="O859" s="7"/>
      <c r="P859" s="21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 x14ac:dyDescent="0.25">
      <c r="A860" s="14"/>
      <c r="B860" s="14"/>
      <c r="C860" s="14"/>
      <c r="D860" s="14"/>
      <c r="E860" s="25"/>
      <c r="F860" s="25"/>
      <c r="G860" s="14"/>
      <c r="H860" s="14"/>
      <c r="I860" s="14"/>
      <c r="J860" s="14"/>
      <c r="K860" s="14"/>
      <c r="L860" s="7"/>
      <c r="M860" s="14"/>
      <c r="N860" s="14"/>
      <c r="O860" s="7"/>
      <c r="P860" s="21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 x14ac:dyDescent="0.25">
      <c r="A861" s="14"/>
      <c r="B861" s="14"/>
      <c r="C861" s="14"/>
      <c r="D861" s="14"/>
      <c r="E861" s="25"/>
      <c r="F861" s="25"/>
      <c r="G861" s="14"/>
      <c r="H861" s="14"/>
      <c r="I861" s="14"/>
      <c r="J861" s="14"/>
      <c r="K861" s="14"/>
      <c r="L861" s="7"/>
      <c r="M861" s="14"/>
      <c r="N861" s="14"/>
      <c r="O861" s="7"/>
      <c r="P861" s="21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 x14ac:dyDescent="0.25">
      <c r="A862" s="14"/>
      <c r="B862" s="14"/>
      <c r="C862" s="14"/>
      <c r="D862" s="14"/>
      <c r="E862" s="25"/>
      <c r="F862" s="25"/>
      <c r="G862" s="14"/>
      <c r="H862" s="14"/>
      <c r="I862" s="14"/>
      <c r="J862" s="14"/>
      <c r="K862" s="14"/>
      <c r="L862" s="7"/>
      <c r="M862" s="14"/>
      <c r="N862" s="14"/>
      <c r="O862" s="7"/>
      <c r="P862" s="21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 x14ac:dyDescent="0.25">
      <c r="A863" s="14"/>
      <c r="B863" s="14"/>
      <c r="C863" s="14"/>
      <c r="D863" s="14"/>
      <c r="E863" s="25"/>
      <c r="F863" s="25"/>
      <c r="G863" s="14"/>
      <c r="H863" s="14"/>
      <c r="I863" s="14"/>
      <c r="J863" s="14"/>
      <c r="K863" s="14"/>
      <c r="L863" s="7"/>
      <c r="M863" s="14"/>
      <c r="N863" s="14"/>
      <c r="O863" s="7"/>
      <c r="P863" s="21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 x14ac:dyDescent="0.25">
      <c r="A864" s="14"/>
      <c r="B864" s="14"/>
      <c r="C864" s="14"/>
      <c r="D864" s="14"/>
      <c r="E864" s="25"/>
      <c r="F864" s="25"/>
      <c r="G864" s="14"/>
      <c r="H864" s="14"/>
      <c r="I864" s="14"/>
      <c r="J864" s="14"/>
      <c r="K864" s="14"/>
      <c r="L864" s="7"/>
      <c r="M864" s="14"/>
      <c r="N864" s="14"/>
      <c r="O864" s="7"/>
      <c r="P864" s="21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 x14ac:dyDescent="0.25">
      <c r="A865" s="14"/>
      <c r="B865" s="14"/>
      <c r="C865" s="14"/>
      <c r="D865" s="14"/>
      <c r="E865" s="25"/>
      <c r="F865" s="25"/>
      <c r="G865" s="14"/>
      <c r="H865" s="14"/>
      <c r="I865" s="14"/>
      <c r="J865" s="14"/>
      <c r="K865" s="14"/>
      <c r="L865" s="7"/>
      <c r="M865" s="14"/>
      <c r="N865" s="14"/>
      <c r="O865" s="7"/>
      <c r="P865" s="21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 x14ac:dyDescent="0.25">
      <c r="A866" s="14"/>
      <c r="B866" s="14"/>
      <c r="C866" s="14"/>
      <c r="D866" s="14"/>
      <c r="E866" s="25"/>
      <c r="F866" s="25"/>
      <c r="G866" s="14"/>
      <c r="H866" s="14"/>
      <c r="I866" s="14"/>
      <c r="J866" s="14"/>
      <c r="K866" s="14"/>
      <c r="L866" s="7"/>
      <c r="M866" s="14"/>
      <c r="N866" s="14"/>
      <c r="O866" s="7"/>
      <c r="P866" s="21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 x14ac:dyDescent="0.25">
      <c r="A867" s="14"/>
      <c r="B867" s="14"/>
      <c r="C867" s="14"/>
      <c r="D867" s="14"/>
      <c r="E867" s="25"/>
      <c r="F867" s="25"/>
      <c r="G867" s="14"/>
      <c r="H867" s="14"/>
      <c r="I867" s="14"/>
      <c r="J867" s="14"/>
      <c r="K867" s="14"/>
      <c r="L867" s="7"/>
      <c r="M867" s="14"/>
      <c r="N867" s="14"/>
      <c r="O867" s="7"/>
      <c r="P867" s="21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 x14ac:dyDescent="0.25">
      <c r="A868" s="14"/>
      <c r="B868" s="14"/>
      <c r="C868" s="14"/>
      <c r="D868" s="14"/>
      <c r="E868" s="25"/>
      <c r="F868" s="25"/>
      <c r="G868" s="14"/>
      <c r="H868" s="14"/>
      <c r="I868" s="14"/>
      <c r="J868" s="14"/>
      <c r="K868" s="14"/>
      <c r="L868" s="7"/>
      <c r="M868" s="14"/>
      <c r="N868" s="14"/>
      <c r="O868" s="7"/>
      <c r="P868" s="21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 x14ac:dyDescent="0.25">
      <c r="A869" s="14"/>
      <c r="B869" s="14"/>
      <c r="C869" s="14"/>
      <c r="D869" s="14"/>
      <c r="E869" s="25"/>
      <c r="F869" s="25"/>
      <c r="G869" s="14"/>
      <c r="H869" s="14"/>
      <c r="I869" s="14"/>
      <c r="J869" s="14"/>
      <c r="K869" s="14"/>
      <c r="L869" s="7"/>
      <c r="M869" s="14"/>
      <c r="N869" s="14"/>
      <c r="O869" s="7"/>
      <c r="P869" s="21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 x14ac:dyDescent="0.25">
      <c r="A870" s="14"/>
      <c r="B870" s="14"/>
      <c r="C870" s="14"/>
      <c r="D870" s="14"/>
      <c r="E870" s="25"/>
      <c r="F870" s="25"/>
      <c r="G870" s="14"/>
      <c r="H870" s="14"/>
      <c r="I870" s="14"/>
      <c r="J870" s="14"/>
      <c r="K870" s="14"/>
      <c r="L870" s="7"/>
      <c r="M870" s="14"/>
      <c r="N870" s="14"/>
      <c r="O870" s="7"/>
      <c r="P870" s="21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 x14ac:dyDescent="0.25">
      <c r="A871" s="14"/>
      <c r="B871" s="14"/>
      <c r="C871" s="14"/>
      <c r="D871" s="14"/>
      <c r="E871" s="25"/>
      <c r="F871" s="25"/>
      <c r="G871" s="14"/>
      <c r="H871" s="14"/>
      <c r="I871" s="14"/>
      <c r="J871" s="14"/>
      <c r="K871" s="14"/>
      <c r="L871" s="7"/>
      <c r="M871" s="14"/>
      <c r="N871" s="14"/>
      <c r="O871" s="7"/>
      <c r="P871" s="21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 x14ac:dyDescent="0.25">
      <c r="A872" s="14"/>
      <c r="B872" s="14"/>
      <c r="C872" s="14"/>
      <c r="D872" s="14"/>
      <c r="E872" s="25"/>
      <c r="F872" s="25"/>
      <c r="G872" s="14"/>
      <c r="H872" s="14"/>
      <c r="I872" s="14"/>
      <c r="J872" s="14"/>
      <c r="K872" s="14"/>
      <c r="L872" s="7"/>
      <c r="M872" s="14"/>
      <c r="N872" s="14"/>
      <c r="O872" s="7"/>
      <c r="P872" s="21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 x14ac:dyDescent="0.25">
      <c r="A873" s="14"/>
      <c r="B873" s="14"/>
      <c r="C873" s="14"/>
      <c r="D873" s="14"/>
      <c r="E873" s="25"/>
      <c r="F873" s="25"/>
      <c r="G873" s="14"/>
      <c r="H873" s="14"/>
      <c r="I873" s="14"/>
      <c r="J873" s="14"/>
      <c r="K873" s="14"/>
      <c r="L873" s="7"/>
      <c r="M873" s="14"/>
      <c r="N873" s="14"/>
      <c r="O873" s="7"/>
      <c r="P873" s="21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 x14ac:dyDescent="0.25">
      <c r="A874" s="14"/>
      <c r="B874" s="14"/>
      <c r="C874" s="14"/>
      <c r="D874" s="14"/>
      <c r="E874" s="25"/>
      <c r="F874" s="25"/>
      <c r="G874" s="14"/>
      <c r="H874" s="14"/>
      <c r="I874" s="14"/>
      <c r="J874" s="14"/>
      <c r="K874" s="14"/>
      <c r="L874" s="7"/>
      <c r="M874" s="14"/>
      <c r="N874" s="14"/>
      <c r="O874" s="7"/>
      <c r="P874" s="21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 x14ac:dyDescent="0.25">
      <c r="A875" s="14"/>
      <c r="B875" s="14"/>
      <c r="C875" s="14"/>
      <c r="D875" s="14"/>
      <c r="E875" s="25"/>
      <c r="F875" s="25"/>
      <c r="G875" s="14"/>
      <c r="H875" s="14"/>
      <c r="I875" s="14"/>
      <c r="J875" s="14"/>
      <c r="K875" s="14"/>
      <c r="L875" s="7"/>
      <c r="M875" s="14"/>
      <c r="N875" s="14"/>
      <c r="O875" s="7"/>
      <c r="P875" s="21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 x14ac:dyDescent="0.25">
      <c r="A876" s="14"/>
      <c r="B876" s="14"/>
      <c r="C876" s="14"/>
      <c r="D876" s="14"/>
      <c r="E876" s="25"/>
      <c r="F876" s="25"/>
      <c r="G876" s="14"/>
      <c r="H876" s="14"/>
      <c r="I876" s="14"/>
      <c r="J876" s="14"/>
      <c r="K876" s="14"/>
      <c r="L876" s="7"/>
      <c r="M876" s="14"/>
      <c r="N876" s="14"/>
      <c r="O876" s="7"/>
      <c r="P876" s="21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 x14ac:dyDescent="0.25">
      <c r="A877" s="14"/>
      <c r="B877" s="14"/>
      <c r="C877" s="14"/>
      <c r="D877" s="14"/>
      <c r="E877" s="25"/>
      <c r="F877" s="25"/>
      <c r="G877" s="14"/>
      <c r="H877" s="14"/>
      <c r="I877" s="14"/>
      <c r="J877" s="14"/>
      <c r="K877" s="14"/>
      <c r="L877" s="7"/>
      <c r="M877" s="14"/>
      <c r="N877" s="14"/>
      <c r="O877" s="7"/>
      <c r="P877" s="21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 x14ac:dyDescent="0.25">
      <c r="A878" s="14"/>
      <c r="B878" s="14"/>
      <c r="C878" s="14"/>
      <c r="D878" s="14"/>
      <c r="E878" s="25"/>
      <c r="F878" s="25"/>
      <c r="G878" s="14"/>
      <c r="H878" s="14"/>
      <c r="I878" s="14"/>
      <c r="J878" s="14"/>
      <c r="K878" s="14"/>
      <c r="L878" s="7"/>
      <c r="M878" s="14"/>
      <c r="N878" s="14"/>
      <c r="O878" s="7"/>
      <c r="P878" s="21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 x14ac:dyDescent="0.25">
      <c r="A879" s="14"/>
      <c r="B879" s="14"/>
      <c r="C879" s="14"/>
      <c r="D879" s="14"/>
      <c r="E879" s="25"/>
      <c r="F879" s="25"/>
      <c r="G879" s="14"/>
      <c r="H879" s="14"/>
      <c r="I879" s="14"/>
      <c r="J879" s="14"/>
      <c r="K879" s="14"/>
      <c r="L879" s="7"/>
      <c r="M879" s="14"/>
      <c r="N879" s="14"/>
      <c r="O879" s="7"/>
      <c r="P879" s="21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 x14ac:dyDescent="0.25">
      <c r="A880" s="14"/>
      <c r="B880" s="14"/>
      <c r="C880" s="14"/>
      <c r="D880" s="14"/>
      <c r="E880" s="25"/>
      <c r="F880" s="25"/>
      <c r="G880" s="14"/>
      <c r="H880" s="14"/>
      <c r="I880" s="14"/>
      <c r="J880" s="14"/>
      <c r="K880" s="14"/>
      <c r="L880" s="7"/>
      <c r="M880" s="14"/>
      <c r="N880" s="14"/>
      <c r="O880" s="7"/>
      <c r="P880" s="21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 x14ac:dyDescent="0.25">
      <c r="A881" s="14"/>
      <c r="B881" s="14"/>
      <c r="C881" s="14"/>
      <c r="D881" s="14"/>
      <c r="E881" s="25"/>
      <c r="F881" s="25"/>
      <c r="G881" s="14"/>
      <c r="H881" s="14"/>
      <c r="I881" s="14"/>
      <c r="J881" s="14"/>
      <c r="K881" s="14"/>
      <c r="L881" s="7"/>
      <c r="M881" s="14"/>
      <c r="N881" s="14"/>
      <c r="O881" s="7"/>
      <c r="P881" s="21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 x14ac:dyDescent="0.25">
      <c r="A882" s="14"/>
      <c r="B882" s="14"/>
      <c r="C882" s="14"/>
      <c r="D882" s="14"/>
      <c r="E882" s="25"/>
      <c r="F882" s="25"/>
      <c r="G882" s="14"/>
      <c r="H882" s="14"/>
      <c r="I882" s="14"/>
      <c r="J882" s="14"/>
      <c r="K882" s="14"/>
      <c r="L882" s="7"/>
      <c r="M882" s="14"/>
      <c r="N882" s="14"/>
      <c r="O882" s="7"/>
      <c r="P882" s="21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 x14ac:dyDescent="0.25">
      <c r="A883" s="14"/>
      <c r="B883" s="14"/>
      <c r="C883" s="14"/>
      <c r="D883" s="14"/>
      <c r="E883" s="25"/>
      <c r="F883" s="25"/>
      <c r="G883" s="14"/>
      <c r="H883" s="14"/>
      <c r="I883" s="14"/>
      <c r="J883" s="14"/>
      <c r="K883" s="14"/>
      <c r="L883" s="7"/>
      <c r="M883" s="14"/>
      <c r="N883" s="14"/>
      <c r="O883" s="7"/>
      <c r="P883" s="21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 x14ac:dyDescent="0.25">
      <c r="A884" s="14"/>
      <c r="B884" s="14"/>
      <c r="C884" s="14"/>
      <c r="D884" s="14"/>
      <c r="E884" s="25"/>
      <c r="F884" s="25"/>
      <c r="G884" s="14"/>
      <c r="H884" s="14"/>
      <c r="I884" s="14"/>
      <c r="J884" s="14"/>
      <c r="K884" s="14"/>
      <c r="L884" s="7"/>
      <c r="M884" s="14"/>
      <c r="N884" s="14"/>
      <c r="O884" s="7"/>
      <c r="P884" s="21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 x14ac:dyDescent="0.25">
      <c r="A885" s="14"/>
      <c r="B885" s="14"/>
      <c r="C885" s="14"/>
      <c r="D885" s="14"/>
      <c r="E885" s="25"/>
      <c r="F885" s="25"/>
      <c r="G885" s="14"/>
      <c r="H885" s="14"/>
      <c r="I885" s="14"/>
      <c r="J885" s="14"/>
      <c r="K885" s="14"/>
      <c r="L885" s="7"/>
      <c r="M885" s="14"/>
      <c r="N885" s="14"/>
      <c r="O885" s="7"/>
      <c r="P885" s="21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 x14ac:dyDescent="0.25">
      <c r="A886" s="14"/>
      <c r="B886" s="14"/>
      <c r="C886" s="14"/>
      <c r="D886" s="14"/>
      <c r="E886" s="25"/>
      <c r="F886" s="25"/>
      <c r="G886" s="14"/>
      <c r="H886" s="14"/>
      <c r="I886" s="14"/>
      <c r="J886" s="14"/>
      <c r="K886" s="14"/>
      <c r="L886" s="7"/>
      <c r="M886" s="14"/>
      <c r="N886" s="14"/>
      <c r="O886" s="7"/>
      <c r="P886" s="21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 x14ac:dyDescent="0.25">
      <c r="A887" s="14"/>
      <c r="B887" s="14"/>
      <c r="C887" s="14"/>
      <c r="D887" s="14"/>
      <c r="E887" s="25"/>
      <c r="F887" s="25"/>
      <c r="G887" s="14"/>
      <c r="H887" s="14"/>
      <c r="I887" s="14"/>
      <c r="J887" s="14"/>
      <c r="K887" s="14"/>
      <c r="L887" s="7"/>
      <c r="M887" s="14"/>
      <c r="N887" s="14"/>
      <c r="O887" s="7"/>
      <c r="P887" s="21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 x14ac:dyDescent="0.25">
      <c r="A888" s="14"/>
      <c r="B888" s="14"/>
      <c r="C888" s="14"/>
      <c r="D888" s="14"/>
      <c r="E888" s="25"/>
      <c r="F888" s="25"/>
      <c r="G888" s="14"/>
      <c r="H888" s="14"/>
      <c r="I888" s="14"/>
      <c r="J888" s="14"/>
      <c r="K888" s="14"/>
      <c r="L888" s="7"/>
      <c r="M888" s="14"/>
      <c r="N888" s="14"/>
      <c r="O888" s="7"/>
      <c r="P888" s="21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 x14ac:dyDescent="0.25">
      <c r="A889" s="14"/>
      <c r="B889" s="14"/>
      <c r="C889" s="14"/>
      <c r="D889" s="14"/>
      <c r="E889" s="25"/>
      <c r="F889" s="25"/>
      <c r="G889" s="14"/>
      <c r="H889" s="14"/>
      <c r="I889" s="14"/>
      <c r="J889" s="14"/>
      <c r="K889" s="14"/>
      <c r="L889" s="7"/>
      <c r="M889" s="14"/>
      <c r="N889" s="14"/>
      <c r="O889" s="7"/>
      <c r="P889" s="21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 x14ac:dyDescent="0.25">
      <c r="A890" s="14"/>
      <c r="B890" s="14"/>
      <c r="C890" s="14"/>
      <c r="D890" s="14"/>
      <c r="E890" s="25"/>
      <c r="F890" s="25"/>
      <c r="G890" s="14"/>
      <c r="H890" s="14"/>
      <c r="I890" s="14"/>
      <c r="J890" s="14"/>
      <c r="K890" s="14"/>
      <c r="L890" s="7"/>
      <c r="M890" s="14"/>
      <c r="N890" s="14"/>
      <c r="O890" s="7"/>
      <c r="P890" s="21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 x14ac:dyDescent="0.25">
      <c r="A891" s="14"/>
      <c r="B891" s="14"/>
      <c r="C891" s="14"/>
      <c r="D891" s="14"/>
      <c r="E891" s="25"/>
      <c r="F891" s="25"/>
      <c r="G891" s="14"/>
      <c r="H891" s="14"/>
      <c r="I891" s="14"/>
      <c r="J891" s="14"/>
      <c r="K891" s="14"/>
      <c r="L891" s="7"/>
      <c r="M891" s="14"/>
      <c r="N891" s="14"/>
      <c r="O891" s="7"/>
      <c r="P891" s="21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 x14ac:dyDescent="0.25">
      <c r="A892" s="14"/>
      <c r="B892" s="14"/>
      <c r="C892" s="14"/>
      <c r="D892" s="14"/>
      <c r="E892" s="25"/>
      <c r="F892" s="25"/>
      <c r="G892" s="14"/>
      <c r="H892" s="14"/>
      <c r="I892" s="14"/>
      <c r="J892" s="14"/>
      <c r="K892" s="14"/>
      <c r="L892" s="7"/>
      <c r="M892" s="14"/>
      <c r="N892" s="14"/>
      <c r="O892" s="7"/>
      <c r="P892" s="21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 x14ac:dyDescent="0.25">
      <c r="A893" s="14"/>
      <c r="B893" s="14"/>
      <c r="C893" s="14"/>
      <c r="D893" s="14"/>
      <c r="E893" s="25"/>
      <c r="F893" s="25"/>
      <c r="G893" s="14"/>
      <c r="H893" s="14"/>
      <c r="I893" s="14"/>
      <c r="J893" s="14"/>
      <c r="K893" s="14"/>
      <c r="L893" s="7"/>
      <c r="M893" s="14"/>
      <c r="N893" s="14"/>
      <c r="O893" s="7"/>
      <c r="P893" s="21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 x14ac:dyDescent="0.25">
      <c r="A894" s="14"/>
      <c r="B894" s="14"/>
      <c r="C894" s="14"/>
      <c r="D894" s="14"/>
      <c r="E894" s="25"/>
      <c r="F894" s="25"/>
      <c r="G894" s="14"/>
      <c r="H894" s="14"/>
      <c r="I894" s="14"/>
      <c r="J894" s="14"/>
      <c r="K894" s="14"/>
      <c r="L894" s="7"/>
      <c r="M894" s="14"/>
      <c r="N894" s="14"/>
      <c r="O894" s="7"/>
      <c r="P894" s="21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 x14ac:dyDescent="0.25">
      <c r="A895" s="14"/>
      <c r="B895" s="14"/>
      <c r="C895" s="14"/>
      <c r="D895" s="14"/>
      <c r="E895" s="25"/>
      <c r="F895" s="25"/>
      <c r="G895" s="14"/>
      <c r="H895" s="14"/>
      <c r="I895" s="14"/>
      <c r="J895" s="14"/>
      <c r="K895" s="14"/>
      <c r="L895" s="7"/>
      <c r="M895" s="14"/>
      <c r="N895" s="14"/>
      <c r="O895" s="7"/>
      <c r="P895" s="21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 x14ac:dyDescent="0.25">
      <c r="A896" s="14"/>
      <c r="B896" s="14"/>
      <c r="C896" s="14"/>
      <c r="D896" s="14"/>
      <c r="E896" s="25"/>
      <c r="F896" s="25"/>
      <c r="G896" s="14"/>
      <c r="H896" s="14"/>
      <c r="I896" s="14"/>
      <c r="J896" s="14"/>
      <c r="K896" s="14"/>
      <c r="L896" s="7"/>
      <c r="M896" s="14"/>
      <c r="N896" s="14"/>
      <c r="O896" s="7"/>
      <c r="P896" s="21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 x14ac:dyDescent="0.25">
      <c r="A897" s="14"/>
      <c r="B897" s="14"/>
      <c r="C897" s="14"/>
      <c r="D897" s="14"/>
      <c r="E897" s="25"/>
      <c r="F897" s="25"/>
      <c r="G897" s="14"/>
      <c r="H897" s="14"/>
      <c r="I897" s="14"/>
      <c r="J897" s="14"/>
      <c r="K897" s="14"/>
      <c r="L897" s="7"/>
      <c r="M897" s="14"/>
      <c r="N897" s="14"/>
      <c r="O897" s="7"/>
      <c r="P897" s="21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 x14ac:dyDescent="0.25">
      <c r="A898" s="14"/>
      <c r="B898" s="14"/>
      <c r="C898" s="14"/>
      <c r="D898" s="14"/>
      <c r="E898" s="25"/>
      <c r="F898" s="25"/>
      <c r="G898" s="14"/>
      <c r="H898" s="14"/>
      <c r="I898" s="14"/>
      <c r="J898" s="14"/>
      <c r="K898" s="14"/>
      <c r="L898" s="7"/>
      <c r="M898" s="14"/>
      <c r="N898" s="14"/>
      <c r="O898" s="7"/>
      <c r="P898" s="21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 x14ac:dyDescent="0.25">
      <c r="A899" s="14"/>
      <c r="B899" s="14"/>
      <c r="C899" s="14"/>
      <c r="D899" s="14"/>
      <c r="E899" s="25"/>
      <c r="F899" s="25"/>
      <c r="G899" s="14"/>
      <c r="H899" s="14"/>
      <c r="I899" s="14"/>
      <c r="J899" s="14"/>
      <c r="K899" s="14"/>
      <c r="L899" s="7"/>
      <c r="M899" s="14"/>
      <c r="N899" s="14"/>
      <c r="O899" s="7"/>
      <c r="P899" s="21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 x14ac:dyDescent="0.25">
      <c r="A900" s="14"/>
      <c r="B900" s="14"/>
      <c r="C900" s="14"/>
      <c r="D900" s="14"/>
      <c r="E900" s="25"/>
      <c r="F900" s="25"/>
      <c r="G900" s="14"/>
      <c r="H900" s="14"/>
      <c r="I900" s="14"/>
      <c r="J900" s="14"/>
      <c r="K900" s="14"/>
      <c r="L900" s="7"/>
      <c r="M900" s="14"/>
      <c r="N900" s="14"/>
      <c r="O900" s="7"/>
      <c r="P900" s="21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 x14ac:dyDescent="0.25">
      <c r="A901" s="14"/>
      <c r="B901" s="14"/>
      <c r="C901" s="14"/>
      <c r="D901" s="14"/>
      <c r="E901" s="25"/>
      <c r="F901" s="25"/>
      <c r="G901" s="14"/>
      <c r="H901" s="14"/>
      <c r="I901" s="14"/>
      <c r="J901" s="14"/>
      <c r="K901" s="14"/>
      <c r="L901" s="7"/>
      <c r="M901" s="14"/>
      <c r="N901" s="14"/>
      <c r="O901" s="7"/>
      <c r="P901" s="21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 x14ac:dyDescent="0.25">
      <c r="A902" s="14"/>
      <c r="B902" s="14"/>
      <c r="C902" s="14"/>
      <c r="D902" s="14"/>
      <c r="E902" s="25"/>
      <c r="F902" s="25"/>
      <c r="G902" s="14"/>
      <c r="H902" s="14"/>
      <c r="I902" s="14"/>
      <c r="J902" s="14"/>
      <c r="K902" s="14"/>
      <c r="L902" s="7"/>
      <c r="M902" s="14"/>
      <c r="N902" s="14"/>
      <c r="O902" s="7"/>
      <c r="P902" s="21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 x14ac:dyDescent="0.25">
      <c r="A903" s="14"/>
      <c r="B903" s="14"/>
      <c r="C903" s="14"/>
      <c r="D903" s="14"/>
      <c r="E903" s="25"/>
      <c r="F903" s="25"/>
      <c r="G903" s="14"/>
      <c r="H903" s="14"/>
      <c r="I903" s="14"/>
      <c r="J903" s="14"/>
      <c r="K903" s="14"/>
      <c r="L903" s="7"/>
      <c r="M903" s="14"/>
      <c r="N903" s="14"/>
      <c r="O903" s="7"/>
      <c r="P903" s="21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 x14ac:dyDescent="0.25">
      <c r="A904" s="14"/>
      <c r="B904" s="14"/>
      <c r="C904" s="14"/>
      <c r="D904" s="14"/>
      <c r="E904" s="25"/>
      <c r="F904" s="25"/>
      <c r="G904" s="14"/>
      <c r="H904" s="14"/>
      <c r="I904" s="14"/>
      <c r="J904" s="14"/>
      <c r="K904" s="14"/>
      <c r="L904" s="7"/>
      <c r="M904" s="14"/>
      <c r="N904" s="14"/>
      <c r="O904" s="7"/>
      <c r="P904" s="21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 x14ac:dyDescent="0.25">
      <c r="A905" s="14"/>
      <c r="B905" s="14"/>
      <c r="C905" s="14"/>
      <c r="D905" s="14"/>
      <c r="E905" s="25"/>
      <c r="F905" s="25"/>
      <c r="G905" s="14"/>
      <c r="H905" s="14"/>
      <c r="I905" s="14"/>
      <c r="J905" s="14"/>
      <c r="K905" s="14"/>
      <c r="L905" s="7"/>
      <c r="M905" s="14"/>
      <c r="N905" s="14"/>
      <c r="O905" s="7"/>
      <c r="P905" s="21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 x14ac:dyDescent="0.25">
      <c r="A906" s="14"/>
      <c r="B906" s="14"/>
      <c r="C906" s="14"/>
      <c r="D906" s="14"/>
      <c r="E906" s="25"/>
      <c r="F906" s="25"/>
      <c r="G906" s="14"/>
      <c r="H906" s="14"/>
      <c r="I906" s="14"/>
      <c r="J906" s="14"/>
      <c r="K906" s="14"/>
      <c r="L906" s="7"/>
      <c r="M906" s="14"/>
      <c r="N906" s="14"/>
      <c r="O906" s="7"/>
      <c r="P906" s="21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 x14ac:dyDescent="0.25">
      <c r="A907" s="14"/>
      <c r="B907" s="14"/>
      <c r="C907" s="14"/>
      <c r="D907" s="14"/>
      <c r="E907" s="25"/>
      <c r="F907" s="25"/>
      <c r="G907" s="14"/>
      <c r="H907" s="14"/>
      <c r="I907" s="14"/>
      <c r="J907" s="14"/>
      <c r="K907" s="14"/>
      <c r="L907" s="7"/>
      <c r="M907" s="14"/>
      <c r="N907" s="14"/>
      <c r="O907" s="7"/>
      <c r="P907" s="21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 x14ac:dyDescent="0.25">
      <c r="A908" s="14"/>
      <c r="B908" s="14"/>
      <c r="C908" s="14"/>
      <c r="D908" s="14"/>
      <c r="E908" s="25"/>
      <c r="F908" s="25"/>
      <c r="G908" s="14"/>
      <c r="H908" s="14"/>
      <c r="I908" s="14"/>
      <c r="J908" s="14"/>
      <c r="K908" s="14"/>
      <c r="L908" s="7"/>
      <c r="M908" s="14"/>
      <c r="N908" s="14"/>
      <c r="O908" s="7"/>
      <c r="P908" s="21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 x14ac:dyDescent="0.25">
      <c r="A909" s="14"/>
      <c r="B909" s="14"/>
      <c r="C909" s="14"/>
      <c r="D909" s="14"/>
      <c r="E909" s="25"/>
      <c r="F909" s="25"/>
      <c r="G909" s="14"/>
      <c r="H909" s="14"/>
      <c r="I909" s="14"/>
      <c r="J909" s="14"/>
      <c r="K909" s="14"/>
      <c r="L909" s="7"/>
      <c r="M909" s="14"/>
      <c r="N909" s="14"/>
      <c r="O909" s="7"/>
      <c r="P909" s="21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 x14ac:dyDescent="0.25">
      <c r="A910" s="14"/>
      <c r="B910" s="14"/>
      <c r="C910" s="14"/>
      <c r="D910" s="14"/>
      <c r="E910" s="25"/>
      <c r="F910" s="25"/>
      <c r="G910" s="14"/>
      <c r="H910" s="14"/>
      <c r="I910" s="14"/>
      <c r="J910" s="14"/>
      <c r="K910" s="14"/>
      <c r="L910" s="7"/>
      <c r="M910" s="14"/>
      <c r="N910" s="14"/>
      <c r="O910" s="7"/>
      <c r="P910" s="21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 x14ac:dyDescent="0.25">
      <c r="A911" s="14"/>
      <c r="B911" s="14"/>
      <c r="C911" s="14"/>
      <c r="D911" s="14"/>
      <c r="E911" s="25"/>
      <c r="F911" s="25"/>
      <c r="G911" s="14"/>
      <c r="H911" s="14"/>
      <c r="I911" s="14"/>
      <c r="J911" s="14"/>
      <c r="K911" s="14"/>
      <c r="L911" s="7"/>
      <c r="M911" s="14"/>
      <c r="N911" s="14"/>
      <c r="O911" s="7"/>
      <c r="P911" s="21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 x14ac:dyDescent="0.25">
      <c r="A912" s="14"/>
      <c r="B912" s="14"/>
      <c r="C912" s="14"/>
      <c r="D912" s="14"/>
      <c r="E912" s="25"/>
      <c r="F912" s="25"/>
      <c r="G912" s="14"/>
      <c r="H912" s="14"/>
      <c r="I912" s="14"/>
      <c r="J912" s="14"/>
      <c r="K912" s="14"/>
      <c r="L912" s="7"/>
      <c r="M912" s="14"/>
      <c r="N912" s="14"/>
      <c r="O912" s="7"/>
      <c r="P912" s="21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 x14ac:dyDescent="0.25">
      <c r="A913" s="14"/>
      <c r="B913" s="14"/>
      <c r="C913" s="14"/>
      <c r="D913" s="14"/>
      <c r="E913" s="25"/>
      <c r="F913" s="25"/>
      <c r="G913" s="14"/>
      <c r="H913" s="14"/>
      <c r="I913" s="14"/>
      <c r="J913" s="14"/>
      <c r="K913" s="14"/>
      <c r="L913" s="7"/>
      <c r="M913" s="14"/>
      <c r="N913" s="14"/>
      <c r="O913" s="7"/>
      <c r="P913" s="21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 x14ac:dyDescent="0.25">
      <c r="A914" s="14"/>
      <c r="B914" s="14"/>
      <c r="C914" s="14"/>
      <c r="D914" s="14"/>
      <c r="E914" s="25"/>
      <c r="F914" s="25"/>
      <c r="G914" s="14"/>
      <c r="H914" s="14"/>
      <c r="I914" s="14"/>
      <c r="J914" s="14"/>
      <c r="K914" s="14"/>
      <c r="L914" s="7"/>
      <c r="M914" s="14"/>
      <c r="N914" s="14"/>
      <c r="O914" s="7"/>
      <c r="P914" s="21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 x14ac:dyDescent="0.25">
      <c r="A915" s="14"/>
      <c r="B915" s="14"/>
      <c r="C915" s="14"/>
      <c r="D915" s="14"/>
      <c r="E915" s="25"/>
      <c r="F915" s="25"/>
      <c r="G915" s="14"/>
      <c r="H915" s="14"/>
      <c r="I915" s="14"/>
      <c r="J915" s="14"/>
      <c r="K915" s="14"/>
      <c r="L915" s="7"/>
      <c r="M915" s="14"/>
      <c r="N915" s="14"/>
      <c r="O915" s="7"/>
      <c r="P915" s="21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 x14ac:dyDescent="0.25">
      <c r="A916" s="14"/>
      <c r="B916" s="14"/>
      <c r="C916" s="14"/>
      <c r="D916" s="14"/>
      <c r="E916" s="25"/>
      <c r="F916" s="25"/>
      <c r="G916" s="14"/>
      <c r="H916" s="14"/>
      <c r="I916" s="14"/>
      <c r="J916" s="14"/>
      <c r="K916" s="14"/>
      <c r="L916" s="7"/>
      <c r="M916" s="14"/>
      <c r="N916" s="14"/>
      <c r="O916" s="7"/>
      <c r="P916" s="21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 x14ac:dyDescent="0.25">
      <c r="A917" s="14"/>
      <c r="B917" s="14"/>
      <c r="C917" s="14"/>
      <c r="D917" s="14"/>
      <c r="E917" s="25"/>
      <c r="F917" s="25"/>
      <c r="G917" s="14"/>
      <c r="H917" s="14"/>
      <c r="I917" s="14"/>
      <c r="J917" s="14"/>
      <c r="K917" s="14"/>
      <c r="L917" s="7"/>
      <c r="M917" s="14"/>
      <c r="N917" s="14"/>
      <c r="O917" s="7"/>
      <c r="P917" s="21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 x14ac:dyDescent="0.25">
      <c r="A918" s="14"/>
      <c r="B918" s="14"/>
      <c r="C918" s="14"/>
      <c r="D918" s="14"/>
      <c r="E918" s="25"/>
      <c r="F918" s="25"/>
      <c r="G918" s="14"/>
      <c r="H918" s="14"/>
      <c r="I918" s="14"/>
      <c r="J918" s="14"/>
      <c r="K918" s="14"/>
      <c r="L918" s="7"/>
      <c r="M918" s="14"/>
      <c r="N918" s="14"/>
      <c r="O918" s="7"/>
      <c r="P918" s="21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 x14ac:dyDescent="0.25">
      <c r="A919" s="14"/>
      <c r="B919" s="14"/>
      <c r="C919" s="14"/>
      <c r="D919" s="14"/>
      <c r="E919" s="25"/>
      <c r="F919" s="25"/>
      <c r="G919" s="14"/>
      <c r="H919" s="14"/>
      <c r="I919" s="14"/>
      <c r="J919" s="14"/>
      <c r="K919" s="14"/>
      <c r="L919" s="7"/>
      <c r="M919" s="14"/>
      <c r="N919" s="14"/>
      <c r="O919" s="7"/>
      <c r="P919" s="21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 x14ac:dyDescent="0.25">
      <c r="A920" s="14"/>
      <c r="B920" s="14"/>
      <c r="C920" s="14"/>
      <c r="D920" s="14"/>
      <c r="E920" s="25"/>
      <c r="F920" s="25"/>
      <c r="G920" s="14"/>
      <c r="H920" s="14"/>
      <c r="I920" s="14"/>
      <c r="J920" s="14"/>
      <c r="K920" s="14"/>
      <c r="L920" s="7"/>
      <c r="M920" s="14"/>
      <c r="N920" s="14"/>
      <c r="O920" s="7"/>
      <c r="P920" s="21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 x14ac:dyDescent="0.25">
      <c r="A921" s="14"/>
      <c r="B921" s="14"/>
      <c r="C921" s="14"/>
      <c r="D921" s="14"/>
      <c r="E921" s="25"/>
      <c r="F921" s="25"/>
      <c r="G921" s="14"/>
      <c r="H921" s="14"/>
      <c r="I921" s="14"/>
      <c r="J921" s="14"/>
      <c r="K921" s="14"/>
      <c r="L921" s="7"/>
      <c r="M921" s="14"/>
      <c r="N921" s="14"/>
      <c r="O921" s="7"/>
      <c r="P921" s="21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 x14ac:dyDescent="0.25">
      <c r="A922" s="14"/>
      <c r="B922" s="14"/>
      <c r="C922" s="14"/>
      <c r="D922" s="14"/>
      <c r="E922" s="25"/>
      <c r="F922" s="25"/>
      <c r="G922" s="14"/>
      <c r="H922" s="14"/>
      <c r="I922" s="14"/>
      <c r="J922" s="14"/>
      <c r="K922" s="14"/>
      <c r="L922" s="7"/>
      <c r="M922" s="14"/>
      <c r="N922" s="14"/>
      <c r="O922" s="7"/>
      <c r="P922" s="21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 x14ac:dyDescent="0.25">
      <c r="A923" s="14"/>
      <c r="B923" s="14"/>
      <c r="C923" s="14"/>
      <c r="D923" s="14"/>
      <c r="E923" s="25"/>
      <c r="F923" s="25"/>
      <c r="G923" s="14"/>
      <c r="H923" s="14"/>
      <c r="I923" s="14"/>
      <c r="J923" s="14"/>
      <c r="K923" s="14"/>
      <c r="L923" s="7"/>
      <c r="M923" s="14"/>
      <c r="N923" s="14"/>
      <c r="O923" s="7"/>
      <c r="P923" s="21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 x14ac:dyDescent="0.25">
      <c r="A924" s="14"/>
      <c r="B924" s="14"/>
      <c r="C924" s="14"/>
      <c r="D924" s="14"/>
      <c r="E924" s="25"/>
      <c r="F924" s="25"/>
      <c r="G924" s="14"/>
      <c r="H924" s="14"/>
      <c r="I924" s="14"/>
      <c r="J924" s="14"/>
      <c r="K924" s="14"/>
      <c r="L924" s="7"/>
      <c r="M924" s="14"/>
      <c r="N924" s="14"/>
      <c r="O924" s="7"/>
      <c r="P924" s="21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 x14ac:dyDescent="0.25">
      <c r="A925" s="14"/>
      <c r="B925" s="14"/>
      <c r="C925" s="14"/>
      <c r="D925" s="14"/>
      <c r="E925" s="25"/>
      <c r="F925" s="25"/>
      <c r="G925" s="14"/>
      <c r="H925" s="14"/>
      <c r="I925" s="14"/>
      <c r="J925" s="14"/>
      <c r="K925" s="14"/>
      <c r="L925" s="7"/>
      <c r="M925" s="14"/>
      <c r="N925" s="14"/>
      <c r="O925" s="7"/>
      <c r="P925" s="21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 x14ac:dyDescent="0.25">
      <c r="A926" s="14"/>
      <c r="B926" s="14"/>
      <c r="C926" s="14"/>
      <c r="D926" s="14"/>
      <c r="E926" s="25"/>
      <c r="F926" s="25"/>
      <c r="G926" s="14"/>
      <c r="H926" s="14"/>
      <c r="I926" s="14"/>
      <c r="J926" s="14"/>
      <c r="K926" s="14"/>
      <c r="L926" s="7"/>
      <c r="M926" s="14"/>
      <c r="N926" s="14"/>
      <c r="O926" s="7"/>
      <c r="P926" s="21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 x14ac:dyDescent="0.25">
      <c r="A927" s="14"/>
      <c r="B927" s="14"/>
      <c r="C927" s="14"/>
      <c r="D927" s="14"/>
      <c r="E927" s="25"/>
      <c r="F927" s="25"/>
      <c r="G927" s="14"/>
      <c r="H927" s="14"/>
      <c r="I927" s="14"/>
      <c r="J927" s="14"/>
      <c r="K927" s="14"/>
      <c r="L927" s="7"/>
      <c r="M927" s="14"/>
      <c r="N927" s="14"/>
      <c r="O927" s="7"/>
      <c r="P927" s="21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 x14ac:dyDescent="0.25">
      <c r="A928" s="14"/>
      <c r="B928" s="14"/>
      <c r="C928" s="14"/>
      <c r="D928" s="14"/>
      <c r="E928" s="25"/>
      <c r="F928" s="25"/>
      <c r="G928" s="14"/>
      <c r="H928" s="14"/>
      <c r="I928" s="14"/>
      <c r="J928" s="14"/>
      <c r="K928" s="14"/>
      <c r="L928" s="7"/>
      <c r="M928" s="14"/>
      <c r="N928" s="14"/>
      <c r="O928" s="7"/>
      <c r="P928" s="21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 x14ac:dyDescent="0.25">
      <c r="A929" s="14"/>
      <c r="B929" s="14"/>
      <c r="C929" s="14"/>
      <c r="D929" s="14"/>
      <c r="E929" s="25"/>
      <c r="F929" s="25"/>
      <c r="G929" s="14"/>
      <c r="H929" s="14"/>
      <c r="I929" s="14"/>
      <c r="J929" s="14"/>
      <c r="K929" s="14"/>
      <c r="L929" s="7"/>
      <c r="M929" s="14"/>
      <c r="N929" s="14"/>
      <c r="O929" s="7"/>
      <c r="P929" s="21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 x14ac:dyDescent="0.25">
      <c r="A930" s="14"/>
      <c r="B930" s="14"/>
      <c r="C930" s="14"/>
      <c r="D930" s="14"/>
      <c r="E930" s="25"/>
      <c r="F930" s="25"/>
      <c r="G930" s="14"/>
      <c r="H930" s="14"/>
      <c r="I930" s="14"/>
      <c r="J930" s="14"/>
      <c r="K930" s="14"/>
      <c r="L930" s="7"/>
      <c r="M930" s="14"/>
      <c r="N930" s="14"/>
      <c r="O930" s="7"/>
      <c r="P930" s="21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 x14ac:dyDescent="0.25">
      <c r="A931" s="14"/>
      <c r="B931" s="14"/>
      <c r="C931" s="14"/>
      <c r="D931" s="14"/>
      <c r="E931" s="25"/>
      <c r="F931" s="25"/>
      <c r="G931" s="14"/>
      <c r="H931" s="14"/>
      <c r="I931" s="14"/>
      <c r="J931" s="14"/>
      <c r="K931" s="14"/>
      <c r="L931" s="7"/>
      <c r="M931" s="14"/>
      <c r="N931" s="14"/>
      <c r="O931" s="7"/>
      <c r="P931" s="21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 x14ac:dyDescent="0.25">
      <c r="A932" s="14"/>
      <c r="B932" s="14"/>
      <c r="C932" s="14"/>
      <c r="D932" s="14"/>
      <c r="E932" s="25"/>
      <c r="F932" s="25"/>
      <c r="G932" s="14"/>
      <c r="H932" s="14"/>
      <c r="I932" s="14"/>
      <c r="J932" s="14"/>
      <c r="K932" s="14"/>
      <c r="L932" s="7"/>
      <c r="M932" s="14"/>
      <c r="N932" s="14"/>
      <c r="O932" s="7"/>
      <c r="P932" s="21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 x14ac:dyDescent="0.25">
      <c r="A933" s="14"/>
      <c r="B933" s="14"/>
      <c r="C933" s="14"/>
      <c r="D933" s="14"/>
      <c r="E933" s="25"/>
      <c r="F933" s="25"/>
      <c r="G933" s="14"/>
      <c r="H933" s="14"/>
      <c r="I933" s="14"/>
      <c r="J933" s="14"/>
      <c r="K933" s="14"/>
      <c r="L933" s="7"/>
      <c r="M933" s="14"/>
      <c r="N933" s="14"/>
      <c r="O933" s="7"/>
      <c r="P933" s="21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 x14ac:dyDescent="0.25">
      <c r="A934" s="14"/>
      <c r="B934" s="14"/>
      <c r="C934" s="14"/>
      <c r="D934" s="14"/>
      <c r="E934" s="25"/>
      <c r="F934" s="25"/>
      <c r="G934" s="14"/>
      <c r="H934" s="14"/>
      <c r="I934" s="14"/>
      <c r="J934" s="14"/>
      <c r="K934" s="14"/>
      <c r="L934" s="7"/>
      <c r="M934" s="14"/>
      <c r="N934" s="14"/>
      <c r="O934" s="7"/>
      <c r="P934" s="21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 x14ac:dyDescent="0.25">
      <c r="A935" s="14"/>
      <c r="B935" s="14"/>
      <c r="C935" s="14"/>
      <c r="D935" s="14"/>
      <c r="E935" s="25"/>
      <c r="F935" s="25"/>
      <c r="G935" s="14"/>
      <c r="H935" s="14"/>
      <c r="I935" s="14"/>
      <c r="J935" s="14"/>
      <c r="K935" s="14"/>
      <c r="L935" s="7"/>
      <c r="M935" s="14"/>
      <c r="N935" s="14"/>
      <c r="O935" s="7"/>
      <c r="P935" s="21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 x14ac:dyDescent="0.25">
      <c r="A936" s="14"/>
      <c r="B936" s="14"/>
      <c r="C936" s="14"/>
      <c r="D936" s="14"/>
      <c r="E936" s="25"/>
      <c r="F936" s="25"/>
      <c r="G936" s="14"/>
      <c r="H936" s="14"/>
      <c r="I936" s="14"/>
      <c r="J936" s="14"/>
      <c r="K936" s="14"/>
      <c r="L936" s="7"/>
      <c r="M936" s="14"/>
      <c r="N936" s="14"/>
      <c r="O936" s="7"/>
      <c r="P936" s="21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 x14ac:dyDescent="0.25">
      <c r="A937" s="14"/>
      <c r="B937" s="14"/>
      <c r="C937" s="14"/>
      <c r="D937" s="14"/>
      <c r="E937" s="25"/>
      <c r="F937" s="25"/>
      <c r="G937" s="14"/>
      <c r="H937" s="14"/>
      <c r="I937" s="14"/>
      <c r="J937" s="14"/>
      <c r="K937" s="14"/>
      <c r="L937" s="7"/>
      <c r="M937" s="14"/>
      <c r="N937" s="14"/>
      <c r="O937" s="7"/>
      <c r="P937" s="21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 x14ac:dyDescent="0.25">
      <c r="A938" s="14"/>
      <c r="B938" s="14"/>
      <c r="C938" s="14"/>
      <c r="D938" s="14"/>
      <c r="E938" s="25"/>
      <c r="F938" s="25"/>
      <c r="G938" s="14"/>
      <c r="H938" s="14"/>
      <c r="I938" s="14"/>
      <c r="J938" s="14"/>
      <c r="K938" s="14"/>
      <c r="L938" s="7"/>
      <c r="M938" s="14"/>
      <c r="N938" s="14"/>
      <c r="O938" s="7"/>
      <c r="P938" s="21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 x14ac:dyDescent="0.25">
      <c r="A939" s="14"/>
      <c r="B939" s="14"/>
      <c r="C939" s="14"/>
      <c r="D939" s="14"/>
      <c r="E939" s="25"/>
      <c r="F939" s="25"/>
      <c r="G939" s="14"/>
      <c r="H939" s="14"/>
      <c r="I939" s="14"/>
      <c r="J939" s="14"/>
      <c r="K939" s="14"/>
      <c r="L939" s="7"/>
      <c r="M939" s="14"/>
      <c r="N939" s="14"/>
      <c r="O939" s="7"/>
      <c r="P939" s="21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 x14ac:dyDescent="0.25">
      <c r="A940" s="14"/>
      <c r="B940" s="14"/>
      <c r="C940" s="14"/>
      <c r="D940" s="14"/>
      <c r="E940" s="25"/>
      <c r="F940" s="25"/>
      <c r="G940" s="14"/>
      <c r="H940" s="14"/>
      <c r="I940" s="14"/>
      <c r="J940" s="14"/>
      <c r="K940" s="14"/>
      <c r="L940" s="7"/>
      <c r="M940" s="14"/>
      <c r="N940" s="14"/>
      <c r="O940" s="7"/>
      <c r="P940" s="21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 x14ac:dyDescent="0.25">
      <c r="A941" s="14"/>
      <c r="B941" s="14"/>
      <c r="C941" s="14"/>
      <c r="D941" s="14"/>
      <c r="E941" s="25"/>
      <c r="F941" s="25"/>
      <c r="G941" s="14"/>
      <c r="H941" s="14"/>
      <c r="I941" s="14"/>
      <c r="J941" s="14"/>
      <c r="K941" s="14"/>
      <c r="L941" s="7"/>
      <c r="M941" s="14"/>
      <c r="N941" s="14"/>
      <c r="O941" s="7"/>
      <c r="P941" s="21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 x14ac:dyDescent="0.25">
      <c r="A942" s="14"/>
      <c r="B942" s="14"/>
      <c r="C942" s="14"/>
      <c r="D942" s="14"/>
      <c r="E942" s="25"/>
      <c r="F942" s="25"/>
      <c r="G942" s="14"/>
      <c r="H942" s="14"/>
      <c r="I942" s="14"/>
      <c r="J942" s="14"/>
      <c r="K942" s="14"/>
      <c r="L942" s="7"/>
      <c r="M942" s="14"/>
      <c r="N942" s="14"/>
      <c r="O942" s="7"/>
      <c r="P942" s="21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 x14ac:dyDescent="0.25">
      <c r="A943" s="14"/>
      <c r="B943" s="14"/>
      <c r="C943" s="14"/>
      <c r="D943" s="14"/>
      <c r="E943" s="25"/>
      <c r="F943" s="25"/>
      <c r="G943" s="14"/>
      <c r="H943" s="14"/>
      <c r="I943" s="14"/>
      <c r="J943" s="14"/>
      <c r="K943" s="14"/>
      <c r="L943" s="7"/>
      <c r="M943" s="14"/>
      <c r="N943" s="14"/>
      <c r="O943" s="7"/>
      <c r="P943" s="21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 x14ac:dyDescent="0.25">
      <c r="A944" s="14"/>
      <c r="B944" s="14"/>
      <c r="C944" s="14"/>
      <c r="D944" s="14"/>
      <c r="E944" s="25"/>
      <c r="F944" s="25"/>
      <c r="G944" s="14"/>
      <c r="H944" s="14"/>
      <c r="I944" s="14"/>
      <c r="J944" s="14"/>
      <c r="K944" s="14"/>
      <c r="L944" s="7"/>
      <c r="M944" s="14"/>
      <c r="N944" s="14"/>
      <c r="O944" s="7"/>
      <c r="P944" s="21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 x14ac:dyDescent="0.25">
      <c r="A945" s="14"/>
      <c r="B945" s="14"/>
      <c r="C945" s="14"/>
      <c r="D945" s="14"/>
      <c r="E945" s="25"/>
      <c r="F945" s="25"/>
      <c r="G945" s="14"/>
      <c r="H945" s="14"/>
      <c r="I945" s="14"/>
      <c r="J945" s="14"/>
      <c r="K945" s="14"/>
      <c r="L945" s="7"/>
      <c r="M945" s="14"/>
      <c r="N945" s="14"/>
      <c r="O945" s="7"/>
      <c r="P945" s="21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 x14ac:dyDescent="0.25">
      <c r="A946" s="14"/>
      <c r="B946" s="14"/>
      <c r="C946" s="14"/>
      <c r="D946" s="14"/>
      <c r="E946" s="25"/>
      <c r="F946" s="25"/>
      <c r="G946" s="14"/>
      <c r="H946" s="14"/>
      <c r="I946" s="14"/>
      <c r="J946" s="14"/>
      <c r="K946" s="14"/>
      <c r="L946" s="7"/>
      <c r="M946" s="14"/>
      <c r="N946" s="14"/>
      <c r="O946" s="7"/>
      <c r="P946" s="21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 x14ac:dyDescent="0.25">
      <c r="A947" s="14"/>
      <c r="B947" s="14"/>
      <c r="C947" s="14"/>
      <c r="D947" s="14"/>
      <c r="E947" s="25"/>
      <c r="F947" s="25"/>
      <c r="G947" s="14"/>
      <c r="H947" s="14"/>
      <c r="I947" s="14"/>
      <c r="J947" s="14"/>
      <c r="K947" s="14"/>
      <c r="L947" s="7"/>
      <c r="M947" s="14"/>
      <c r="N947" s="14"/>
      <c r="O947" s="7"/>
      <c r="P947" s="21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 x14ac:dyDescent="0.25">
      <c r="A948" s="14"/>
      <c r="B948" s="14"/>
      <c r="C948" s="14"/>
      <c r="D948" s="14"/>
      <c r="E948" s="25"/>
      <c r="F948" s="25"/>
      <c r="G948" s="14"/>
      <c r="H948" s="14"/>
      <c r="I948" s="14"/>
      <c r="J948" s="14"/>
      <c r="K948" s="14"/>
      <c r="L948" s="7"/>
      <c r="M948" s="14"/>
      <c r="N948" s="14"/>
      <c r="O948" s="7"/>
      <c r="P948" s="21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 x14ac:dyDescent="0.25">
      <c r="A949" s="14"/>
      <c r="B949" s="14"/>
      <c r="C949" s="14"/>
      <c r="D949" s="14"/>
      <c r="E949" s="25"/>
      <c r="F949" s="25"/>
      <c r="G949" s="14"/>
      <c r="H949" s="14"/>
      <c r="I949" s="14"/>
      <c r="J949" s="14"/>
      <c r="K949" s="14"/>
      <c r="L949" s="7"/>
      <c r="M949" s="14"/>
      <c r="N949" s="14"/>
      <c r="O949" s="7"/>
      <c r="P949" s="21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 x14ac:dyDescent="0.25">
      <c r="A950" s="14"/>
      <c r="B950" s="14"/>
      <c r="C950" s="14"/>
      <c r="D950" s="14"/>
      <c r="E950" s="25"/>
      <c r="F950" s="25"/>
      <c r="G950" s="14"/>
      <c r="H950" s="14"/>
      <c r="I950" s="14"/>
      <c r="J950" s="14"/>
      <c r="K950" s="14"/>
      <c r="L950" s="7"/>
      <c r="M950" s="14"/>
      <c r="N950" s="14"/>
      <c r="O950" s="7"/>
      <c r="P950" s="21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 x14ac:dyDescent="0.25">
      <c r="A951" s="14"/>
      <c r="B951" s="14"/>
      <c r="C951" s="14"/>
      <c r="D951" s="14"/>
      <c r="E951" s="25"/>
      <c r="F951" s="25"/>
      <c r="G951" s="14"/>
      <c r="H951" s="14"/>
      <c r="I951" s="14"/>
      <c r="J951" s="14"/>
      <c r="K951" s="14"/>
      <c r="L951" s="7"/>
      <c r="M951" s="14"/>
      <c r="N951" s="14"/>
      <c r="O951" s="7"/>
      <c r="P951" s="21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 x14ac:dyDescent="0.25">
      <c r="A952" s="14"/>
      <c r="B952" s="14"/>
      <c r="C952" s="14"/>
      <c r="D952" s="14"/>
      <c r="E952" s="25"/>
      <c r="F952" s="25"/>
      <c r="G952" s="14"/>
      <c r="H952" s="14"/>
      <c r="I952" s="14"/>
      <c r="J952" s="14"/>
      <c r="K952" s="14"/>
      <c r="L952" s="7"/>
      <c r="M952" s="14"/>
      <c r="N952" s="14"/>
      <c r="O952" s="7"/>
      <c r="P952" s="21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25" customHeight="1" x14ac:dyDescent="0.25">
      <c r="A953" s="14"/>
      <c r="B953" s="14"/>
      <c r="C953" s="14"/>
      <c r="D953" s="14"/>
      <c r="E953" s="25"/>
      <c r="F953" s="25"/>
      <c r="G953" s="14"/>
      <c r="H953" s="14"/>
      <c r="I953" s="14"/>
      <c r="J953" s="14"/>
      <c r="K953" s="14"/>
      <c r="L953" s="7"/>
      <c r="M953" s="14"/>
      <c r="N953" s="14"/>
      <c r="O953" s="7"/>
      <c r="P953" s="21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25" customHeight="1" x14ac:dyDescent="0.25">
      <c r="A954" s="14"/>
      <c r="B954" s="14"/>
      <c r="C954" s="14"/>
      <c r="D954" s="14"/>
      <c r="E954" s="25"/>
      <c r="F954" s="25"/>
      <c r="G954" s="14"/>
      <c r="H954" s="14"/>
      <c r="I954" s="14"/>
      <c r="J954" s="14"/>
      <c r="K954" s="14"/>
      <c r="L954" s="7"/>
      <c r="M954" s="14"/>
      <c r="N954" s="14"/>
      <c r="O954" s="7"/>
      <c r="P954" s="21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25" customHeight="1" x14ac:dyDescent="0.25">
      <c r="A955" s="14"/>
      <c r="B955" s="14"/>
      <c r="C955" s="14"/>
      <c r="D955" s="14"/>
      <c r="E955" s="25"/>
      <c r="F955" s="25"/>
      <c r="G955" s="14"/>
      <c r="H955" s="14"/>
      <c r="I955" s="14"/>
      <c r="J955" s="14"/>
      <c r="K955" s="14"/>
      <c r="L955" s="7"/>
      <c r="M955" s="14"/>
      <c r="N955" s="14"/>
      <c r="O955" s="7"/>
      <c r="P955" s="21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25" customHeight="1" x14ac:dyDescent="0.25">
      <c r="A956" s="14"/>
      <c r="B956" s="14"/>
      <c r="C956" s="14"/>
      <c r="D956" s="14"/>
      <c r="E956" s="25"/>
      <c r="F956" s="25"/>
      <c r="G956" s="14"/>
      <c r="H956" s="14"/>
      <c r="I956" s="14"/>
      <c r="J956" s="14"/>
      <c r="K956" s="14"/>
      <c r="L956" s="7"/>
      <c r="M956" s="14"/>
      <c r="N956" s="14"/>
      <c r="O956" s="7"/>
      <c r="P956" s="21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25" customHeight="1" x14ac:dyDescent="0.25">
      <c r="A957" s="14"/>
      <c r="B957" s="14"/>
      <c r="C957" s="14"/>
      <c r="D957" s="14"/>
      <c r="E957" s="25"/>
      <c r="F957" s="25"/>
      <c r="G957" s="14"/>
      <c r="H957" s="14"/>
      <c r="I957" s="14"/>
      <c r="J957" s="14"/>
      <c r="K957" s="14"/>
      <c r="L957" s="7"/>
      <c r="M957" s="14"/>
      <c r="N957" s="14"/>
      <c r="O957" s="7"/>
      <c r="P957" s="21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25" customHeight="1" x14ac:dyDescent="0.25">
      <c r="A958" s="14"/>
      <c r="B958" s="14"/>
      <c r="C958" s="14"/>
      <c r="D958" s="14"/>
      <c r="E958" s="25"/>
      <c r="F958" s="25"/>
      <c r="G958" s="14"/>
      <c r="H958" s="14"/>
      <c r="I958" s="14"/>
      <c r="J958" s="14"/>
      <c r="K958" s="14"/>
      <c r="L958" s="7"/>
      <c r="M958" s="14"/>
      <c r="N958" s="14"/>
      <c r="O958" s="7"/>
      <c r="P958" s="21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25" customHeight="1" x14ac:dyDescent="0.25">
      <c r="A959" s="14"/>
      <c r="B959" s="14"/>
      <c r="C959" s="14"/>
      <c r="D959" s="14"/>
      <c r="E959" s="25"/>
      <c r="F959" s="25"/>
      <c r="G959" s="14"/>
      <c r="H959" s="14"/>
      <c r="I959" s="14"/>
      <c r="J959" s="14"/>
      <c r="K959" s="14"/>
      <c r="L959" s="7"/>
      <c r="M959" s="14"/>
      <c r="N959" s="14"/>
      <c r="O959" s="7"/>
      <c r="P959" s="21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25" customHeight="1" x14ac:dyDescent="0.25">
      <c r="A960" s="14"/>
      <c r="B960" s="14"/>
      <c r="C960" s="14"/>
      <c r="D960" s="14"/>
      <c r="E960" s="25"/>
      <c r="F960" s="25"/>
      <c r="G960" s="14"/>
      <c r="H960" s="14"/>
      <c r="I960" s="14"/>
      <c r="J960" s="14"/>
      <c r="K960" s="14"/>
      <c r="L960" s="7"/>
      <c r="M960" s="14"/>
      <c r="N960" s="14"/>
      <c r="O960" s="7"/>
      <c r="P960" s="21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25" customHeight="1" x14ac:dyDescent="0.25">
      <c r="A961" s="14"/>
      <c r="B961" s="14"/>
      <c r="C961" s="14"/>
      <c r="D961" s="14"/>
      <c r="E961" s="25"/>
      <c r="F961" s="25"/>
      <c r="G961" s="14"/>
      <c r="H961" s="14"/>
      <c r="I961" s="14"/>
      <c r="J961" s="14"/>
      <c r="K961" s="14"/>
      <c r="L961" s="7"/>
      <c r="M961" s="14"/>
      <c r="N961" s="14"/>
      <c r="O961" s="7"/>
      <c r="P961" s="21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25" customHeight="1" x14ac:dyDescent="0.25">
      <c r="A962" s="14"/>
      <c r="B962" s="14"/>
      <c r="C962" s="14"/>
      <c r="D962" s="14"/>
      <c r="E962" s="25"/>
      <c r="F962" s="25"/>
      <c r="G962" s="14"/>
      <c r="H962" s="14"/>
      <c r="I962" s="14"/>
      <c r="J962" s="14"/>
      <c r="K962" s="14"/>
      <c r="L962" s="7"/>
      <c r="M962" s="14"/>
      <c r="N962" s="14"/>
      <c r="O962" s="7"/>
      <c r="P962" s="21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25" customHeight="1" x14ac:dyDescent="0.25">
      <c r="A963" s="14"/>
      <c r="B963" s="14"/>
      <c r="C963" s="14"/>
      <c r="D963" s="14"/>
      <c r="E963" s="25"/>
      <c r="F963" s="25"/>
      <c r="G963" s="14"/>
      <c r="H963" s="14"/>
      <c r="I963" s="14"/>
      <c r="J963" s="14"/>
      <c r="K963" s="14"/>
      <c r="L963" s="7"/>
      <c r="M963" s="14"/>
      <c r="N963" s="14"/>
      <c r="O963" s="7"/>
      <c r="P963" s="21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25" customHeight="1" x14ac:dyDescent="0.25">
      <c r="A964" s="14"/>
      <c r="B964" s="14"/>
      <c r="C964" s="14"/>
      <c r="D964" s="14"/>
      <c r="E964" s="25"/>
      <c r="F964" s="25"/>
      <c r="G964" s="14"/>
      <c r="H964" s="14"/>
      <c r="I964" s="14"/>
      <c r="J964" s="14"/>
      <c r="K964" s="14"/>
      <c r="L964" s="7"/>
      <c r="M964" s="14"/>
      <c r="N964" s="14"/>
      <c r="O964" s="7"/>
      <c r="P964" s="21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25" customHeight="1" x14ac:dyDescent="0.25">
      <c r="A965" s="14"/>
      <c r="B965" s="14"/>
      <c r="C965" s="14"/>
      <c r="D965" s="14"/>
      <c r="E965" s="25"/>
      <c r="F965" s="25"/>
      <c r="G965" s="14"/>
      <c r="H965" s="14"/>
      <c r="I965" s="14"/>
      <c r="J965" s="14"/>
      <c r="K965" s="14"/>
      <c r="L965" s="7"/>
      <c r="M965" s="14"/>
      <c r="N965" s="14"/>
      <c r="O965" s="7"/>
      <c r="P965" s="21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25" customHeight="1" x14ac:dyDescent="0.25">
      <c r="A966" s="14"/>
      <c r="B966" s="14"/>
      <c r="C966" s="14"/>
      <c r="D966" s="14"/>
      <c r="E966" s="25"/>
      <c r="F966" s="25"/>
      <c r="G966" s="14"/>
      <c r="H966" s="14"/>
      <c r="I966" s="14"/>
      <c r="J966" s="14"/>
      <c r="K966" s="14"/>
      <c r="L966" s="7"/>
      <c r="M966" s="14"/>
      <c r="N966" s="14"/>
      <c r="O966" s="7"/>
      <c r="P966" s="21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25" customHeight="1" x14ac:dyDescent="0.25">
      <c r="A967" s="14"/>
      <c r="B967" s="14"/>
      <c r="C967" s="14"/>
      <c r="D967" s="14"/>
      <c r="E967" s="25"/>
      <c r="F967" s="25"/>
      <c r="G967" s="14"/>
      <c r="H967" s="14"/>
      <c r="I967" s="14"/>
      <c r="J967" s="14"/>
      <c r="K967" s="14"/>
      <c r="L967" s="7"/>
      <c r="M967" s="14"/>
      <c r="N967" s="14"/>
      <c r="O967" s="7"/>
      <c r="P967" s="21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25" customHeight="1" x14ac:dyDescent="0.25">
      <c r="A968" s="14"/>
      <c r="B968" s="14"/>
      <c r="C968" s="14"/>
      <c r="D968" s="14"/>
      <c r="E968" s="25"/>
      <c r="F968" s="25"/>
      <c r="G968" s="14"/>
      <c r="H968" s="14"/>
      <c r="I968" s="14"/>
      <c r="J968" s="14"/>
      <c r="K968" s="14"/>
      <c r="L968" s="7"/>
      <c r="M968" s="14"/>
      <c r="N968" s="14"/>
      <c r="O968" s="7"/>
      <c r="P968" s="21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25" customHeight="1" x14ac:dyDescent="0.25">
      <c r="A969" s="14"/>
      <c r="B969" s="14"/>
      <c r="C969" s="14"/>
      <c r="D969" s="14"/>
      <c r="E969" s="25"/>
      <c r="F969" s="25"/>
      <c r="G969" s="14"/>
      <c r="H969" s="14"/>
      <c r="I969" s="14"/>
      <c r="J969" s="14"/>
      <c r="K969" s="14"/>
      <c r="L969" s="7"/>
      <c r="M969" s="14"/>
      <c r="N969" s="14"/>
      <c r="O969" s="7"/>
      <c r="P969" s="21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25" customHeight="1" x14ac:dyDescent="0.25">
      <c r="A970" s="14"/>
      <c r="B970" s="14"/>
      <c r="C970" s="14"/>
      <c r="D970" s="14"/>
      <c r="E970" s="25"/>
      <c r="F970" s="25"/>
      <c r="G970" s="14"/>
      <c r="H970" s="14"/>
      <c r="I970" s="14"/>
      <c r="J970" s="14"/>
      <c r="K970" s="14"/>
      <c r="L970" s="7"/>
      <c r="M970" s="14"/>
      <c r="N970" s="14"/>
      <c r="O970" s="7"/>
      <c r="P970" s="21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25" customHeight="1" x14ac:dyDescent="0.25">
      <c r="A971" s="14"/>
      <c r="B971" s="14"/>
      <c r="C971" s="14"/>
      <c r="D971" s="14"/>
      <c r="E971" s="25"/>
      <c r="F971" s="25"/>
      <c r="G971" s="14"/>
      <c r="H971" s="14"/>
      <c r="I971" s="14"/>
      <c r="J971" s="14"/>
      <c r="K971" s="14"/>
      <c r="L971" s="7"/>
      <c r="M971" s="14"/>
      <c r="N971" s="14"/>
      <c r="O971" s="7"/>
      <c r="P971" s="21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25" customHeight="1" x14ac:dyDescent="0.25">
      <c r="A972" s="14"/>
      <c r="B972" s="14"/>
      <c r="C972" s="14"/>
      <c r="D972" s="14"/>
      <c r="E972" s="25"/>
      <c r="F972" s="25"/>
      <c r="G972" s="14"/>
      <c r="H972" s="14"/>
      <c r="I972" s="14"/>
      <c r="J972" s="14"/>
      <c r="K972" s="14"/>
      <c r="L972" s="7"/>
      <c r="M972" s="14"/>
      <c r="N972" s="14"/>
      <c r="O972" s="7"/>
      <c r="P972" s="21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25" customHeight="1" x14ac:dyDescent="0.25">
      <c r="A973" s="14"/>
      <c r="B973" s="14"/>
      <c r="C973" s="14"/>
      <c r="D973" s="14"/>
      <c r="E973" s="25"/>
      <c r="F973" s="25"/>
      <c r="G973" s="14"/>
      <c r="H973" s="14"/>
      <c r="I973" s="14"/>
      <c r="J973" s="14"/>
      <c r="K973" s="14"/>
      <c r="L973" s="7"/>
      <c r="M973" s="14"/>
      <c r="N973" s="14"/>
      <c r="O973" s="7"/>
      <c r="P973" s="21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25" customHeight="1" x14ac:dyDescent="0.25">
      <c r="A974" s="14"/>
      <c r="B974" s="14"/>
      <c r="C974" s="14"/>
      <c r="D974" s="14"/>
      <c r="E974" s="25"/>
      <c r="F974" s="25"/>
      <c r="G974" s="14"/>
      <c r="H974" s="14"/>
      <c r="I974" s="14"/>
      <c r="J974" s="14"/>
      <c r="K974" s="14"/>
      <c r="L974" s="7"/>
      <c r="M974" s="14"/>
      <c r="N974" s="14"/>
      <c r="O974" s="7"/>
      <c r="P974" s="21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25" customHeight="1" x14ac:dyDescent="0.25">
      <c r="A975" s="14"/>
      <c r="B975" s="14"/>
      <c r="C975" s="14"/>
      <c r="D975" s="14"/>
      <c r="E975" s="25"/>
      <c r="F975" s="25"/>
      <c r="G975" s="14"/>
      <c r="H975" s="14"/>
      <c r="I975" s="14"/>
      <c r="J975" s="14"/>
      <c r="K975" s="14"/>
      <c r="L975" s="7"/>
      <c r="M975" s="14"/>
      <c r="N975" s="14"/>
      <c r="O975" s="7"/>
      <c r="P975" s="21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25" customHeight="1" x14ac:dyDescent="0.25">
      <c r="A976" s="14"/>
      <c r="B976" s="14"/>
      <c r="C976" s="14"/>
      <c r="D976" s="14"/>
      <c r="E976" s="25"/>
      <c r="F976" s="25"/>
      <c r="G976" s="14"/>
      <c r="H976" s="14"/>
      <c r="I976" s="14"/>
      <c r="J976" s="14"/>
      <c r="K976" s="14"/>
      <c r="L976" s="7"/>
      <c r="M976" s="14"/>
      <c r="N976" s="14"/>
      <c r="O976" s="7"/>
      <c r="P976" s="21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25" customHeight="1" x14ac:dyDescent="0.25">
      <c r="A977" s="14"/>
      <c r="B977" s="14"/>
      <c r="C977" s="14"/>
      <c r="D977" s="14"/>
      <c r="E977" s="25"/>
      <c r="F977" s="25"/>
      <c r="G977" s="14"/>
      <c r="H977" s="14"/>
      <c r="I977" s="14"/>
      <c r="J977" s="14"/>
      <c r="K977" s="14"/>
      <c r="L977" s="7"/>
      <c r="M977" s="14"/>
      <c r="N977" s="14"/>
      <c r="O977" s="7"/>
      <c r="P977" s="21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25" customHeight="1" x14ac:dyDescent="0.25">
      <c r="A978" s="14"/>
      <c r="B978" s="14"/>
      <c r="C978" s="14"/>
      <c r="D978" s="14"/>
      <c r="E978" s="25"/>
      <c r="F978" s="25"/>
      <c r="G978" s="14"/>
      <c r="H978" s="14"/>
      <c r="I978" s="14"/>
      <c r="J978" s="14"/>
      <c r="K978" s="14"/>
      <c r="L978" s="7"/>
      <c r="M978" s="14"/>
      <c r="N978" s="14"/>
      <c r="O978" s="7"/>
      <c r="P978" s="21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25" customHeight="1" x14ac:dyDescent="0.25">
      <c r="A979" s="14"/>
      <c r="B979" s="14"/>
      <c r="C979" s="14"/>
      <c r="D979" s="14"/>
      <c r="E979" s="25"/>
      <c r="F979" s="25"/>
      <c r="G979" s="14"/>
      <c r="H979" s="14"/>
      <c r="I979" s="14"/>
      <c r="J979" s="14"/>
      <c r="K979" s="14"/>
      <c r="L979" s="7"/>
      <c r="M979" s="14"/>
      <c r="N979" s="14"/>
      <c r="O979" s="7"/>
      <c r="P979" s="21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25" customHeight="1" x14ac:dyDescent="0.25">
      <c r="A980" s="14"/>
      <c r="B980" s="14"/>
      <c r="C980" s="14"/>
      <c r="D980" s="14"/>
      <c r="E980" s="25"/>
      <c r="F980" s="25"/>
      <c r="G980" s="14"/>
      <c r="H980" s="14"/>
      <c r="I980" s="14"/>
      <c r="J980" s="14"/>
      <c r="K980" s="14"/>
      <c r="L980" s="7"/>
      <c r="M980" s="14"/>
      <c r="N980" s="14"/>
      <c r="O980" s="7"/>
      <c r="P980" s="21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25" customHeight="1" x14ac:dyDescent="0.25">
      <c r="A981" s="14"/>
      <c r="B981" s="14"/>
      <c r="C981" s="14"/>
      <c r="D981" s="14"/>
      <c r="E981" s="25"/>
      <c r="F981" s="25"/>
      <c r="G981" s="14"/>
      <c r="H981" s="14"/>
      <c r="I981" s="14"/>
      <c r="J981" s="14"/>
      <c r="K981" s="14"/>
      <c r="L981" s="7"/>
      <c r="M981" s="14"/>
      <c r="N981" s="14"/>
      <c r="O981" s="7"/>
      <c r="P981" s="21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25" customHeight="1" x14ac:dyDescent="0.25">
      <c r="A982" s="14"/>
      <c r="B982" s="14"/>
      <c r="C982" s="14"/>
      <c r="D982" s="14"/>
      <c r="E982" s="25"/>
      <c r="F982" s="25"/>
      <c r="G982" s="14"/>
      <c r="H982" s="14"/>
      <c r="I982" s="14"/>
      <c r="J982" s="14"/>
      <c r="K982" s="14"/>
      <c r="L982" s="7"/>
      <c r="M982" s="14"/>
      <c r="N982" s="14"/>
      <c r="O982" s="7"/>
      <c r="P982" s="21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25" customHeight="1" x14ac:dyDescent="0.25">
      <c r="A983" s="14"/>
      <c r="B983" s="14"/>
      <c r="C983" s="14"/>
      <c r="D983" s="14"/>
      <c r="E983" s="25"/>
      <c r="F983" s="25"/>
      <c r="G983" s="14"/>
      <c r="H983" s="14"/>
      <c r="I983" s="14"/>
      <c r="J983" s="14"/>
      <c r="K983" s="14"/>
      <c r="L983" s="7"/>
      <c r="M983" s="14"/>
      <c r="N983" s="14"/>
      <c r="O983" s="7"/>
      <c r="P983" s="21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25" customHeight="1" x14ac:dyDescent="0.25">
      <c r="A984" s="14"/>
      <c r="B984" s="14"/>
      <c r="C984" s="14"/>
      <c r="D984" s="14"/>
      <c r="E984" s="25"/>
      <c r="F984" s="25"/>
      <c r="G984" s="14"/>
      <c r="H984" s="14"/>
      <c r="I984" s="14"/>
      <c r="J984" s="14"/>
      <c r="K984" s="14"/>
      <c r="L984" s="7"/>
      <c r="M984" s="14"/>
      <c r="N984" s="14"/>
      <c r="O984" s="7"/>
      <c r="P984" s="21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25" customHeight="1" x14ac:dyDescent="0.25">
      <c r="A985" s="14"/>
      <c r="B985" s="14"/>
      <c r="C985" s="14"/>
      <c r="D985" s="14"/>
      <c r="E985" s="25"/>
      <c r="F985" s="25"/>
      <c r="G985" s="14"/>
      <c r="H985" s="14"/>
      <c r="I985" s="14"/>
      <c r="J985" s="14"/>
      <c r="K985" s="14"/>
      <c r="L985" s="7"/>
      <c r="M985" s="14"/>
      <c r="N985" s="14"/>
      <c r="O985" s="7"/>
      <c r="P985" s="21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.25" customHeight="1" x14ac:dyDescent="0.25">
      <c r="A986" s="14"/>
      <c r="B986" s="14"/>
      <c r="C986" s="14"/>
      <c r="D986" s="14"/>
      <c r="E986" s="25"/>
      <c r="F986" s="25"/>
      <c r="G986" s="14"/>
      <c r="H986" s="14"/>
      <c r="I986" s="14"/>
      <c r="J986" s="14"/>
      <c r="K986" s="14"/>
      <c r="L986" s="7"/>
      <c r="M986" s="14"/>
      <c r="N986" s="14"/>
      <c r="O986" s="7"/>
      <c r="P986" s="21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.25" customHeight="1" x14ac:dyDescent="0.25">
      <c r="A987" s="14"/>
      <c r="B987" s="14"/>
      <c r="C987" s="14"/>
      <c r="D987" s="14"/>
      <c r="E987" s="25"/>
      <c r="F987" s="25"/>
      <c r="G987" s="14"/>
      <c r="H987" s="14"/>
      <c r="I987" s="14"/>
      <c r="J987" s="14"/>
      <c r="K987" s="14"/>
      <c r="L987" s="7"/>
      <c r="M987" s="14"/>
      <c r="N987" s="14"/>
      <c r="O987" s="7"/>
      <c r="P987" s="21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.25" customHeight="1" x14ac:dyDescent="0.25">
      <c r="A988" s="14"/>
      <c r="B988" s="14"/>
      <c r="C988" s="14"/>
      <c r="D988" s="14"/>
      <c r="E988" s="25"/>
      <c r="F988" s="25"/>
      <c r="G988" s="14"/>
      <c r="H988" s="14"/>
      <c r="I988" s="14"/>
      <c r="J988" s="14"/>
      <c r="K988" s="14"/>
      <c r="L988" s="7"/>
      <c r="M988" s="14"/>
      <c r="N988" s="14"/>
      <c r="O988" s="7"/>
      <c r="P988" s="21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.25" customHeight="1" x14ac:dyDescent="0.25">
      <c r="A989" s="14"/>
      <c r="B989" s="14"/>
      <c r="C989" s="14"/>
      <c r="D989" s="14"/>
      <c r="E989" s="25"/>
      <c r="F989" s="25"/>
      <c r="G989" s="14"/>
      <c r="H989" s="14"/>
      <c r="I989" s="14"/>
      <c r="J989" s="14"/>
      <c r="K989" s="14"/>
      <c r="L989" s="7"/>
      <c r="M989" s="14"/>
      <c r="N989" s="14"/>
      <c r="O989" s="7"/>
      <c r="P989" s="21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.25" customHeight="1" x14ac:dyDescent="0.25">
      <c r="A990" s="14"/>
      <c r="B990" s="14"/>
      <c r="C990" s="14"/>
      <c r="D990" s="14"/>
      <c r="E990" s="25"/>
      <c r="F990" s="25"/>
      <c r="G990" s="14"/>
      <c r="H990" s="14"/>
      <c r="I990" s="14"/>
      <c r="J990" s="14"/>
      <c r="K990" s="14"/>
      <c r="L990" s="7"/>
      <c r="M990" s="14"/>
      <c r="N990" s="14"/>
      <c r="O990" s="7"/>
      <c r="P990" s="21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.25" customHeight="1" x14ac:dyDescent="0.25">
      <c r="A991" s="14"/>
      <c r="B991" s="14"/>
      <c r="C991" s="14"/>
      <c r="D991" s="14"/>
      <c r="E991" s="25"/>
      <c r="F991" s="25"/>
      <c r="G991" s="14"/>
      <c r="H991" s="14"/>
      <c r="I991" s="14"/>
      <c r="J991" s="14"/>
      <c r="K991" s="14"/>
      <c r="L991" s="7"/>
      <c r="M991" s="14"/>
      <c r="N991" s="14"/>
      <c r="O991" s="7"/>
      <c r="P991" s="21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.25" customHeight="1" x14ac:dyDescent="0.25">
      <c r="A992" s="14"/>
      <c r="B992" s="14"/>
      <c r="C992" s="14"/>
      <c r="D992" s="14"/>
      <c r="E992" s="25"/>
      <c r="F992" s="25"/>
      <c r="G992" s="14"/>
      <c r="H992" s="14"/>
      <c r="I992" s="14"/>
      <c r="J992" s="14"/>
      <c r="K992" s="14"/>
      <c r="L992" s="7"/>
      <c r="M992" s="14"/>
      <c r="N992" s="14"/>
      <c r="O992" s="7"/>
      <c r="P992" s="21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.25" customHeight="1" x14ac:dyDescent="0.25">
      <c r="A993" s="14"/>
      <c r="B993" s="14"/>
      <c r="C993" s="14"/>
      <c r="D993" s="14"/>
      <c r="E993" s="25"/>
      <c r="F993" s="25"/>
      <c r="G993" s="14"/>
      <c r="H993" s="14"/>
      <c r="I993" s="14"/>
      <c r="J993" s="14"/>
      <c r="K993" s="14"/>
      <c r="L993" s="7"/>
      <c r="M993" s="14"/>
      <c r="N993" s="14"/>
      <c r="O993" s="7"/>
      <c r="P993" s="21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.25" customHeight="1" x14ac:dyDescent="0.25">
      <c r="A994" s="14"/>
      <c r="B994" s="14"/>
      <c r="C994" s="14"/>
      <c r="D994" s="14"/>
      <c r="E994" s="25"/>
      <c r="F994" s="25"/>
      <c r="G994" s="14"/>
      <c r="H994" s="14"/>
      <c r="I994" s="14"/>
      <c r="J994" s="14"/>
      <c r="K994" s="14"/>
      <c r="L994" s="7"/>
      <c r="M994" s="14"/>
      <c r="N994" s="14"/>
      <c r="O994" s="7"/>
      <c r="P994" s="21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.25" customHeight="1" x14ac:dyDescent="0.25">
      <c r="A995" s="14"/>
      <c r="B995" s="14"/>
      <c r="C995" s="14"/>
      <c r="D995" s="14"/>
      <c r="E995" s="25"/>
      <c r="F995" s="25"/>
      <c r="G995" s="14"/>
      <c r="H995" s="14"/>
      <c r="I995" s="14"/>
      <c r="J995" s="14"/>
      <c r="K995" s="14"/>
      <c r="L995" s="7"/>
      <c r="M995" s="14"/>
      <c r="N995" s="14"/>
      <c r="O995" s="7"/>
      <c r="P995" s="21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x14ac:dyDescent="0.25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spans="1:26" x14ac:dyDescent="0.25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spans="1:26" x14ac:dyDescent="0.25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</sheetData>
  <autoFilter ref="D1:X50" xr:uid="{00000000-0009-0000-0000-000005000000}"/>
  <conditionalFormatting sqref="M2:M995">
    <cfRule type="containsText" dxfId="579" priority="1" operator="containsText" text="AL DIA">
      <formula>NOT(ISERROR(SEARCH(("AL DIA"),(M2))))</formula>
    </cfRule>
  </conditionalFormatting>
  <conditionalFormatting sqref="M2:M995">
    <cfRule type="containsText" dxfId="578" priority="2" operator="containsText" text="PENDIENTE">
      <formula>NOT(ISERROR(SEARCH(("PENDIENTE"),(M2))))</formula>
    </cfRule>
  </conditionalFormatting>
  <conditionalFormatting sqref="R2:R995">
    <cfRule type="containsText" dxfId="577" priority="3" operator="containsText" text="RETIRADO">
      <formula>NOT(ISERROR(SEARCH(("RETIRADO"),(R2))))</formula>
    </cfRule>
  </conditionalFormatting>
  <conditionalFormatting sqref="R2:R995">
    <cfRule type="containsText" dxfId="576" priority="4" operator="containsText" text="ACTIVO">
      <formula>NOT(ISERROR(SEARCH(("ACTIVO"),(R2))))</formula>
    </cfRule>
  </conditionalFormatting>
  <dataValidations count="5">
    <dataValidation type="list" allowBlank="1" showErrorMessage="1" sqref="R2 M2:M50" xr:uid="{00000000-0002-0000-0500-000000000000}">
      <formula1>$W$2:$W$3</formula1>
    </dataValidation>
    <dataValidation type="list" allowBlank="1" showErrorMessage="1" sqref="M51:M471" xr:uid="{00000000-0002-0000-0500-000001000000}">
      <formula1>$W$1:$W$2</formula1>
    </dataValidation>
    <dataValidation type="list" allowBlank="1" showErrorMessage="1" sqref="R45" xr:uid="{00000000-0002-0000-0500-000003000000}">
      <formula1>$T$1:$T$2</formula1>
    </dataValidation>
    <dataValidation type="list" allowBlank="1" showErrorMessage="1" sqref="R3:R44" xr:uid="{00000000-0002-0000-0500-000002000000}">
      <formula1>$V$1:$V$2</formula1>
    </dataValidation>
    <dataValidation type="list" allowBlank="1" showErrorMessage="1" sqref="R46:R471" xr:uid="{00000000-0002-0000-0500-000004000000}">
      <formula1>$X$1:$X$2</formula1>
    </dataValidation>
  </dataValidations>
  <hyperlinks>
    <hyperlink ref="V2" r:id="rId1" xr:uid="{00000000-0004-0000-0500-000000000000}"/>
    <hyperlink ref="V3" r:id="rId2" xr:uid="{00000000-0004-0000-0500-000001000000}"/>
    <hyperlink ref="V4" r:id="rId3" xr:uid="{00000000-0004-0000-0500-000002000000}"/>
    <hyperlink ref="V5" r:id="rId4" xr:uid="{00000000-0004-0000-0500-000003000000}"/>
    <hyperlink ref="V6" r:id="rId5" xr:uid="{00000000-0004-0000-0500-000004000000}"/>
    <hyperlink ref="V7" r:id="rId6" xr:uid="{00000000-0004-0000-0500-000005000000}"/>
    <hyperlink ref="V8" r:id="rId7" xr:uid="{00000000-0004-0000-0500-000006000000}"/>
    <hyperlink ref="V9" r:id="rId8" xr:uid="{00000000-0004-0000-0500-000007000000}"/>
    <hyperlink ref="V10" r:id="rId9" xr:uid="{00000000-0004-0000-0500-000008000000}"/>
    <hyperlink ref="V11" r:id="rId10" xr:uid="{00000000-0004-0000-0500-000009000000}"/>
    <hyperlink ref="V12" r:id="rId11" xr:uid="{00000000-0004-0000-0500-00000A000000}"/>
    <hyperlink ref="V13" r:id="rId12" xr:uid="{00000000-0004-0000-0500-00000B000000}"/>
    <hyperlink ref="V14" r:id="rId13" xr:uid="{00000000-0004-0000-0500-00000C000000}"/>
    <hyperlink ref="V15" r:id="rId14" xr:uid="{00000000-0004-0000-0500-00000D000000}"/>
    <hyperlink ref="V16" r:id="rId15" xr:uid="{00000000-0004-0000-0500-00000E000000}"/>
    <hyperlink ref="V17" r:id="rId16" xr:uid="{00000000-0004-0000-0500-00000F000000}"/>
    <hyperlink ref="V18" r:id="rId17" xr:uid="{00000000-0004-0000-0500-000010000000}"/>
    <hyperlink ref="V20" r:id="rId18" xr:uid="{00000000-0004-0000-0500-000011000000}"/>
    <hyperlink ref="V22" r:id="rId19" xr:uid="{00000000-0004-0000-0500-000012000000}"/>
    <hyperlink ref="V23" r:id="rId20" xr:uid="{00000000-0004-0000-0500-000013000000}"/>
    <hyperlink ref="V24" r:id="rId21" xr:uid="{00000000-0004-0000-0500-000014000000}"/>
    <hyperlink ref="V25" r:id="rId22" xr:uid="{00000000-0004-0000-0500-000015000000}"/>
    <hyperlink ref="V28" r:id="rId23" xr:uid="{00000000-0004-0000-0500-000017000000}"/>
    <hyperlink ref="V29" r:id="rId24" xr:uid="{00000000-0004-0000-0500-000018000000}"/>
    <hyperlink ref="V30" r:id="rId25" xr:uid="{00000000-0004-0000-0500-000019000000}"/>
    <hyperlink ref="V31" r:id="rId26" xr:uid="{00000000-0004-0000-0500-00001A000000}"/>
    <hyperlink ref="V32" r:id="rId27" xr:uid="{00000000-0004-0000-0500-00001B000000}"/>
    <hyperlink ref="V33" r:id="rId28" xr:uid="{00000000-0004-0000-0500-00001C000000}"/>
    <hyperlink ref="V34" r:id="rId29" xr:uid="{00000000-0004-0000-0500-00001D000000}"/>
    <hyperlink ref="V35" r:id="rId30" xr:uid="{00000000-0004-0000-0500-00001E000000}"/>
    <hyperlink ref="V36" r:id="rId31" xr:uid="{00000000-0004-0000-0500-00001F000000}"/>
    <hyperlink ref="V37" r:id="rId32" xr:uid="{00000000-0004-0000-0500-000020000000}"/>
    <hyperlink ref="V38" r:id="rId33" xr:uid="{00000000-0004-0000-0500-000021000000}"/>
    <hyperlink ref="V39" r:id="rId34" xr:uid="{00000000-0004-0000-0500-000022000000}"/>
    <hyperlink ref="V40" r:id="rId35" xr:uid="{00000000-0004-0000-0500-000023000000}"/>
    <hyperlink ref="V41" r:id="rId36" xr:uid="{00000000-0004-0000-0500-000024000000}"/>
    <hyperlink ref="V42" r:id="rId37" xr:uid="{00000000-0004-0000-0500-000025000000}"/>
    <hyperlink ref="V43" r:id="rId38" xr:uid="{00000000-0004-0000-0500-000026000000}"/>
    <hyperlink ref="V44" r:id="rId39" xr:uid="{00000000-0004-0000-0500-000027000000}"/>
    <hyperlink ref="V45" r:id="rId40" xr:uid="{00000000-0004-0000-0500-000028000000}"/>
    <hyperlink ref="V46" r:id="rId41" xr:uid="{00000000-0004-0000-0500-000029000000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A163" workbookViewId="0">
      <selection activeCell="B178" sqref="B178:S178"/>
    </sheetView>
  </sheetViews>
  <sheetFormatPr baseColWidth="10" defaultColWidth="14.42578125" defaultRowHeight="15" customHeight="1" x14ac:dyDescent="0.25"/>
  <cols>
    <col min="1" max="1" width="43.7109375" customWidth="1"/>
    <col min="2" max="2" width="42.28515625" bestFit="1" customWidth="1"/>
    <col min="3" max="3" width="26" customWidth="1"/>
    <col min="4" max="4" width="18" customWidth="1"/>
    <col min="5" max="5" width="17.140625" bestFit="1" customWidth="1"/>
    <col min="6" max="6" width="13.5703125" customWidth="1"/>
    <col min="7" max="12" width="10.7109375" customWidth="1"/>
    <col min="13" max="13" width="37.85546875" customWidth="1"/>
    <col min="14" max="15" width="26.42578125" customWidth="1"/>
    <col min="16" max="16" width="30" customWidth="1"/>
    <col min="17" max="17" width="22.140625" customWidth="1"/>
    <col min="18" max="18" width="34.42578125" bestFit="1" customWidth="1"/>
    <col min="19" max="26" width="10.7109375" customWidth="1"/>
  </cols>
  <sheetData>
    <row r="1" spans="1:26" x14ac:dyDescent="0.25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x14ac:dyDescent="0.25">
      <c r="A2" s="167" t="s">
        <v>4573</v>
      </c>
      <c r="B2" s="168">
        <v>24674960</v>
      </c>
      <c r="C2" s="167">
        <v>3138731148</v>
      </c>
      <c r="D2" s="88" t="s">
        <v>744</v>
      </c>
      <c r="E2" s="88" t="s">
        <v>2944</v>
      </c>
      <c r="F2" s="105"/>
      <c r="G2" s="62">
        <v>42000</v>
      </c>
      <c r="H2" s="62">
        <v>42000</v>
      </c>
      <c r="I2" s="43" t="s">
        <v>234</v>
      </c>
      <c r="J2" s="88"/>
      <c r="K2" s="62"/>
      <c r="L2" s="89"/>
      <c r="M2" s="38" t="s">
        <v>28</v>
      </c>
      <c r="N2" s="38" t="s">
        <v>20</v>
      </c>
      <c r="O2" s="38"/>
      <c r="P2" s="88" t="s">
        <v>4574</v>
      </c>
      <c r="Q2" s="88" t="s">
        <v>36</v>
      </c>
      <c r="R2" s="105"/>
      <c r="S2" s="105"/>
      <c r="T2" s="105"/>
      <c r="U2" s="105"/>
      <c r="V2" s="105"/>
      <c r="W2" s="105"/>
      <c r="X2" s="105"/>
      <c r="Y2" s="105"/>
      <c r="Z2" s="105"/>
    </row>
    <row r="3" spans="1:26" x14ac:dyDescent="0.25">
      <c r="A3" s="167" t="s">
        <v>4575</v>
      </c>
      <c r="B3" s="167">
        <v>43287681</v>
      </c>
      <c r="C3" s="167" t="s">
        <v>4576</v>
      </c>
      <c r="D3" s="88" t="s">
        <v>2702</v>
      </c>
      <c r="E3" s="62">
        <v>82000</v>
      </c>
      <c r="F3" s="62"/>
      <c r="G3" s="62">
        <v>82000</v>
      </c>
      <c r="H3" s="43" t="s">
        <v>234</v>
      </c>
      <c r="I3" s="155"/>
      <c r="J3" s="62"/>
      <c r="K3" s="89"/>
      <c r="L3" s="38" t="s">
        <v>3354</v>
      </c>
      <c r="M3" s="38" t="s">
        <v>20</v>
      </c>
      <c r="N3" s="38"/>
      <c r="O3" s="88" t="s">
        <v>4577</v>
      </c>
      <c r="P3" s="88" t="s">
        <v>4141</v>
      </c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x14ac:dyDescent="0.25">
      <c r="A4" s="167" t="s">
        <v>4578</v>
      </c>
      <c r="B4" s="167">
        <v>18493186</v>
      </c>
      <c r="C4" s="167" t="s">
        <v>4579</v>
      </c>
      <c r="D4" s="88" t="s">
        <v>4580</v>
      </c>
      <c r="E4" s="62">
        <v>82000</v>
      </c>
      <c r="F4" s="62"/>
      <c r="G4" s="62">
        <v>82000</v>
      </c>
      <c r="H4" s="43" t="s">
        <v>234</v>
      </c>
      <c r="I4" s="155"/>
      <c r="J4" s="62"/>
      <c r="K4" s="89"/>
      <c r="L4" s="38" t="s">
        <v>3354</v>
      </c>
      <c r="M4" s="38" t="s">
        <v>20</v>
      </c>
      <c r="N4" s="38"/>
      <c r="O4" s="88" t="s">
        <v>4581</v>
      </c>
      <c r="P4" s="88" t="s">
        <v>4582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x14ac:dyDescent="0.25">
      <c r="A5" s="167" t="s">
        <v>4583</v>
      </c>
      <c r="B5" s="168">
        <v>1017204820</v>
      </c>
      <c r="C5" s="167" t="s">
        <v>4584</v>
      </c>
      <c r="D5" s="88" t="s">
        <v>730</v>
      </c>
      <c r="E5" s="88" t="s">
        <v>4585</v>
      </c>
      <c r="F5" s="62">
        <v>67000</v>
      </c>
      <c r="G5" s="88"/>
      <c r="H5" s="62">
        <v>67000</v>
      </c>
      <c r="I5" s="43" t="s">
        <v>234</v>
      </c>
      <c r="J5" s="88"/>
      <c r="K5" s="62"/>
      <c r="L5" s="89"/>
      <c r="M5" s="38" t="s">
        <v>28</v>
      </c>
      <c r="N5" s="38" t="s">
        <v>20</v>
      </c>
      <c r="O5" s="38"/>
      <c r="P5" s="38" t="s">
        <v>4586</v>
      </c>
      <c r="Q5" s="38" t="s">
        <v>4587</v>
      </c>
      <c r="R5" s="105"/>
      <c r="S5" s="105"/>
      <c r="T5" s="105"/>
      <c r="U5" s="105"/>
      <c r="V5" s="105"/>
      <c r="W5" s="105"/>
      <c r="X5" s="105"/>
      <c r="Y5" s="105"/>
      <c r="Z5" s="105"/>
    </row>
    <row r="6" spans="1:26" x14ac:dyDescent="0.25">
      <c r="A6" s="167" t="s">
        <v>4588</v>
      </c>
      <c r="B6" s="167">
        <v>1005367651</v>
      </c>
      <c r="C6" s="167" t="s">
        <v>4589</v>
      </c>
      <c r="D6" s="88" t="s">
        <v>802</v>
      </c>
      <c r="E6" s="88" t="s">
        <v>2944</v>
      </c>
      <c r="F6" s="62">
        <v>42000</v>
      </c>
      <c r="G6" s="169"/>
      <c r="H6" s="62">
        <v>42000</v>
      </c>
      <c r="I6" s="43" t="s">
        <v>234</v>
      </c>
      <c r="J6" s="88"/>
      <c r="K6" s="62"/>
      <c r="L6" s="89"/>
      <c r="M6" s="38" t="s">
        <v>28</v>
      </c>
      <c r="N6" s="38" t="s">
        <v>20</v>
      </c>
      <c r="O6" s="38"/>
      <c r="P6" s="38" t="s">
        <v>4590</v>
      </c>
      <c r="Q6" s="38" t="s">
        <v>286</v>
      </c>
      <c r="R6" s="105"/>
      <c r="S6" s="105"/>
      <c r="T6" s="105"/>
      <c r="U6" s="105"/>
      <c r="V6" s="105"/>
      <c r="W6" s="105"/>
      <c r="X6" s="105"/>
      <c r="Y6" s="105"/>
      <c r="Z6" s="105"/>
    </row>
    <row r="7" spans="1:26" x14ac:dyDescent="0.25">
      <c r="A7" s="170" t="s">
        <v>4591</v>
      </c>
      <c r="B7" s="171">
        <v>9801393</v>
      </c>
      <c r="C7" s="172" t="s">
        <v>4592</v>
      </c>
      <c r="D7" s="38" t="s">
        <v>749</v>
      </c>
      <c r="E7" s="38" t="s">
        <v>1313</v>
      </c>
      <c r="F7" s="42">
        <v>42000</v>
      </c>
      <c r="G7" s="38"/>
      <c r="H7" s="42">
        <v>42000</v>
      </c>
      <c r="I7" s="43" t="s">
        <v>234</v>
      </c>
      <c r="J7" s="38"/>
      <c r="K7" s="42"/>
      <c r="L7" s="44"/>
      <c r="M7" s="38" t="s">
        <v>28</v>
      </c>
      <c r="N7" s="38" t="s">
        <v>20</v>
      </c>
      <c r="O7" s="38"/>
      <c r="P7" s="38" t="s">
        <v>4593</v>
      </c>
      <c r="Q7" s="38" t="s">
        <v>4594</v>
      </c>
      <c r="R7" s="105"/>
      <c r="S7" s="105"/>
      <c r="T7" s="105"/>
      <c r="U7" s="105"/>
      <c r="V7" s="105"/>
      <c r="W7" s="105"/>
      <c r="X7" s="105"/>
      <c r="Y7" s="105"/>
      <c r="Z7" s="105"/>
    </row>
    <row r="8" spans="1:26" x14ac:dyDescent="0.25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x14ac:dyDescent="0.25">
      <c r="A9" s="167" t="s">
        <v>4595</v>
      </c>
      <c r="B9" s="167">
        <v>24674499</v>
      </c>
      <c r="C9" s="167">
        <v>3122765084</v>
      </c>
      <c r="D9" s="88" t="s">
        <v>740</v>
      </c>
      <c r="E9" s="173"/>
      <c r="F9" s="88" t="s">
        <v>1313</v>
      </c>
      <c r="G9" s="62">
        <v>57000</v>
      </c>
      <c r="H9" s="43"/>
      <c r="I9" s="62">
        <f>G9</f>
        <v>57000</v>
      </c>
      <c r="J9" s="43" t="s">
        <v>26</v>
      </c>
      <c r="K9" s="88" t="s">
        <v>85</v>
      </c>
      <c r="L9" s="62">
        <v>57000</v>
      </c>
      <c r="M9" s="89">
        <v>45814</v>
      </c>
      <c r="N9" s="38" t="s">
        <v>28</v>
      </c>
      <c r="O9" s="38" t="s">
        <v>20</v>
      </c>
      <c r="P9" s="38"/>
      <c r="Q9" s="88" t="s">
        <v>4596</v>
      </c>
      <c r="R9" s="88" t="s">
        <v>30</v>
      </c>
      <c r="S9" s="105"/>
      <c r="T9" s="105"/>
      <c r="U9" s="105"/>
      <c r="V9" s="105"/>
      <c r="W9" s="105"/>
      <c r="X9" s="105"/>
      <c r="Y9" s="105"/>
      <c r="Z9" s="105"/>
    </row>
    <row r="10" spans="1:26" x14ac:dyDescent="0.25">
      <c r="A10" s="167" t="s">
        <v>4597</v>
      </c>
      <c r="B10" s="167">
        <v>900982655</v>
      </c>
      <c r="C10" s="172">
        <v>3155481399</v>
      </c>
      <c r="D10" s="38" t="s">
        <v>4183</v>
      </c>
      <c r="E10" s="15"/>
      <c r="F10" s="36" t="s">
        <v>2944</v>
      </c>
      <c r="G10" s="62">
        <v>97580</v>
      </c>
      <c r="H10" s="42"/>
      <c r="I10" s="62">
        <v>97580</v>
      </c>
      <c r="J10" s="43" t="s">
        <v>26</v>
      </c>
      <c r="K10" s="88" t="s">
        <v>3306</v>
      </c>
      <c r="L10" s="62">
        <v>97580</v>
      </c>
      <c r="M10" s="44">
        <v>45808</v>
      </c>
      <c r="N10" s="38" t="s">
        <v>3354</v>
      </c>
      <c r="O10" s="38" t="s">
        <v>20</v>
      </c>
      <c r="P10" s="38"/>
      <c r="Q10" s="88" t="s">
        <v>4598</v>
      </c>
      <c r="R10" s="88" t="s">
        <v>4599</v>
      </c>
      <c r="S10" s="105"/>
      <c r="T10" s="105"/>
      <c r="U10" s="105"/>
      <c r="V10" s="105"/>
      <c r="W10" s="105"/>
      <c r="X10" s="105"/>
      <c r="Y10" s="105"/>
      <c r="Z10" s="105"/>
    </row>
    <row r="11" spans="1:26" x14ac:dyDescent="0.25">
      <c r="A11" s="170" t="s">
        <v>4600</v>
      </c>
      <c r="B11" s="171">
        <v>1005367513</v>
      </c>
      <c r="C11" s="172" t="s">
        <v>4601</v>
      </c>
      <c r="D11" s="38" t="s">
        <v>4602</v>
      </c>
      <c r="E11" s="38" t="s">
        <v>4603</v>
      </c>
      <c r="F11" s="38" t="s">
        <v>25</v>
      </c>
      <c r="G11" s="42">
        <v>42000</v>
      </c>
      <c r="H11" s="38"/>
      <c r="I11" s="42">
        <v>42000</v>
      </c>
      <c r="J11" s="43" t="s">
        <v>234</v>
      </c>
      <c r="K11" s="38"/>
      <c r="L11" s="42"/>
      <c r="M11" s="44"/>
      <c r="N11" s="38" t="s">
        <v>28</v>
      </c>
      <c r="O11" s="38" t="s">
        <v>20</v>
      </c>
      <c r="P11" s="38"/>
      <c r="Q11" s="38" t="s">
        <v>224</v>
      </c>
      <c r="R11" s="38" t="s">
        <v>496</v>
      </c>
      <c r="S11" s="105"/>
      <c r="T11" s="105"/>
      <c r="U11" s="105"/>
      <c r="V11" s="105"/>
      <c r="W11" s="105"/>
      <c r="X11" s="105"/>
      <c r="Y11" s="105"/>
      <c r="Z11" s="105"/>
    </row>
    <row r="12" spans="1:26" x14ac:dyDescent="0.25">
      <c r="A12" s="170" t="s">
        <v>4604</v>
      </c>
      <c r="B12" s="171">
        <v>1085660132</v>
      </c>
      <c r="C12" s="172" t="s">
        <v>4605</v>
      </c>
      <c r="D12" s="38" t="s">
        <v>4606</v>
      </c>
      <c r="E12" s="38">
        <v>716</v>
      </c>
      <c r="F12" s="38" t="s">
        <v>25</v>
      </c>
      <c r="G12" s="42">
        <v>42000</v>
      </c>
      <c r="H12" s="38"/>
      <c r="I12" s="42">
        <v>42000</v>
      </c>
      <c r="J12" s="43" t="s">
        <v>234</v>
      </c>
      <c r="K12" s="38"/>
      <c r="L12" s="42"/>
      <c r="M12" s="44"/>
      <c r="N12" s="38" t="s">
        <v>28</v>
      </c>
      <c r="O12" s="38" t="s">
        <v>20</v>
      </c>
      <c r="P12" s="38"/>
      <c r="Q12" s="38" t="s">
        <v>4607</v>
      </c>
      <c r="R12" s="38" t="s">
        <v>224</v>
      </c>
      <c r="S12" s="105"/>
      <c r="T12" s="105"/>
      <c r="U12" s="105"/>
      <c r="V12" s="105"/>
      <c r="W12" s="105"/>
      <c r="X12" s="105"/>
      <c r="Y12" s="105"/>
      <c r="Z12" s="105"/>
    </row>
    <row r="13" spans="1:26" x14ac:dyDescent="0.25">
      <c r="A13" s="167" t="s">
        <v>4608</v>
      </c>
      <c r="B13" s="167">
        <v>41959207</v>
      </c>
      <c r="C13" s="167">
        <v>3125722749</v>
      </c>
      <c r="D13" s="88" t="s">
        <v>775</v>
      </c>
      <c r="E13" s="88"/>
      <c r="F13" s="38" t="s">
        <v>25</v>
      </c>
      <c r="G13" s="62">
        <v>42000</v>
      </c>
      <c r="H13" s="43"/>
      <c r="I13" s="62">
        <v>42000</v>
      </c>
      <c r="J13" s="43" t="s">
        <v>26</v>
      </c>
      <c r="K13" s="88" t="s">
        <v>85</v>
      </c>
      <c r="L13" s="62">
        <v>42000</v>
      </c>
      <c r="M13" s="89">
        <v>45814</v>
      </c>
      <c r="N13" s="38" t="s">
        <v>28</v>
      </c>
      <c r="O13" s="38" t="s">
        <v>20</v>
      </c>
      <c r="P13" s="38"/>
      <c r="Q13" s="38" t="s">
        <v>4609</v>
      </c>
      <c r="R13" s="38" t="s">
        <v>497</v>
      </c>
      <c r="S13" s="105"/>
      <c r="T13" s="105"/>
      <c r="U13" s="105"/>
      <c r="V13" s="105"/>
      <c r="W13" s="105"/>
      <c r="X13" s="105"/>
      <c r="Y13" s="105"/>
      <c r="Z13" s="105"/>
    </row>
    <row r="14" spans="1:26" x14ac:dyDescent="0.25">
      <c r="A14" s="167" t="s">
        <v>4610</v>
      </c>
      <c r="B14" s="168">
        <v>1088020614</v>
      </c>
      <c r="C14" s="167" t="s">
        <v>4611</v>
      </c>
      <c r="D14" s="88" t="s">
        <v>791</v>
      </c>
      <c r="E14" s="88"/>
      <c r="F14" s="88" t="s">
        <v>105</v>
      </c>
      <c r="G14" s="62">
        <v>82000</v>
      </c>
      <c r="H14" s="43"/>
      <c r="I14" s="62">
        <v>82000</v>
      </c>
      <c r="J14" s="43" t="s">
        <v>234</v>
      </c>
      <c r="K14" s="88"/>
      <c r="L14" s="62"/>
      <c r="M14" s="89"/>
      <c r="N14" s="38" t="s">
        <v>28</v>
      </c>
      <c r="O14" s="38" t="s">
        <v>20</v>
      </c>
      <c r="P14" s="38"/>
      <c r="Q14" s="38" t="s">
        <v>4612</v>
      </c>
      <c r="R14" s="38" t="s">
        <v>30</v>
      </c>
      <c r="S14" s="105"/>
      <c r="T14" s="105"/>
      <c r="U14" s="105"/>
      <c r="V14" s="105"/>
      <c r="W14" s="105"/>
      <c r="X14" s="105"/>
      <c r="Y14" s="105"/>
      <c r="Z14" s="105"/>
    </row>
    <row r="15" spans="1:26" x14ac:dyDescent="0.25">
      <c r="A15" s="167" t="s">
        <v>4613</v>
      </c>
      <c r="B15" s="167">
        <v>9800578</v>
      </c>
      <c r="C15" s="167" t="s">
        <v>4614</v>
      </c>
      <c r="D15" s="88" t="s">
        <v>785</v>
      </c>
      <c r="E15" s="88" t="s">
        <v>2216</v>
      </c>
      <c r="F15" s="38" t="s">
        <v>25</v>
      </c>
      <c r="G15" s="62">
        <v>42000</v>
      </c>
      <c r="H15" s="43"/>
      <c r="I15" s="62">
        <v>42000</v>
      </c>
      <c r="J15" s="43" t="s">
        <v>234</v>
      </c>
      <c r="K15" s="88"/>
      <c r="L15" s="62"/>
      <c r="M15" s="89"/>
      <c r="N15" s="38" t="s">
        <v>28</v>
      </c>
      <c r="O15" s="38" t="s">
        <v>20</v>
      </c>
      <c r="P15" s="38"/>
      <c r="Q15" s="38" t="s">
        <v>4615</v>
      </c>
      <c r="R15" s="38" t="s">
        <v>43</v>
      </c>
      <c r="S15" s="105"/>
      <c r="T15" s="105"/>
      <c r="U15" s="105"/>
      <c r="V15" s="105"/>
      <c r="W15" s="105"/>
      <c r="X15" s="105"/>
      <c r="Y15" s="105"/>
      <c r="Z15" s="105"/>
    </row>
    <row r="16" spans="1:26" x14ac:dyDescent="0.2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x14ac:dyDescent="0.2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15" customHeight="1" x14ac:dyDescent="0.25">
      <c r="A18" s="88" t="s">
        <v>4616</v>
      </c>
      <c r="B18" s="88">
        <v>1098312273</v>
      </c>
      <c r="C18" s="62">
        <v>42000</v>
      </c>
      <c r="D18" s="43"/>
      <c r="E18" s="43">
        <v>42000</v>
      </c>
      <c r="F18" s="57" t="s">
        <v>234</v>
      </c>
      <c r="G18" s="88"/>
      <c r="H18" s="62"/>
      <c r="I18" s="89"/>
      <c r="J18" s="38" t="s">
        <v>28</v>
      </c>
      <c r="K18" s="38" t="s">
        <v>20</v>
      </c>
      <c r="L18" s="38"/>
      <c r="M18" s="88" t="s">
        <v>4617</v>
      </c>
      <c r="N18" s="88" t="s">
        <v>1224</v>
      </c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15" customHeight="1" x14ac:dyDescent="0.25">
      <c r="A19" s="164" t="s">
        <v>4618</v>
      </c>
      <c r="B19" s="164">
        <v>1069764533</v>
      </c>
      <c r="C19" s="62">
        <v>57000</v>
      </c>
      <c r="D19" s="43"/>
      <c r="E19" s="43">
        <v>57000</v>
      </c>
      <c r="F19" s="57" t="s">
        <v>234</v>
      </c>
      <c r="G19" s="164"/>
      <c r="H19" s="62"/>
      <c r="I19" s="89"/>
      <c r="J19" s="38" t="s">
        <v>28</v>
      </c>
      <c r="K19" s="38" t="s">
        <v>20</v>
      </c>
      <c r="L19" s="38"/>
      <c r="M19" s="38" t="s">
        <v>4619</v>
      </c>
      <c r="N19" s="38" t="s">
        <v>30</v>
      </c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15" customHeight="1" x14ac:dyDescent="0.25">
      <c r="A20" s="38" t="s">
        <v>22</v>
      </c>
      <c r="B20" s="40">
        <v>1099683619</v>
      </c>
      <c r="C20" s="42">
        <v>57000</v>
      </c>
      <c r="D20" s="38"/>
      <c r="E20" s="169">
        <v>57000</v>
      </c>
      <c r="F20" s="57" t="s">
        <v>234</v>
      </c>
      <c r="G20" s="38"/>
      <c r="H20" s="42"/>
      <c r="I20" s="44"/>
      <c r="J20" s="38" t="s">
        <v>28</v>
      </c>
      <c r="K20" s="38" t="s">
        <v>20</v>
      </c>
      <c r="L20" s="38"/>
      <c r="M20" s="38" t="s">
        <v>4620</v>
      </c>
      <c r="N20" s="38" t="s">
        <v>61</v>
      </c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15.75" customHeight="1" x14ac:dyDescent="0.25">
      <c r="A21" s="38" t="s">
        <v>922</v>
      </c>
      <c r="B21" s="40">
        <v>24675335</v>
      </c>
      <c r="C21" s="42">
        <v>42000</v>
      </c>
      <c r="D21" s="38"/>
      <c r="E21" s="169">
        <v>42000</v>
      </c>
      <c r="F21" s="57" t="s">
        <v>234</v>
      </c>
      <c r="G21" s="38"/>
      <c r="H21" s="42"/>
      <c r="I21" s="44"/>
      <c r="J21" s="38" t="s">
        <v>28</v>
      </c>
      <c r="K21" s="38" t="s">
        <v>20</v>
      </c>
      <c r="L21" s="38"/>
      <c r="M21" s="38" t="s">
        <v>286</v>
      </c>
      <c r="N21" s="38" t="s">
        <v>925</v>
      </c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15.75" customHeight="1" x14ac:dyDescent="0.25">
      <c r="A22" s="38" t="s">
        <v>481</v>
      </c>
      <c r="B22" s="39">
        <v>900284514</v>
      </c>
      <c r="C22" s="42">
        <v>57000</v>
      </c>
      <c r="D22" s="42">
        <v>10830</v>
      </c>
      <c r="E22" s="169">
        <v>67830</v>
      </c>
      <c r="F22" s="57" t="s">
        <v>234</v>
      </c>
      <c r="G22" s="38"/>
      <c r="H22" s="42"/>
      <c r="I22" s="44"/>
      <c r="J22" s="38" t="s">
        <v>28</v>
      </c>
      <c r="K22" s="38" t="s">
        <v>20</v>
      </c>
      <c r="L22" s="38"/>
      <c r="M22" s="38" t="s">
        <v>4621</v>
      </c>
      <c r="N22" s="38" t="s">
        <v>126</v>
      </c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15.75" customHeight="1" x14ac:dyDescent="0.25">
      <c r="A23" s="38" t="s">
        <v>4622</v>
      </c>
      <c r="B23" s="39">
        <v>1004777510</v>
      </c>
      <c r="C23" s="42">
        <v>42000</v>
      </c>
      <c r="D23" s="38"/>
      <c r="E23" s="169">
        <v>42000</v>
      </c>
      <c r="F23" s="57" t="s">
        <v>234</v>
      </c>
      <c r="G23" s="38"/>
      <c r="H23" s="42"/>
      <c r="I23" s="44"/>
      <c r="J23" s="38" t="s">
        <v>28</v>
      </c>
      <c r="K23" s="38" t="s">
        <v>20</v>
      </c>
      <c r="L23" s="38"/>
      <c r="M23" s="38" t="s">
        <v>107</v>
      </c>
      <c r="N23" s="38" t="s">
        <v>4623</v>
      </c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5.75" customHeight="1" x14ac:dyDescent="0.25">
      <c r="A24" s="38" t="s">
        <v>4624</v>
      </c>
      <c r="B24" s="39">
        <v>1012453097</v>
      </c>
      <c r="C24" s="42">
        <v>42000</v>
      </c>
      <c r="D24" s="38"/>
      <c r="E24" s="169">
        <v>42000</v>
      </c>
      <c r="F24" s="57" t="s">
        <v>234</v>
      </c>
      <c r="G24" s="38"/>
      <c r="H24" s="42"/>
      <c r="I24" s="44"/>
      <c r="J24" s="38" t="s">
        <v>28</v>
      </c>
      <c r="K24" s="38" t="s">
        <v>20</v>
      </c>
      <c r="L24" s="38"/>
      <c r="M24" s="38" t="s">
        <v>49</v>
      </c>
      <c r="N24" s="38" t="s">
        <v>4290</v>
      </c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15.75" customHeight="1" x14ac:dyDescent="0.25">
      <c r="A25" s="88" t="s">
        <v>4625</v>
      </c>
      <c r="B25" s="88">
        <v>29819822</v>
      </c>
      <c r="C25" s="88">
        <v>3170608071</v>
      </c>
      <c r="D25" s="88" t="s">
        <v>3249</v>
      </c>
      <c r="E25" s="43">
        <v>82000</v>
      </c>
      <c r="F25" s="88" t="s">
        <v>421</v>
      </c>
      <c r="G25" s="62">
        <v>82000</v>
      </c>
      <c r="H25" s="43"/>
      <c r="I25" s="62">
        <v>82000</v>
      </c>
      <c r="J25" s="43" t="s">
        <v>234</v>
      </c>
      <c r="K25" s="88"/>
      <c r="L25" s="62"/>
      <c r="M25" s="89"/>
      <c r="N25" s="38" t="s">
        <v>3029</v>
      </c>
      <c r="O25" s="38" t="s">
        <v>20</v>
      </c>
      <c r="P25" s="38"/>
      <c r="Q25" s="88" t="s">
        <v>4626</v>
      </c>
      <c r="R25" s="88" t="s">
        <v>4627</v>
      </c>
      <c r="S25" s="105"/>
      <c r="T25" s="105"/>
      <c r="U25" s="105"/>
      <c r="V25" s="105"/>
      <c r="W25" s="105"/>
      <c r="X25" s="105"/>
      <c r="Y25" s="105"/>
      <c r="Z25" s="105"/>
    </row>
    <row r="26" spans="1:26" ht="15.75" customHeight="1" x14ac:dyDescent="0.25">
      <c r="A26" s="88" t="s">
        <v>3021</v>
      </c>
      <c r="B26" s="88">
        <v>1005079541</v>
      </c>
      <c r="C26" s="88" t="s">
        <v>4628</v>
      </c>
      <c r="D26" s="88" t="s">
        <v>4629</v>
      </c>
      <c r="E26" s="43">
        <v>42000</v>
      </c>
      <c r="F26" s="62">
        <v>42000</v>
      </c>
      <c r="G26" s="88" t="s">
        <v>25</v>
      </c>
      <c r="H26" s="62">
        <v>42000</v>
      </c>
      <c r="I26" s="43"/>
      <c r="J26" s="62">
        <v>42000</v>
      </c>
      <c r="K26" s="57" t="s">
        <v>234</v>
      </c>
      <c r="L26" s="88"/>
      <c r="M26" s="62"/>
      <c r="N26" s="89"/>
      <c r="O26" s="38" t="s">
        <v>2730</v>
      </c>
      <c r="P26" s="38" t="s">
        <v>20</v>
      </c>
      <c r="Q26" s="38"/>
      <c r="R26" s="88" t="s">
        <v>4630</v>
      </c>
      <c r="S26" s="88" t="s">
        <v>2970</v>
      </c>
      <c r="T26" s="105"/>
      <c r="U26" s="105"/>
      <c r="V26" s="105"/>
      <c r="W26" s="105"/>
      <c r="X26" s="105"/>
      <c r="Y26" s="105"/>
      <c r="Z26" s="105"/>
    </row>
    <row r="27" spans="1:26" ht="15.75" customHeight="1" x14ac:dyDescent="0.25">
      <c r="A27" s="38" t="s">
        <v>4631</v>
      </c>
      <c r="B27" s="39">
        <v>24995492</v>
      </c>
      <c r="C27" s="40" t="s">
        <v>4632</v>
      </c>
      <c r="D27" s="38" t="s">
        <v>3022</v>
      </c>
      <c r="E27" s="43">
        <v>42000</v>
      </c>
      <c r="F27" s="62">
        <v>42000</v>
      </c>
      <c r="G27" s="88" t="s">
        <v>25</v>
      </c>
      <c r="H27" s="62">
        <v>42000</v>
      </c>
      <c r="I27" s="43"/>
      <c r="J27" s="62">
        <v>42000</v>
      </c>
      <c r="K27" s="57" t="s">
        <v>234</v>
      </c>
      <c r="L27" s="88"/>
      <c r="M27" s="62"/>
      <c r="N27" s="89"/>
      <c r="O27" s="38" t="s">
        <v>2730</v>
      </c>
      <c r="P27" s="38" t="s">
        <v>20</v>
      </c>
      <c r="Q27" s="38"/>
      <c r="R27" s="174" t="s">
        <v>4633</v>
      </c>
      <c r="S27" s="88" t="s">
        <v>2788</v>
      </c>
      <c r="T27" s="105"/>
      <c r="U27" s="105"/>
      <c r="V27" s="105"/>
      <c r="W27" s="105"/>
      <c r="X27" s="105"/>
      <c r="Y27" s="105"/>
      <c r="Z27" s="105"/>
    </row>
    <row r="28" spans="1:26" ht="15.75" customHeight="1" x14ac:dyDescent="0.25">
      <c r="A28" s="38" t="s">
        <v>4631</v>
      </c>
      <c r="B28" s="40">
        <v>24995492</v>
      </c>
      <c r="C28" s="88" t="s">
        <v>4632</v>
      </c>
      <c r="D28" s="88" t="s">
        <v>4634</v>
      </c>
      <c r="E28" s="43">
        <v>42000</v>
      </c>
      <c r="F28" s="62">
        <v>42000</v>
      </c>
      <c r="G28" s="88" t="s">
        <v>25</v>
      </c>
      <c r="H28" s="62">
        <v>42000</v>
      </c>
      <c r="I28" s="43"/>
      <c r="J28" s="62">
        <v>42000</v>
      </c>
      <c r="K28" s="57" t="s">
        <v>234</v>
      </c>
      <c r="L28" s="88"/>
      <c r="M28" s="62"/>
      <c r="N28" s="89"/>
      <c r="O28" s="38" t="s">
        <v>2730</v>
      </c>
      <c r="P28" s="38" t="s">
        <v>20</v>
      </c>
      <c r="Q28" s="38"/>
      <c r="R28" s="38" t="s">
        <v>67</v>
      </c>
      <c r="S28" s="88" t="s">
        <v>4635</v>
      </c>
      <c r="T28" s="105"/>
      <c r="U28" s="105"/>
      <c r="V28" s="105"/>
      <c r="W28" s="105"/>
      <c r="X28" s="105"/>
      <c r="Y28" s="105"/>
      <c r="Z28" s="105"/>
    </row>
    <row r="29" spans="1:26" ht="15.75" customHeight="1" x14ac:dyDescent="0.25">
      <c r="A29" s="38" t="s">
        <v>4636</v>
      </c>
      <c r="B29" s="40">
        <v>1007888609</v>
      </c>
      <c r="C29" s="38" t="s">
        <v>25</v>
      </c>
      <c r="D29" s="42">
        <v>42000</v>
      </c>
      <c r="E29" s="169">
        <v>42000</v>
      </c>
      <c r="F29" s="42">
        <v>42000</v>
      </c>
      <c r="G29" s="57" t="s">
        <v>234</v>
      </c>
      <c r="H29" s="155"/>
      <c r="I29" s="62"/>
      <c r="J29" s="89"/>
      <c r="K29" s="38" t="s">
        <v>4135</v>
      </c>
      <c r="L29" s="38" t="s">
        <v>20</v>
      </c>
      <c r="M29" s="38"/>
      <c r="N29" s="38" t="s">
        <v>4637</v>
      </c>
      <c r="O29" s="38" t="s">
        <v>4638</v>
      </c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15.75" customHeight="1" x14ac:dyDescent="0.25">
      <c r="A30" s="88" t="s">
        <v>4639</v>
      </c>
      <c r="B30" s="88">
        <v>94230872</v>
      </c>
      <c r="C30" s="88" t="s">
        <v>3141</v>
      </c>
      <c r="D30" s="164" t="s">
        <v>421</v>
      </c>
      <c r="E30" s="43">
        <v>82000</v>
      </c>
      <c r="F30" s="43">
        <v>82000</v>
      </c>
      <c r="G30" s="42">
        <v>82000</v>
      </c>
      <c r="H30" s="57" t="s">
        <v>234</v>
      </c>
      <c r="I30" s="38"/>
      <c r="J30" s="42"/>
      <c r="K30" s="44"/>
      <c r="L30" s="38" t="s">
        <v>4380</v>
      </c>
      <c r="M30" s="38" t="s">
        <v>20</v>
      </c>
      <c r="N30" s="38"/>
      <c r="O30" s="88" t="s">
        <v>4640</v>
      </c>
      <c r="P30" s="88" t="s">
        <v>4641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15.75" customHeight="1" x14ac:dyDescent="0.25">
      <c r="A31" s="38" t="s">
        <v>1830</v>
      </c>
      <c r="B31" s="39">
        <v>24675917</v>
      </c>
      <c r="C31" s="40" t="s">
        <v>4642</v>
      </c>
      <c r="D31" s="43" t="s">
        <v>234</v>
      </c>
      <c r="E31" s="169">
        <v>42000</v>
      </c>
      <c r="F31" s="38">
        <v>42000</v>
      </c>
      <c r="G31" s="44"/>
      <c r="H31" s="38" t="s">
        <v>28</v>
      </c>
      <c r="I31" s="38" t="s">
        <v>20</v>
      </c>
      <c r="J31" s="38"/>
      <c r="K31" s="38" t="s">
        <v>30</v>
      </c>
      <c r="L31" s="38" t="s">
        <v>4643</v>
      </c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5.75" customHeight="1" x14ac:dyDescent="0.25">
      <c r="A32" s="164" t="s">
        <v>956</v>
      </c>
      <c r="B32" s="164">
        <v>31421546</v>
      </c>
      <c r="C32" s="164" t="s">
        <v>4644</v>
      </c>
      <c r="D32" s="164" t="s">
        <v>839</v>
      </c>
      <c r="E32" s="43">
        <v>42000</v>
      </c>
      <c r="F32" s="62">
        <v>42000</v>
      </c>
      <c r="G32" s="62">
        <v>42000</v>
      </c>
      <c r="H32" s="164"/>
      <c r="I32" s="62">
        <v>42000</v>
      </c>
      <c r="J32" s="43" t="s">
        <v>234</v>
      </c>
      <c r="K32" s="164"/>
      <c r="L32" s="62"/>
      <c r="M32" s="89"/>
      <c r="N32" s="38" t="s">
        <v>28</v>
      </c>
      <c r="O32" s="38" t="s">
        <v>20</v>
      </c>
      <c r="P32" s="38"/>
      <c r="Q32" s="38" t="s">
        <v>4645</v>
      </c>
      <c r="R32" s="38" t="s">
        <v>107</v>
      </c>
      <c r="S32" s="105"/>
      <c r="T32" s="105"/>
      <c r="U32" s="105"/>
      <c r="V32" s="105"/>
      <c r="W32" s="105"/>
      <c r="X32" s="105"/>
      <c r="Y32" s="105"/>
      <c r="Z32" s="105"/>
    </row>
    <row r="33" spans="1:26" ht="15.75" customHeight="1" x14ac:dyDescent="0.25">
      <c r="A33" s="38" t="s">
        <v>4646</v>
      </c>
      <c r="B33" s="39">
        <v>1099682345</v>
      </c>
      <c r="C33" s="40" t="s">
        <v>4647</v>
      </c>
      <c r="D33" s="38" t="s">
        <v>24</v>
      </c>
      <c r="E33" s="169">
        <v>42000</v>
      </c>
      <c r="F33" s="42">
        <v>42000</v>
      </c>
      <c r="G33" s="42">
        <v>42000</v>
      </c>
      <c r="H33" s="38"/>
      <c r="I33" s="42">
        <v>42000</v>
      </c>
      <c r="J33" s="43" t="s">
        <v>234</v>
      </c>
      <c r="K33" s="38"/>
      <c r="L33" s="42"/>
      <c r="M33" s="44"/>
      <c r="N33" s="38" t="s">
        <v>28</v>
      </c>
      <c r="O33" s="38" t="s">
        <v>20</v>
      </c>
      <c r="P33" s="38"/>
      <c r="Q33" s="38" t="s">
        <v>30</v>
      </c>
      <c r="R33" s="38" t="s">
        <v>29</v>
      </c>
      <c r="S33" s="105"/>
      <c r="T33" s="105"/>
      <c r="U33" s="105"/>
      <c r="V33" s="105"/>
      <c r="W33" s="105"/>
      <c r="X33" s="105"/>
      <c r="Y33" s="105"/>
      <c r="Z33" s="105"/>
    </row>
    <row r="34" spans="1:26" ht="15.75" customHeight="1" x14ac:dyDescent="0.25">
      <c r="A34" s="88" t="s">
        <v>4648</v>
      </c>
      <c r="B34" s="88">
        <v>94463375</v>
      </c>
      <c r="C34" s="88">
        <v>3126503838</v>
      </c>
      <c r="D34" s="88" t="s">
        <v>4649</v>
      </c>
      <c r="E34" s="88"/>
      <c r="F34" s="88" t="s">
        <v>2731</v>
      </c>
      <c r="G34" s="62">
        <v>42000</v>
      </c>
      <c r="H34" s="62"/>
      <c r="I34" s="62">
        <v>42000</v>
      </c>
      <c r="J34" s="43" t="s">
        <v>234</v>
      </c>
      <c r="K34" s="88"/>
      <c r="L34" s="62"/>
      <c r="M34" s="89"/>
      <c r="N34" s="38" t="s">
        <v>3354</v>
      </c>
      <c r="O34" s="38" t="s">
        <v>20</v>
      </c>
      <c r="P34" s="38"/>
      <c r="Q34" s="88" t="s">
        <v>4650</v>
      </c>
      <c r="R34" s="88"/>
      <c r="S34" s="105"/>
      <c r="T34" s="105"/>
      <c r="U34" s="105"/>
      <c r="V34" s="105"/>
      <c r="W34" s="105"/>
      <c r="X34" s="105"/>
      <c r="Y34" s="105"/>
      <c r="Z34" s="105"/>
    </row>
    <row r="35" spans="1:26" ht="15.75" customHeight="1" x14ac:dyDescent="0.25">
      <c r="A35" s="88" t="s">
        <v>4651</v>
      </c>
      <c r="B35" s="88">
        <v>1004831415</v>
      </c>
      <c r="C35" s="88">
        <v>3217320169</v>
      </c>
      <c r="D35" s="88" t="s">
        <v>3470</v>
      </c>
      <c r="E35" s="88" t="s">
        <v>2730</v>
      </c>
      <c r="F35" s="62">
        <v>82000</v>
      </c>
      <c r="G35" s="43" t="s">
        <v>234</v>
      </c>
      <c r="H35" s="38" t="s">
        <v>3353</v>
      </c>
      <c r="I35" s="88" t="s">
        <v>3594</v>
      </c>
      <c r="J35" s="88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15.75" customHeight="1" x14ac:dyDescent="0.25">
      <c r="A36" s="88" t="s">
        <v>4652</v>
      </c>
      <c r="B36" s="88">
        <v>1115195076</v>
      </c>
      <c r="C36" s="88" t="s">
        <v>4653</v>
      </c>
      <c r="D36" s="88" t="s">
        <v>4654</v>
      </c>
      <c r="E36" s="88" t="s">
        <v>1782</v>
      </c>
      <c r="F36" s="88" t="s">
        <v>1783</v>
      </c>
      <c r="G36" s="62">
        <v>82000</v>
      </c>
      <c r="H36" s="62"/>
      <c r="I36" s="62">
        <v>82000</v>
      </c>
      <c r="J36" s="43" t="s">
        <v>234</v>
      </c>
      <c r="K36" s="155"/>
      <c r="L36" s="62"/>
      <c r="M36" s="89"/>
      <c r="N36" s="38" t="s">
        <v>3354</v>
      </c>
      <c r="O36" s="88" t="s">
        <v>3631</v>
      </c>
      <c r="P36" s="88" t="s">
        <v>4141</v>
      </c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15.75" customHeight="1" x14ac:dyDescent="0.25">
      <c r="A37" s="88" t="s">
        <v>4655</v>
      </c>
      <c r="B37" s="88">
        <v>1115193728</v>
      </c>
      <c r="C37" s="88">
        <v>3117688203</v>
      </c>
      <c r="D37" s="88" t="s">
        <v>4324</v>
      </c>
      <c r="E37" s="88" t="s">
        <v>1782</v>
      </c>
      <c r="F37" s="38" t="s">
        <v>1783</v>
      </c>
      <c r="G37" s="175">
        <v>82000</v>
      </c>
      <c r="H37" s="176"/>
      <c r="I37" s="62">
        <v>82000</v>
      </c>
      <c r="J37" s="43" t="s">
        <v>234</v>
      </c>
      <c r="K37" s="88"/>
      <c r="L37" s="62"/>
      <c r="M37" s="89"/>
      <c r="N37" s="38" t="s">
        <v>1784</v>
      </c>
      <c r="O37" s="38" t="s">
        <v>4656</v>
      </c>
      <c r="P37" s="38" t="s">
        <v>4657</v>
      </c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15.75" customHeight="1" x14ac:dyDescent="0.25">
      <c r="A38" s="38" t="s">
        <v>4658</v>
      </c>
      <c r="B38" s="39">
        <v>1005367355</v>
      </c>
      <c r="C38" s="40" t="s">
        <v>1014</v>
      </c>
      <c r="D38" s="38" t="s">
        <v>25</v>
      </c>
      <c r="E38" s="42">
        <v>42000</v>
      </c>
      <c r="F38" s="43" t="s">
        <v>234</v>
      </c>
      <c r="G38" s="38" t="s">
        <v>28</v>
      </c>
      <c r="H38" s="38" t="s">
        <v>4659</v>
      </c>
      <c r="I38" s="38" t="s">
        <v>67</v>
      </c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ht="15.75" customHeight="1" x14ac:dyDescent="0.25">
      <c r="A39" s="38" t="s">
        <v>4660</v>
      </c>
      <c r="B39" s="39">
        <v>9800929</v>
      </c>
      <c r="C39" s="40" t="s">
        <v>4661</v>
      </c>
      <c r="D39" s="38" t="s">
        <v>764</v>
      </c>
      <c r="E39" s="38">
        <v>160</v>
      </c>
      <c r="F39" s="38" t="s">
        <v>25</v>
      </c>
      <c r="G39" s="42">
        <v>42000</v>
      </c>
      <c r="H39" s="38"/>
      <c r="I39" s="42">
        <v>42000</v>
      </c>
      <c r="J39" s="43" t="s">
        <v>26</v>
      </c>
      <c r="K39" s="38"/>
      <c r="L39" s="42">
        <v>42000</v>
      </c>
      <c r="M39" s="44">
        <v>45839</v>
      </c>
      <c r="N39" s="38" t="s">
        <v>28</v>
      </c>
      <c r="O39" s="38" t="s">
        <v>20</v>
      </c>
      <c r="P39" s="38"/>
      <c r="Q39" s="38" t="s">
        <v>126</v>
      </c>
      <c r="R39" s="38" t="s">
        <v>4662</v>
      </c>
      <c r="S39" s="105"/>
      <c r="T39" s="105"/>
      <c r="U39" s="105"/>
      <c r="V39" s="105"/>
      <c r="W39" s="105"/>
      <c r="X39" s="105"/>
      <c r="Y39" s="105"/>
      <c r="Z39" s="105"/>
    </row>
    <row r="40" spans="1:26" ht="15.75" customHeight="1" x14ac:dyDescent="0.25">
      <c r="A40" s="38" t="s">
        <v>4663</v>
      </c>
      <c r="B40" s="39">
        <v>1192917724</v>
      </c>
      <c r="C40" s="40" t="s">
        <v>4664</v>
      </c>
      <c r="D40" s="38" t="s">
        <v>4665</v>
      </c>
      <c r="E40" s="38">
        <v>271</v>
      </c>
      <c r="F40" s="38" t="s">
        <v>25</v>
      </c>
      <c r="G40" s="42">
        <v>42000</v>
      </c>
      <c r="H40" s="38"/>
      <c r="I40" s="42">
        <v>42000</v>
      </c>
      <c r="J40" s="43" t="s">
        <v>234</v>
      </c>
      <c r="K40" s="38"/>
      <c r="L40" s="42"/>
      <c r="M40" s="44"/>
      <c r="N40" s="38" t="s">
        <v>28</v>
      </c>
      <c r="O40" s="38" t="s">
        <v>20</v>
      </c>
      <c r="P40" s="38"/>
      <c r="Q40" s="38" t="s">
        <v>4666</v>
      </c>
      <c r="R40" s="38" t="s">
        <v>716</v>
      </c>
      <c r="S40" s="105"/>
      <c r="T40" s="105"/>
      <c r="U40" s="105"/>
      <c r="V40" s="105"/>
      <c r="W40" s="105"/>
      <c r="X40" s="105"/>
      <c r="Y40" s="105"/>
      <c r="Z40" s="105"/>
    </row>
    <row r="41" spans="1:26" ht="15.75" customHeight="1" x14ac:dyDescent="0.25">
      <c r="A41" s="38" t="s">
        <v>4667</v>
      </c>
      <c r="B41" s="39">
        <v>24578949</v>
      </c>
      <c r="C41" s="40" t="s">
        <v>4668</v>
      </c>
      <c r="D41" s="38" t="s">
        <v>4669</v>
      </c>
      <c r="E41" s="38">
        <v>705</v>
      </c>
      <c r="F41" s="38" t="s">
        <v>25</v>
      </c>
      <c r="G41" s="42">
        <v>42000</v>
      </c>
      <c r="H41" s="38"/>
      <c r="I41" s="42">
        <v>42000</v>
      </c>
      <c r="J41" s="43" t="s">
        <v>26</v>
      </c>
      <c r="K41" s="38"/>
      <c r="L41" s="42">
        <v>42000</v>
      </c>
      <c r="M41" s="44">
        <v>45840</v>
      </c>
      <c r="N41" s="38" t="s">
        <v>28</v>
      </c>
      <c r="O41" s="38" t="s">
        <v>20</v>
      </c>
      <c r="P41" s="38"/>
      <c r="Q41" s="38" t="s">
        <v>4670</v>
      </c>
      <c r="R41" s="38"/>
      <c r="S41" s="105"/>
      <c r="T41" s="105"/>
      <c r="U41" s="105"/>
      <c r="V41" s="105"/>
      <c r="W41" s="105"/>
      <c r="X41" s="105"/>
      <c r="Y41" s="105"/>
      <c r="Z41" s="105"/>
    </row>
    <row r="42" spans="1:26" ht="15.75" customHeight="1" x14ac:dyDescent="0.2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ht="15.75" customHeight="1" x14ac:dyDescent="0.2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ht="15.75" customHeight="1" x14ac:dyDescent="0.25">
      <c r="A44" s="38" t="s">
        <v>4671</v>
      </c>
      <c r="B44" s="38">
        <v>1022379110</v>
      </c>
      <c r="C44" s="38" t="s">
        <v>25</v>
      </c>
      <c r="D44" s="42">
        <v>42000</v>
      </c>
      <c r="E44" s="38"/>
      <c r="F44" s="42">
        <v>42000</v>
      </c>
      <c r="G44" s="43" t="s">
        <v>234</v>
      </c>
      <c r="H44" s="38"/>
      <c r="I44" s="42"/>
      <c r="J44" s="44"/>
      <c r="K44" s="38" t="s">
        <v>28</v>
      </c>
      <c r="L44" s="38" t="s">
        <v>20</v>
      </c>
      <c r="M44" s="38"/>
      <c r="N44" s="38" t="s">
        <v>4672</v>
      </c>
      <c r="O44" s="38" t="s">
        <v>1321</v>
      </c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ht="15.75" customHeight="1" x14ac:dyDescent="0.25">
      <c r="A45" s="164" t="s">
        <v>4673</v>
      </c>
      <c r="B45" s="177">
        <v>1054997975</v>
      </c>
      <c r="C45" s="71" t="s">
        <v>963</v>
      </c>
      <c r="D45" s="71" t="s">
        <v>4674</v>
      </c>
      <c r="E45" s="38" t="s">
        <v>25</v>
      </c>
      <c r="F45" s="62">
        <v>42000</v>
      </c>
      <c r="G45" s="43" t="s">
        <v>234</v>
      </c>
      <c r="H45" s="164"/>
      <c r="I45" s="62"/>
      <c r="J45" s="89"/>
      <c r="K45" s="38" t="s">
        <v>28</v>
      </c>
      <c r="L45" s="38" t="s">
        <v>20</v>
      </c>
      <c r="M45" s="38"/>
      <c r="N45" s="38" t="s">
        <v>4675</v>
      </c>
      <c r="O45" s="38" t="s">
        <v>30</v>
      </c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ht="15.75" customHeight="1" x14ac:dyDescent="0.25">
      <c r="A46" s="38" t="s">
        <v>4676</v>
      </c>
      <c r="B46" s="40">
        <v>35490802</v>
      </c>
      <c r="C46" s="38" t="s">
        <v>4677</v>
      </c>
      <c r="D46" s="38" t="s">
        <v>2047</v>
      </c>
      <c r="E46" s="38" t="s">
        <v>25</v>
      </c>
      <c r="F46" s="42">
        <v>42000</v>
      </c>
      <c r="G46" s="43" t="s">
        <v>234</v>
      </c>
      <c r="H46" s="38"/>
      <c r="I46" s="42"/>
      <c r="J46" s="44"/>
      <c r="K46" s="38" t="s">
        <v>28</v>
      </c>
      <c r="L46" s="38" t="s">
        <v>20</v>
      </c>
      <c r="M46" s="38"/>
      <c r="N46" s="38" t="s">
        <v>2409</v>
      </c>
      <c r="O46" s="38" t="s">
        <v>30</v>
      </c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ht="15.75" customHeight="1" x14ac:dyDescent="0.25">
      <c r="A47" s="88" t="s">
        <v>4678</v>
      </c>
      <c r="B47" s="88">
        <v>15337844</v>
      </c>
      <c r="C47" s="88" t="s">
        <v>421</v>
      </c>
      <c r="D47" s="62">
        <v>82000</v>
      </c>
      <c r="E47" s="43"/>
      <c r="F47" s="62">
        <v>82000</v>
      </c>
      <c r="G47" s="178"/>
      <c r="H47" s="88"/>
      <c r="I47" s="62"/>
      <c r="J47" s="89"/>
      <c r="K47" s="38" t="s">
        <v>3029</v>
      </c>
      <c r="L47" s="38" t="s">
        <v>20</v>
      </c>
      <c r="M47" s="38"/>
      <c r="N47" s="88" t="s">
        <v>3219</v>
      </c>
      <c r="O47" s="88" t="s">
        <v>4679</v>
      </c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ht="15.75" customHeight="1" x14ac:dyDescent="0.25">
      <c r="A48" s="88" t="s">
        <v>4680</v>
      </c>
      <c r="B48" s="88">
        <v>41939648</v>
      </c>
      <c r="C48" s="88" t="s">
        <v>421</v>
      </c>
      <c r="D48" s="62">
        <v>82000</v>
      </c>
      <c r="E48" s="43"/>
      <c r="F48" s="62">
        <v>82000</v>
      </c>
      <c r="G48" s="43" t="s">
        <v>234</v>
      </c>
      <c r="H48" s="88"/>
      <c r="I48" s="62"/>
      <c r="J48" s="89"/>
      <c r="K48" s="38" t="s">
        <v>3353</v>
      </c>
      <c r="L48" s="105"/>
      <c r="M48" s="105"/>
      <c r="N48" s="88" t="s">
        <v>4681</v>
      </c>
      <c r="O48" s="88" t="s">
        <v>4682</v>
      </c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ht="15.75" customHeight="1" x14ac:dyDescent="0.25">
      <c r="A49" s="38" t="s">
        <v>4683</v>
      </c>
      <c r="B49" s="40">
        <v>24675546</v>
      </c>
      <c r="C49" s="38" t="s">
        <v>953</v>
      </c>
      <c r="D49" s="38" t="s">
        <v>4684</v>
      </c>
      <c r="E49" s="38" t="s">
        <v>25</v>
      </c>
      <c r="F49" s="42">
        <v>42000</v>
      </c>
      <c r="G49" s="43" t="s">
        <v>234</v>
      </c>
      <c r="H49" s="38"/>
      <c r="I49" s="42"/>
      <c r="J49" s="44"/>
      <c r="K49" s="38" t="s">
        <v>28</v>
      </c>
      <c r="L49" s="38" t="s">
        <v>20</v>
      </c>
      <c r="M49" s="38"/>
      <c r="N49" s="38" t="s">
        <v>126</v>
      </c>
      <c r="O49" s="38" t="s">
        <v>4685</v>
      </c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ht="15.75" customHeight="1" x14ac:dyDescent="0.25">
      <c r="A50" s="88" t="s">
        <v>4686</v>
      </c>
      <c r="B50" s="97">
        <v>24675093</v>
      </c>
      <c r="C50" s="88" t="s">
        <v>968</v>
      </c>
      <c r="D50" s="88"/>
      <c r="E50" s="38" t="s">
        <v>25</v>
      </c>
      <c r="F50" s="62">
        <v>42000</v>
      </c>
      <c r="G50" s="43" t="s">
        <v>234</v>
      </c>
      <c r="H50" s="88"/>
      <c r="I50" s="62"/>
      <c r="J50" s="89"/>
      <c r="K50" s="38" t="s">
        <v>28</v>
      </c>
      <c r="L50" s="38" t="s">
        <v>20</v>
      </c>
      <c r="M50" s="38"/>
      <c r="N50" s="88" t="s">
        <v>4687</v>
      </c>
      <c r="O50" s="88" t="s">
        <v>366</v>
      </c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ht="15.75" customHeight="1" x14ac:dyDescent="0.25">
      <c r="A51" s="38" t="s">
        <v>4688</v>
      </c>
      <c r="B51" s="39">
        <v>1128268608</v>
      </c>
      <c r="C51" s="38" t="s">
        <v>948</v>
      </c>
      <c r="D51" s="38"/>
      <c r="E51" s="38" t="s">
        <v>188</v>
      </c>
      <c r="F51" s="42">
        <v>102000</v>
      </c>
      <c r="G51" s="43" t="s">
        <v>234</v>
      </c>
      <c r="H51" s="38"/>
      <c r="I51" s="42"/>
      <c r="J51" s="44"/>
      <c r="K51" s="38" t="s">
        <v>28</v>
      </c>
      <c r="L51" s="38" t="s">
        <v>20</v>
      </c>
      <c r="M51" s="38"/>
      <c r="N51" s="38" t="s">
        <v>4689</v>
      </c>
      <c r="O51" s="38" t="s">
        <v>683</v>
      </c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ht="15.75" customHeight="1" x14ac:dyDescent="0.25">
      <c r="A52" s="38" t="s">
        <v>4690</v>
      </c>
      <c r="B52" s="40">
        <v>5733358</v>
      </c>
      <c r="C52" s="38" t="s">
        <v>4691</v>
      </c>
      <c r="D52" s="38" t="s">
        <v>4692</v>
      </c>
      <c r="E52" s="38" t="s">
        <v>25</v>
      </c>
      <c r="F52" s="42">
        <v>42000</v>
      </c>
      <c r="G52" s="43" t="s">
        <v>234</v>
      </c>
      <c r="H52" s="38"/>
      <c r="I52" s="42"/>
      <c r="J52" s="44"/>
      <c r="K52" s="38" t="s">
        <v>28</v>
      </c>
      <c r="L52" s="38" t="s">
        <v>20</v>
      </c>
      <c r="M52" s="38"/>
      <c r="N52" s="38" t="s">
        <v>4693</v>
      </c>
      <c r="O52" s="38" t="s">
        <v>67</v>
      </c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ht="15.75" customHeight="1" x14ac:dyDescent="0.25">
      <c r="A53" s="88" t="s">
        <v>4694</v>
      </c>
      <c r="B53" s="177">
        <v>800024318</v>
      </c>
      <c r="C53" s="88">
        <v>3113437999</v>
      </c>
      <c r="D53" s="88" t="s">
        <v>919</v>
      </c>
      <c r="E53" s="88"/>
      <c r="F53" s="62">
        <v>53550</v>
      </c>
      <c r="G53" s="62">
        <v>53550</v>
      </c>
      <c r="H53" s="43" t="s">
        <v>26</v>
      </c>
      <c r="I53" s="88" t="s">
        <v>85</v>
      </c>
      <c r="J53" s="62">
        <v>53550</v>
      </c>
      <c r="K53" s="89"/>
      <c r="L53" s="38" t="s">
        <v>28</v>
      </c>
      <c r="M53" s="38" t="s">
        <v>20</v>
      </c>
      <c r="N53" s="38"/>
      <c r="O53" s="88" t="s">
        <v>4695</v>
      </c>
      <c r="P53" s="88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ht="15.75" customHeight="1" x14ac:dyDescent="0.25">
      <c r="A54" s="88" t="s">
        <v>4696</v>
      </c>
      <c r="B54" s="88">
        <v>1116249336</v>
      </c>
      <c r="C54" s="88">
        <v>3116243518</v>
      </c>
      <c r="D54" s="88" t="s">
        <v>3508</v>
      </c>
      <c r="E54" s="88" t="s">
        <v>3028</v>
      </c>
      <c r="F54" s="62">
        <v>82000</v>
      </c>
      <c r="G54" s="62">
        <v>82000</v>
      </c>
      <c r="H54" s="43"/>
      <c r="I54" s="62">
        <v>82000</v>
      </c>
      <c r="J54" s="178"/>
      <c r="K54" s="88" t="s">
        <v>427</v>
      </c>
      <c r="L54" s="62">
        <v>82000</v>
      </c>
      <c r="M54" s="89"/>
      <c r="N54" s="88" t="s">
        <v>4697</v>
      </c>
      <c r="O54" s="88" t="s">
        <v>4697</v>
      </c>
      <c r="P54" s="38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ht="15.75" customHeight="1" x14ac:dyDescent="0.25">
      <c r="A55" s="38" t="s">
        <v>4698</v>
      </c>
      <c r="B55" s="39">
        <v>66771942</v>
      </c>
      <c r="C55" s="40" t="s">
        <v>4699</v>
      </c>
      <c r="D55" s="38" t="s">
        <v>975</v>
      </c>
      <c r="E55" s="38">
        <v>607</v>
      </c>
      <c r="F55" s="42">
        <v>42000</v>
      </c>
      <c r="G55" s="42">
        <v>42000</v>
      </c>
      <c r="H55" s="43" t="s">
        <v>234</v>
      </c>
      <c r="I55" s="38"/>
      <c r="J55" s="42"/>
      <c r="K55" s="44"/>
      <c r="L55" s="38" t="s">
        <v>28</v>
      </c>
      <c r="M55" s="38" t="s">
        <v>20</v>
      </c>
      <c r="N55" s="38" t="s">
        <v>4700</v>
      </c>
      <c r="O55" s="38" t="s">
        <v>30</v>
      </c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ht="15.75" customHeight="1" x14ac:dyDescent="0.25">
      <c r="A56" s="88" t="s">
        <v>4701</v>
      </c>
      <c r="B56" s="88">
        <v>14684079</v>
      </c>
      <c r="C56" s="88" t="s">
        <v>4702</v>
      </c>
      <c r="D56" s="88" t="s">
        <v>4703</v>
      </c>
      <c r="E56" s="88" t="s">
        <v>25</v>
      </c>
      <c r="F56" s="62">
        <v>42000</v>
      </c>
      <c r="G56" s="43" t="s">
        <v>234</v>
      </c>
      <c r="H56" s="155"/>
      <c r="I56" s="62"/>
      <c r="J56" s="89"/>
      <c r="K56" s="38" t="s">
        <v>3354</v>
      </c>
      <c r="L56" s="38" t="s">
        <v>20</v>
      </c>
      <c r="M56" s="38"/>
      <c r="N56" s="88" t="s">
        <v>4704</v>
      </c>
      <c r="O56" s="88" t="s">
        <v>4705</v>
      </c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ht="15.75" customHeight="1" x14ac:dyDescent="0.25">
      <c r="A57" s="88" t="s">
        <v>4706</v>
      </c>
      <c r="B57" s="88">
        <v>66963999</v>
      </c>
      <c r="C57" s="88" t="s">
        <v>4707</v>
      </c>
      <c r="D57" s="88" t="s">
        <v>3312</v>
      </c>
      <c r="E57" s="88" t="s">
        <v>2730</v>
      </c>
      <c r="F57" s="62">
        <v>82000</v>
      </c>
      <c r="G57" s="43" t="s">
        <v>234</v>
      </c>
      <c r="H57" s="38" t="s">
        <v>3353</v>
      </c>
      <c r="I57" s="105"/>
      <c r="J57" s="105"/>
      <c r="K57" s="105"/>
      <c r="L57" s="105"/>
      <c r="M57" s="105"/>
      <c r="N57" s="88" t="s">
        <v>3598</v>
      </c>
      <c r="O57" s="88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ht="15.75" customHeight="1" x14ac:dyDescent="0.25">
      <c r="A58" s="88" t="s">
        <v>4708</v>
      </c>
      <c r="B58" s="97">
        <v>9801874</v>
      </c>
      <c r="C58" s="88">
        <v>3194060996</v>
      </c>
      <c r="D58" s="88" t="s">
        <v>277</v>
      </c>
      <c r="E58" s="88" t="s">
        <v>4709</v>
      </c>
      <c r="F58" s="62">
        <v>42000</v>
      </c>
      <c r="G58" s="105"/>
      <c r="H58" s="38"/>
      <c r="I58" s="62">
        <v>42000</v>
      </c>
      <c r="J58" s="43" t="s">
        <v>234</v>
      </c>
      <c r="K58" s="88"/>
      <c r="L58" s="62"/>
      <c r="M58" s="89"/>
      <c r="N58" s="38" t="s">
        <v>4710</v>
      </c>
      <c r="O58" s="38" t="s">
        <v>36</v>
      </c>
      <c r="P58" s="38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ht="15.75" customHeight="1" x14ac:dyDescent="0.25">
      <c r="A59" s="38" t="s">
        <v>4711</v>
      </c>
      <c r="B59" s="39">
        <v>1053797482</v>
      </c>
      <c r="C59" s="40" t="s">
        <v>4712</v>
      </c>
      <c r="D59" s="38" t="s">
        <v>4713</v>
      </c>
      <c r="E59" s="38">
        <v>287</v>
      </c>
      <c r="F59" s="42">
        <v>57000</v>
      </c>
      <c r="G59" s="105"/>
      <c r="H59" s="42"/>
      <c r="I59" s="42">
        <v>57000</v>
      </c>
      <c r="J59" s="43" t="s">
        <v>234</v>
      </c>
      <c r="K59" s="38"/>
      <c r="L59" s="42"/>
      <c r="M59" s="44"/>
      <c r="N59" s="38" t="s">
        <v>4714</v>
      </c>
      <c r="O59" s="38" t="s">
        <v>198</v>
      </c>
      <c r="P59" s="38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ht="15.75" customHeight="1" x14ac:dyDescent="0.25">
      <c r="A60" s="38" t="s">
        <v>4715</v>
      </c>
      <c r="B60" s="40">
        <v>24674472</v>
      </c>
      <c r="C60" s="40" t="s">
        <v>4716</v>
      </c>
      <c r="D60" s="38" t="s">
        <v>4717</v>
      </c>
      <c r="E60" s="38" t="s">
        <v>4718</v>
      </c>
      <c r="F60" s="42">
        <v>42000</v>
      </c>
      <c r="G60" s="105"/>
      <c r="H60" s="38"/>
      <c r="I60" s="42">
        <v>42000</v>
      </c>
      <c r="J60" s="43" t="s">
        <v>234</v>
      </c>
      <c r="K60" s="38"/>
      <c r="L60" s="42"/>
      <c r="M60" s="44"/>
      <c r="N60" s="38" t="s">
        <v>632</v>
      </c>
      <c r="O60" s="38" t="s">
        <v>30</v>
      </c>
      <c r="P60" s="38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5.75" customHeight="1" x14ac:dyDescent="0.25">
      <c r="A61" s="38" t="s">
        <v>4719</v>
      </c>
      <c r="B61" s="39">
        <v>1006028887</v>
      </c>
      <c r="C61" s="40" t="s">
        <v>4720</v>
      </c>
      <c r="D61" s="14" t="s">
        <v>1053</v>
      </c>
      <c r="E61" s="14"/>
      <c r="F61" s="38" t="s">
        <v>25</v>
      </c>
      <c r="G61" s="42">
        <v>42000</v>
      </c>
      <c r="H61" s="43" t="s">
        <v>234</v>
      </c>
      <c r="I61" s="14"/>
      <c r="J61" s="7"/>
      <c r="K61" s="21"/>
      <c r="L61" s="38" t="s">
        <v>28</v>
      </c>
      <c r="M61" s="38" t="s">
        <v>30</v>
      </c>
      <c r="N61" s="38" t="s">
        <v>4721</v>
      </c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15.75" customHeight="1" x14ac:dyDescent="0.25">
      <c r="A62" s="40" t="s">
        <v>4722</v>
      </c>
      <c r="B62" s="179" t="s">
        <v>4723</v>
      </c>
      <c r="C62" s="40" t="s">
        <v>4724</v>
      </c>
      <c r="D62" s="17" t="s">
        <v>4725</v>
      </c>
      <c r="E62" s="17" t="s">
        <v>4726</v>
      </c>
      <c r="F62" s="38" t="s">
        <v>25</v>
      </c>
      <c r="G62" s="78">
        <v>42000</v>
      </c>
      <c r="H62" s="93"/>
      <c r="I62" s="42">
        <v>42000</v>
      </c>
      <c r="J62" s="43" t="s">
        <v>26</v>
      </c>
      <c r="K62" s="15" t="s">
        <v>85</v>
      </c>
      <c r="L62" s="27">
        <v>42000</v>
      </c>
      <c r="M62" s="30"/>
      <c r="N62" s="38" t="s">
        <v>28</v>
      </c>
      <c r="O62" s="15" t="s">
        <v>20</v>
      </c>
      <c r="P62" s="15"/>
      <c r="Q62" s="38" t="s">
        <v>4727</v>
      </c>
      <c r="R62" s="38" t="s">
        <v>30</v>
      </c>
      <c r="S62" s="105"/>
      <c r="T62" s="105"/>
      <c r="U62" s="105"/>
      <c r="V62" s="105"/>
      <c r="W62" s="105"/>
      <c r="X62" s="105"/>
      <c r="Y62" s="105"/>
      <c r="Z62" s="105"/>
    </row>
    <row r="63" spans="1:26" ht="15.75" customHeight="1" x14ac:dyDescent="0.25">
      <c r="A63" s="38" t="s">
        <v>4728</v>
      </c>
      <c r="B63" s="39">
        <v>1005367205</v>
      </c>
      <c r="C63" s="40" t="s">
        <v>4729</v>
      </c>
      <c r="D63" s="14" t="s">
        <v>1105</v>
      </c>
      <c r="E63" s="14">
        <v>641</v>
      </c>
      <c r="F63" s="38" t="s">
        <v>25</v>
      </c>
      <c r="G63" s="7">
        <v>42000</v>
      </c>
      <c r="H63" s="14"/>
      <c r="I63" s="42">
        <v>42000</v>
      </c>
      <c r="J63" s="43" t="s">
        <v>26</v>
      </c>
      <c r="K63" s="14" t="s">
        <v>85</v>
      </c>
      <c r="L63" s="7">
        <v>42000</v>
      </c>
      <c r="M63" s="21"/>
      <c r="N63" s="38" t="s">
        <v>28</v>
      </c>
      <c r="O63" s="14" t="s">
        <v>20</v>
      </c>
      <c r="P63" s="14"/>
      <c r="Q63" s="38" t="s">
        <v>4730</v>
      </c>
      <c r="R63" s="38" t="s">
        <v>716</v>
      </c>
      <c r="S63" s="105"/>
      <c r="T63" s="105"/>
      <c r="U63" s="105"/>
      <c r="V63" s="105"/>
      <c r="W63" s="105"/>
      <c r="X63" s="105"/>
      <c r="Y63" s="105"/>
      <c r="Z63" s="105"/>
    </row>
    <row r="64" spans="1:26" ht="15.75" customHeight="1" x14ac:dyDescent="0.25">
      <c r="A64" s="38" t="s">
        <v>4731</v>
      </c>
      <c r="B64" s="39">
        <v>1110285051</v>
      </c>
      <c r="C64" s="40" t="s">
        <v>4732</v>
      </c>
      <c r="D64" s="38" t="s">
        <v>1033</v>
      </c>
      <c r="E64" s="38">
        <v>701</v>
      </c>
      <c r="F64" s="38" t="s">
        <v>25</v>
      </c>
      <c r="G64" s="42">
        <v>42000</v>
      </c>
      <c r="H64" s="38"/>
      <c r="I64" s="42">
        <v>42000</v>
      </c>
      <c r="J64" s="43" t="s">
        <v>26</v>
      </c>
      <c r="K64" s="38" t="s">
        <v>189</v>
      </c>
      <c r="L64" s="42">
        <v>42000</v>
      </c>
      <c r="M64" s="44"/>
      <c r="N64" s="38" t="s">
        <v>28</v>
      </c>
      <c r="O64" s="38" t="s">
        <v>20</v>
      </c>
      <c r="P64" s="38"/>
      <c r="Q64" s="38" t="s">
        <v>4733</v>
      </c>
      <c r="R64" s="38" t="s">
        <v>4734</v>
      </c>
      <c r="S64" s="105"/>
      <c r="T64" s="105"/>
      <c r="U64" s="105"/>
      <c r="V64" s="105"/>
      <c r="W64" s="105"/>
      <c r="X64" s="105"/>
      <c r="Y64" s="105"/>
      <c r="Z64" s="105"/>
    </row>
    <row r="65" spans="1:26" ht="15.75" customHeight="1" x14ac:dyDescent="0.25">
      <c r="A65" s="88" t="s">
        <v>4735</v>
      </c>
      <c r="B65" s="88">
        <v>24673674</v>
      </c>
      <c r="C65" s="88">
        <v>3117877060</v>
      </c>
      <c r="D65" s="88" t="s">
        <v>1038</v>
      </c>
      <c r="E65" s="88"/>
      <c r="F65" s="38" t="s">
        <v>25</v>
      </c>
      <c r="G65" s="62">
        <v>42000</v>
      </c>
      <c r="H65" s="43"/>
      <c r="I65" s="62">
        <v>42000</v>
      </c>
      <c r="J65" s="43" t="s">
        <v>26</v>
      </c>
      <c r="K65" s="88" t="s">
        <v>27</v>
      </c>
      <c r="L65" s="62">
        <v>42000</v>
      </c>
      <c r="M65" s="89"/>
      <c r="N65" s="38" t="s">
        <v>28</v>
      </c>
      <c r="O65" s="38" t="s">
        <v>20</v>
      </c>
      <c r="P65" s="38"/>
      <c r="Q65" s="38" t="s">
        <v>4736</v>
      </c>
      <c r="R65" s="38" t="s">
        <v>43</v>
      </c>
      <c r="S65" s="105"/>
      <c r="T65" s="105"/>
      <c r="U65" s="105"/>
      <c r="V65" s="105"/>
      <c r="W65" s="105"/>
      <c r="X65" s="105"/>
      <c r="Y65" s="105"/>
      <c r="Z65" s="105"/>
    </row>
    <row r="66" spans="1:26" ht="15.75" customHeight="1" x14ac:dyDescent="0.25">
      <c r="A66" s="88" t="s">
        <v>4737</v>
      </c>
      <c r="B66" s="88">
        <v>94464189</v>
      </c>
      <c r="C66" s="88">
        <v>3225289080</v>
      </c>
      <c r="D66" s="88" t="s">
        <v>4738</v>
      </c>
      <c r="E66" s="88"/>
      <c r="F66" s="88" t="s">
        <v>2944</v>
      </c>
      <c r="G66" s="62">
        <v>82000</v>
      </c>
      <c r="H66" s="62"/>
      <c r="I66" s="62">
        <f>G66+H66</f>
        <v>82000</v>
      </c>
      <c r="J66" s="43" t="s">
        <v>234</v>
      </c>
      <c r="K66" s="62"/>
      <c r="L66" s="62"/>
      <c r="M66" s="89"/>
      <c r="N66" s="38" t="s">
        <v>3354</v>
      </c>
      <c r="O66" s="38" t="s">
        <v>20</v>
      </c>
      <c r="P66" s="38"/>
      <c r="Q66" s="88"/>
      <c r="R66" s="88" t="s">
        <v>4739</v>
      </c>
      <c r="S66" s="105"/>
      <c r="T66" s="105"/>
      <c r="U66" s="105"/>
      <c r="V66" s="105"/>
      <c r="W66" s="105"/>
      <c r="X66" s="105"/>
      <c r="Y66" s="105"/>
      <c r="Z66" s="105"/>
    </row>
    <row r="67" spans="1:26" ht="15.75" customHeight="1" x14ac:dyDescent="0.25">
      <c r="A67" s="88" t="s">
        <v>4571</v>
      </c>
      <c r="B67" s="88">
        <v>113310770</v>
      </c>
      <c r="C67" s="88">
        <v>3113049460</v>
      </c>
      <c r="D67" s="88" t="s">
        <v>4740</v>
      </c>
      <c r="E67" s="88" t="s">
        <v>2730</v>
      </c>
      <c r="F67" s="164" t="s">
        <v>421</v>
      </c>
      <c r="G67" s="43">
        <v>82000</v>
      </c>
      <c r="H67" s="43"/>
      <c r="I67" s="62">
        <v>82000</v>
      </c>
      <c r="J67" s="43" t="s">
        <v>234</v>
      </c>
      <c r="K67" s="88"/>
      <c r="L67" s="62"/>
      <c r="M67" s="89"/>
      <c r="N67" s="38" t="s">
        <v>4380</v>
      </c>
      <c r="O67" s="38" t="s">
        <v>20</v>
      </c>
      <c r="P67" s="38"/>
      <c r="Q67" s="88" t="s">
        <v>3288</v>
      </c>
      <c r="R67" s="88" t="s">
        <v>4741</v>
      </c>
      <c r="S67" s="105"/>
      <c r="T67" s="105"/>
      <c r="U67" s="105"/>
      <c r="V67" s="105"/>
      <c r="W67" s="105"/>
      <c r="X67" s="105"/>
      <c r="Y67" s="105"/>
      <c r="Z67" s="105"/>
    </row>
    <row r="68" spans="1:26" ht="15.75" customHeight="1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ht="15.75" customHeight="1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ht="15.75" customHeight="1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ht="15.75" customHeight="1" x14ac:dyDescent="0.25">
      <c r="A71" s="38" t="s">
        <v>4742</v>
      </c>
      <c r="B71" s="40">
        <v>1058970601</v>
      </c>
      <c r="C71" s="17" t="s">
        <v>4743</v>
      </c>
      <c r="D71" s="38" t="s">
        <v>4744</v>
      </c>
      <c r="E71" s="42">
        <v>42000</v>
      </c>
      <c r="F71" s="43" t="s">
        <v>234</v>
      </c>
      <c r="G71" s="38"/>
      <c r="H71" s="42"/>
      <c r="I71" s="44"/>
      <c r="J71" s="38" t="s">
        <v>28</v>
      </c>
      <c r="K71" s="38" t="s">
        <v>20</v>
      </c>
      <c r="L71" s="38"/>
      <c r="M71" s="38" t="s">
        <v>30</v>
      </c>
      <c r="N71" s="38" t="s">
        <v>4745</v>
      </c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ht="15.75" customHeight="1" x14ac:dyDescent="0.25">
      <c r="A72" s="38" t="s">
        <v>4746</v>
      </c>
      <c r="B72" s="39">
        <v>1099682760</v>
      </c>
      <c r="C72" s="40" t="s">
        <v>4747</v>
      </c>
      <c r="D72" s="38" t="s">
        <v>1068</v>
      </c>
      <c r="E72" s="42">
        <v>42000</v>
      </c>
      <c r="F72" s="43" t="s">
        <v>234</v>
      </c>
      <c r="G72" s="38"/>
      <c r="H72" s="42"/>
      <c r="I72" s="44"/>
      <c r="J72" s="38" t="s">
        <v>28</v>
      </c>
      <c r="K72" s="38" t="s">
        <v>20</v>
      </c>
      <c r="L72" s="38"/>
      <c r="M72" s="38" t="s">
        <v>67</v>
      </c>
      <c r="N72" s="38" t="s">
        <v>4748</v>
      </c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ht="15.75" customHeight="1" x14ac:dyDescent="0.25">
      <c r="A73" s="88" t="s">
        <v>1151</v>
      </c>
      <c r="B73" s="88">
        <v>24675813</v>
      </c>
      <c r="C73" s="88">
        <v>3116047811</v>
      </c>
      <c r="D73" s="88" t="s">
        <v>59</v>
      </c>
      <c r="E73" s="62">
        <v>57000</v>
      </c>
      <c r="F73" s="43" t="s">
        <v>234</v>
      </c>
      <c r="G73" s="88"/>
      <c r="H73" s="62"/>
      <c r="I73" s="89"/>
      <c r="J73" s="38" t="s">
        <v>28</v>
      </c>
      <c r="K73" s="38" t="s">
        <v>20</v>
      </c>
      <c r="L73" s="38"/>
      <c r="M73" s="88" t="s">
        <v>4749</v>
      </c>
      <c r="N73" s="88" t="s">
        <v>126</v>
      </c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ht="15.75" customHeight="1" x14ac:dyDescent="0.25">
      <c r="A74" s="88" t="s">
        <v>4750</v>
      </c>
      <c r="B74" s="88">
        <v>1115190868</v>
      </c>
      <c r="C74" s="88">
        <v>3137540226</v>
      </c>
      <c r="D74" s="88"/>
      <c r="E74" s="62">
        <v>42000</v>
      </c>
      <c r="F74" s="43" t="s">
        <v>234</v>
      </c>
      <c r="G74" s="62"/>
      <c r="H74" s="62"/>
      <c r="I74" s="89"/>
      <c r="J74" s="38" t="s">
        <v>3354</v>
      </c>
      <c r="K74" s="38" t="s">
        <v>20</v>
      </c>
      <c r="L74" s="38"/>
      <c r="M74" s="88" t="s">
        <v>4213</v>
      </c>
      <c r="N74" s="88" t="s">
        <v>4751</v>
      </c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ht="15.75" customHeight="1" x14ac:dyDescent="0.25">
      <c r="A75" s="88" t="s">
        <v>4752</v>
      </c>
      <c r="B75" s="88">
        <v>66963371</v>
      </c>
      <c r="C75" s="88" t="s">
        <v>4753</v>
      </c>
      <c r="D75" s="88" t="s">
        <v>4754</v>
      </c>
      <c r="E75" s="62">
        <v>42000</v>
      </c>
      <c r="F75" s="43" t="s">
        <v>234</v>
      </c>
      <c r="G75" s="155"/>
      <c r="H75" s="62"/>
      <c r="I75" s="89"/>
      <c r="J75" s="38" t="s">
        <v>3354</v>
      </c>
      <c r="K75" s="38" t="s">
        <v>20</v>
      </c>
      <c r="L75" s="38"/>
      <c r="M75" s="88" t="s">
        <v>4755</v>
      </c>
      <c r="N75" s="88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ht="15.75" customHeight="1" x14ac:dyDescent="0.25">
      <c r="A76" s="164" t="s">
        <v>4756</v>
      </c>
      <c r="B76" s="164">
        <v>6460966</v>
      </c>
      <c r="C76" s="164">
        <v>3216475470</v>
      </c>
      <c r="D76" s="40" t="s">
        <v>3305</v>
      </c>
      <c r="E76" s="88" t="s">
        <v>3141</v>
      </c>
      <c r="F76" s="62">
        <v>82000</v>
      </c>
      <c r="G76" s="43" t="s">
        <v>234</v>
      </c>
      <c r="H76" s="88"/>
      <c r="I76" s="62"/>
      <c r="J76" s="89"/>
      <c r="K76" s="38" t="s">
        <v>4380</v>
      </c>
      <c r="L76" s="164" t="s">
        <v>3142</v>
      </c>
      <c r="M76" s="164" t="s">
        <v>4757</v>
      </c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ht="15.75" customHeight="1" x14ac:dyDescent="0.25">
      <c r="A77" s="38" t="s">
        <v>4758</v>
      </c>
      <c r="B77" s="40">
        <v>1115185090</v>
      </c>
      <c r="C77" s="40" t="s">
        <v>4759</v>
      </c>
      <c r="D77" s="38" t="s">
        <v>4760</v>
      </c>
      <c r="E77" s="42">
        <v>42000</v>
      </c>
      <c r="F77" s="43" t="s">
        <v>234</v>
      </c>
      <c r="G77" s="155"/>
      <c r="H77" s="62"/>
      <c r="I77" s="89"/>
      <c r="J77" s="38" t="s">
        <v>4135</v>
      </c>
      <c r="K77" s="38" t="s">
        <v>20</v>
      </c>
      <c r="L77" s="38"/>
      <c r="M77" s="38" t="s">
        <v>4761</v>
      </c>
      <c r="N77" s="38" t="s">
        <v>4762</v>
      </c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ht="15.75" customHeight="1" x14ac:dyDescent="0.25">
      <c r="A78" s="88" t="s">
        <v>2633</v>
      </c>
      <c r="B78" s="88">
        <v>24675013</v>
      </c>
      <c r="C78" s="88">
        <v>3128473836</v>
      </c>
      <c r="D78" s="88" t="s">
        <v>1083</v>
      </c>
      <c r="E78" s="62">
        <v>42000</v>
      </c>
      <c r="F78" s="43" t="s">
        <v>234</v>
      </c>
      <c r="G78" s="88"/>
      <c r="H78" s="62"/>
      <c r="I78" s="89"/>
      <c r="J78" s="38" t="s">
        <v>28</v>
      </c>
      <c r="K78" s="38" t="s">
        <v>20</v>
      </c>
      <c r="L78" s="38"/>
      <c r="M78" s="88" t="s">
        <v>2634</v>
      </c>
      <c r="N78" s="88" t="s">
        <v>30</v>
      </c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ht="15.75" customHeight="1" x14ac:dyDescent="0.25">
      <c r="A79" s="148" t="s">
        <v>4763</v>
      </c>
      <c r="B79" s="88">
        <v>9808950</v>
      </c>
      <c r="C79" s="88" t="s">
        <v>4764</v>
      </c>
      <c r="D79" s="88" t="s">
        <v>4765</v>
      </c>
      <c r="E79" s="62">
        <v>57000</v>
      </c>
      <c r="F79" s="43" t="s">
        <v>234</v>
      </c>
      <c r="G79" s="155"/>
      <c r="H79" s="62"/>
      <c r="I79" s="89"/>
      <c r="J79" s="38" t="s">
        <v>3354</v>
      </c>
      <c r="K79" s="38" t="s">
        <v>20</v>
      </c>
      <c r="L79" s="38"/>
      <c r="M79" s="88" t="s">
        <v>4766</v>
      </c>
      <c r="N79" s="88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ht="15.75" customHeight="1" x14ac:dyDescent="0.25">
      <c r="A80" s="88" t="s">
        <v>4767</v>
      </c>
      <c r="B80" s="97">
        <v>9801517</v>
      </c>
      <c r="C80" s="88">
        <v>3136267873</v>
      </c>
      <c r="D80" s="88" t="s">
        <v>4768</v>
      </c>
      <c r="E80" s="88"/>
      <c r="F80" s="38" t="s">
        <v>25</v>
      </c>
      <c r="G80" s="62">
        <v>42000</v>
      </c>
      <c r="H80" s="43"/>
      <c r="I80" s="62">
        <f>G80</f>
        <v>42000</v>
      </c>
      <c r="J80" s="43" t="s">
        <v>234</v>
      </c>
      <c r="K80" s="88"/>
      <c r="L80" s="62"/>
      <c r="M80" s="89"/>
      <c r="N80" s="38" t="s">
        <v>28</v>
      </c>
      <c r="O80" s="38" t="s">
        <v>20</v>
      </c>
      <c r="P80" s="38"/>
      <c r="Q80" s="88" t="s">
        <v>4769</v>
      </c>
      <c r="R80" s="88" t="s">
        <v>4770</v>
      </c>
      <c r="S80" s="105"/>
      <c r="T80" s="105"/>
      <c r="U80" s="105"/>
      <c r="V80" s="105"/>
      <c r="W80" s="105"/>
      <c r="X80" s="105"/>
      <c r="Y80" s="105"/>
      <c r="Z80" s="105"/>
    </row>
    <row r="81" spans="1:26" ht="15.75" customHeight="1" x14ac:dyDescent="0.25">
      <c r="A81" s="38" t="s">
        <v>4771</v>
      </c>
      <c r="B81" s="40">
        <v>1005367679</v>
      </c>
      <c r="C81" s="40" t="s">
        <v>4772</v>
      </c>
      <c r="D81" s="38" t="s">
        <v>4773</v>
      </c>
      <c r="E81" s="38"/>
      <c r="F81" s="38" t="s">
        <v>25</v>
      </c>
      <c r="G81" s="42">
        <v>42000</v>
      </c>
      <c r="H81" s="38"/>
      <c r="I81" s="42">
        <v>42000</v>
      </c>
      <c r="J81" s="43" t="s">
        <v>234</v>
      </c>
      <c r="K81" s="38"/>
      <c r="L81" s="42"/>
      <c r="M81" s="44"/>
      <c r="N81" s="38" t="s">
        <v>28</v>
      </c>
      <c r="O81" s="38" t="s">
        <v>20</v>
      </c>
      <c r="P81" s="38"/>
      <c r="Q81" s="38" t="s">
        <v>4774</v>
      </c>
      <c r="R81" s="38" t="s">
        <v>286</v>
      </c>
      <c r="S81" s="105"/>
      <c r="T81" s="105"/>
      <c r="U81" s="105"/>
      <c r="V81" s="105"/>
      <c r="W81" s="105"/>
      <c r="X81" s="105"/>
      <c r="Y81" s="105"/>
      <c r="Z81" s="105"/>
    </row>
    <row r="82" spans="1:26" ht="15.75" customHeight="1" x14ac:dyDescent="0.25">
      <c r="A82" s="88" t="s">
        <v>4775</v>
      </c>
      <c r="B82" s="88">
        <v>1115190913</v>
      </c>
      <c r="C82" s="88">
        <v>3226555394</v>
      </c>
      <c r="D82" s="88" t="s">
        <v>4363</v>
      </c>
      <c r="E82" s="62">
        <v>42000</v>
      </c>
      <c r="F82" s="43" t="s">
        <v>234</v>
      </c>
      <c r="G82" s="88"/>
      <c r="H82" s="62"/>
      <c r="I82" s="89"/>
      <c r="J82" s="38" t="s">
        <v>3354</v>
      </c>
      <c r="K82" s="38" t="s">
        <v>20</v>
      </c>
      <c r="L82" s="38"/>
      <c r="M82" s="88" t="s">
        <v>4003</v>
      </c>
      <c r="N82" s="88" t="s">
        <v>4776</v>
      </c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ht="15.75" customHeight="1" x14ac:dyDescent="0.25">
      <c r="A83" s="88" t="s">
        <v>4777</v>
      </c>
      <c r="B83" s="88">
        <v>21159314</v>
      </c>
      <c r="C83" s="88" t="s">
        <v>4778</v>
      </c>
      <c r="D83" s="88" t="s">
        <v>4368</v>
      </c>
      <c r="E83" s="62">
        <v>57000</v>
      </c>
      <c r="F83" s="43" t="s">
        <v>234</v>
      </c>
      <c r="G83" s="88"/>
      <c r="H83" s="62"/>
      <c r="I83" s="89"/>
      <c r="J83" s="38" t="s">
        <v>3354</v>
      </c>
      <c r="K83" s="38" t="s">
        <v>20</v>
      </c>
      <c r="L83" s="38"/>
      <c r="M83" s="88" t="s">
        <v>4779</v>
      </c>
      <c r="N83" s="88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ht="15.75" customHeight="1" x14ac:dyDescent="0.25">
      <c r="A84" s="164" t="s">
        <v>4780</v>
      </c>
      <c r="B84" s="164">
        <v>1094931270</v>
      </c>
      <c r="C84" s="164">
        <v>3158962408</v>
      </c>
      <c r="D84" s="164" t="s">
        <v>1101</v>
      </c>
      <c r="E84" s="62">
        <v>42000</v>
      </c>
      <c r="F84" s="43" t="s">
        <v>234</v>
      </c>
      <c r="G84" s="164"/>
      <c r="H84" s="62"/>
      <c r="I84" s="89"/>
      <c r="J84" s="38" t="s">
        <v>28</v>
      </c>
      <c r="K84" s="38" t="s">
        <v>20</v>
      </c>
      <c r="L84" s="38"/>
      <c r="M84" s="38" t="s">
        <v>4781</v>
      </c>
      <c r="N84" s="38" t="s">
        <v>30</v>
      </c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ht="15.75" customHeight="1" x14ac:dyDescent="0.25">
      <c r="A85" s="88" t="s">
        <v>4782</v>
      </c>
      <c r="B85" s="88">
        <v>94254221</v>
      </c>
      <c r="C85" s="88">
        <v>3158776202</v>
      </c>
      <c r="D85" s="88" t="s">
        <v>4783</v>
      </c>
      <c r="E85" s="62">
        <v>42000</v>
      </c>
      <c r="F85" s="43" t="s">
        <v>234</v>
      </c>
      <c r="G85" s="155"/>
      <c r="H85" s="62"/>
      <c r="I85" s="89"/>
      <c r="J85" s="38" t="s">
        <v>3354</v>
      </c>
      <c r="K85" s="38" t="s">
        <v>20</v>
      </c>
      <c r="L85" s="38"/>
      <c r="M85" s="88" t="s">
        <v>4784</v>
      </c>
      <c r="N85" s="88" t="s">
        <v>3354</v>
      </c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ht="15.75" customHeight="1" x14ac:dyDescent="0.25">
      <c r="A86" s="88" t="s">
        <v>4785</v>
      </c>
      <c r="B86" s="88">
        <v>29809778</v>
      </c>
      <c r="C86" s="88">
        <v>3218588724</v>
      </c>
      <c r="D86" s="88" t="s">
        <v>3690</v>
      </c>
      <c r="E86" s="62">
        <v>42000</v>
      </c>
      <c r="F86" s="43" t="s">
        <v>234</v>
      </c>
      <c r="G86" s="62"/>
      <c r="H86" s="62"/>
      <c r="I86" s="89"/>
      <c r="J86" s="38" t="s">
        <v>3354</v>
      </c>
      <c r="K86" s="38" t="s">
        <v>20</v>
      </c>
      <c r="L86" s="38"/>
      <c r="M86" s="88"/>
      <c r="N86" s="88" t="s">
        <v>4786</v>
      </c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ht="15.75" customHeight="1" x14ac:dyDescent="0.25">
      <c r="A87" s="88" t="s">
        <v>4787</v>
      </c>
      <c r="B87" s="88">
        <v>1115941216</v>
      </c>
      <c r="C87" s="88" t="s">
        <v>4788</v>
      </c>
      <c r="D87" s="88" t="s">
        <v>4703</v>
      </c>
      <c r="E87" s="36"/>
      <c r="F87" s="36" t="s">
        <v>25</v>
      </c>
      <c r="G87" s="61">
        <v>42000</v>
      </c>
      <c r="H87" s="61"/>
      <c r="I87" s="62">
        <v>42000</v>
      </c>
      <c r="J87" s="43" t="s">
        <v>234</v>
      </c>
      <c r="K87" s="155"/>
      <c r="L87" s="62"/>
      <c r="M87" s="89"/>
      <c r="N87" s="38" t="s">
        <v>3354</v>
      </c>
      <c r="O87" s="38" t="s">
        <v>20</v>
      </c>
      <c r="P87" s="38"/>
      <c r="Q87" s="88" t="s">
        <v>4789</v>
      </c>
      <c r="R87" s="88" t="s">
        <v>4003</v>
      </c>
      <c r="S87" s="105"/>
      <c r="T87" s="105"/>
      <c r="U87" s="105"/>
      <c r="V87" s="105"/>
      <c r="W87" s="105"/>
      <c r="X87" s="105"/>
      <c r="Y87" s="105"/>
      <c r="Z87" s="105"/>
    </row>
    <row r="88" spans="1:26" ht="15.75" customHeight="1" x14ac:dyDescent="0.25">
      <c r="A88" s="88" t="s">
        <v>4790</v>
      </c>
      <c r="B88" s="88">
        <v>41923110</v>
      </c>
      <c r="C88" s="88">
        <v>3104218620</v>
      </c>
      <c r="D88" s="88" t="s">
        <v>4791</v>
      </c>
      <c r="E88" s="88" t="s">
        <v>3028</v>
      </c>
      <c r="F88" s="62">
        <v>82000</v>
      </c>
      <c r="G88" s="178"/>
      <c r="H88" s="88"/>
      <c r="I88" s="62"/>
      <c r="J88" s="89"/>
      <c r="K88" s="38" t="s">
        <v>3029</v>
      </c>
      <c r="L88" s="88" t="s">
        <v>3370</v>
      </c>
      <c r="M88" s="88" t="s">
        <v>3045</v>
      </c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ht="15.75" customHeight="1" x14ac:dyDescent="0.25">
      <c r="A89" s="88" t="s">
        <v>4792</v>
      </c>
      <c r="B89" s="88">
        <v>1113307311</v>
      </c>
      <c r="C89" s="88">
        <v>3205328670</v>
      </c>
      <c r="D89" s="88" t="s">
        <v>3339</v>
      </c>
      <c r="E89" s="88" t="s">
        <v>3028</v>
      </c>
      <c r="F89" s="62">
        <v>82000</v>
      </c>
      <c r="G89" s="43"/>
      <c r="H89" s="88"/>
      <c r="I89" s="62"/>
      <c r="J89" s="89"/>
      <c r="K89" s="38" t="s">
        <v>3029</v>
      </c>
      <c r="L89" s="88" t="s">
        <v>3097</v>
      </c>
      <c r="M89" s="88" t="s">
        <v>224</v>
      </c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ht="15.75" customHeight="1" x14ac:dyDescent="0.25">
      <c r="A90" s="88" t="s">
        <v>4793</v>
      </c>
      <c r="B90" s="97">
        <v>1099683307</v>
      </c>
      <c r="C90" s="88">
        <v>3227634945</v>
      </c>
      <c r="D90" s="62">
        <v>57000</v>
      </c>
      <c r="E90" s="43" t="s">
        <v>234</v>
      </c>
      <c r="F90" s="38" t="s">
        <v>28</v>
      </c>
      <c r="G90" s="38" t="s">
        <v>4794</v>
      </c>
      <c r="H90" s="38" t="s">
        <v>30</v>
      </c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ht="15.75" customHeight="1" x14ac:dyDescent="0.25">
      <c r="A91" s="88" t="s">
        <v>4795</v>
      </c>
      <c r="B91" s="88">
        <v>6461400</v>
      </c>
      <c r="C91" s="88">
        <v>3185280392</v>
      </c>
      <c r="D91" s="88" t="s">
        <v>4796</v>
      </c>
      <c r="E91" s="88" t="s">
        <v>3028</v>
      </c>
      <c r="F91" s="36" t="s">
        <v>421</v>
      </c>
      <c r="G91" s="61">
        <v>82000</v>
      </c>
      <c r="H91" s="57"/>
      <c r="I91" s="62">
        <v>82000</v>
      </c>
      <c r="J91" s="57"/>
      <c r="K91" s="36"/>
      <c r="L91" s="61"/>
      <c r="M91" s="66"/>
      <c r="N91" s="38" t="s">
        <v>3029</v>
      </c>
      <c r="O91" s="88" t="s">
        <v>3172</v>
      </c>
      <c r="P91" s="88" t="s">
        <v>4510</v>
      </c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ht="15.75" customHeight="1" x14ac:dyDescent="0.25">
      <c r="A92" s="38" t="s">
        <v>4797</v>
      </c>
      <c r="B92" s="39">
        <v>1066348595</v>
      </c>
      <c r="C92" s="40" t="s">
        <v>4798</v>
      </c>
      <c r="D92" s="38" t="s">
        <v>4799</v>
      </c>
      <c r="E92" s="14"/>
      <c r="F92" s="14" t="s">
        <v>35</v>
      </c>
      <c r="G92" s="7">
        <v>42000</v>
      </c>
      <c r="H92" s="7"/>
      <c r="I92" s="42">
        <v>42000</v>
      </c>
      <c r="J92" s="43" t="s">
        <v>26</v>
      </c>
      <c r="K92" s="38" t="s">
        <v>27</v>
      </c>
      <c r="L92" s="42">
        <v>42000</v>
      </c>
      <c r="M92" s="44"/>
      <c r="N92" s="38" t="s">
        <v>28</v>
      </c>
      <c r="O92" s="38" t="s">
        <v>20</v>
      </c>
      <c r="P92" s="38"/>
      <c r="Q92" s="38" t="s">
        <v>4800</v>
      </c>
      <c r="R92" s="38" t="s">
        <v>36</v>
      </c>
      <c r="S92" s="105"/>
      <c r="T92" s="105"/>
      <c r="U92" s="105"/>
      <c r="V92" s="105"/>
      <c r="W92" s="105"/>
      <c r="X92" s="105"/>
      <c r="Y92" s="105"/>
      <c r="Z92" s="105"/>
    </row>
    <row r="93" spans="1:26" ht="15.75" customHeight="1" x14ac:dyDescent="0.25">
      <c r="A93" s="38" t="s">
        <v>4801</v>
      </c>
      <c r="B93" s="39">
        <v>24676075</v>
      </c>
      <c r="C93" s="40" t="s">
        <v>4802</v>
      </c>
      <c r="D93" s="38" t="s">
        <v>1120</v>
      </c>
      <c r="E93" s="38">
        <v>884</v>
      </c>
      <c r="F93" s="38" t="s">
        <v>25</v>
      </c>
      <c r="G93" s="7">
        <v>42000</v>
      </c>
      <c r="H93" s="7"/>
      <c r="I93" s="42">
        <v>42000</v>
      </c>
      <c r="J93" s="43" t="s">
        <v>26</v>
      </c>
      <c r="K93" s="38" t="s">
        <v>27</v>
      </c>
      <c r="L93" s="42">
        <v>42000</v>
      </c>
      <c r="M93" s="44"/>
      <c r="N93" s="38" t="s">
        <v>28</v>
      </c>
      <c r="O93" s="14" t="s">
        <v>20</v>
      </c>
      <c r="P93" s="14"/>
      <c r="Q93" s="38" t="s">
        <v>4803</v>
      </c>
      <c r="R93" s="38" t="s">
        <v>30</v>
      </c>
      <c r="S93" s="105"/>
      <c r="T93" s="105"/>
      <c r="U93" s="105"/>
      <c r="V93" s="105"/>
      <c r="W93" s="105"/>
      <c r="X93" s="105"/>
      <c r="Y93" s="105"/>
      <c r="Z93" s="105"/>
    </row>
    <row r="94" spans="1:26" ht="15.75" customHeight="1" x14ac:dyDescent="0.25">
      <c r="A94" s="38" t="s">
        <v>4804</v>
      </c>
      <c r="B94" s="39">
        <v>24674698</v>
      </c>
      <c r="C94" s="40" t="s">
        <v>4805</v>
      </c>
      <c r="D94" s="38" t="s">
        <v>1138</v>
      </c>
      <c r="E94" s="38">
        <v>739</v>
      </c>
      <c r="F94" s="38" t="s">
        <v>25</v>
      </c>
      <c r="G94" s="7">
        <v>42000</v>
      </c>
      <c r="H94" s="14"/>
      <c r="I94" s="42">
        <v>42000</v>
      </c>
      <c r="J94" s="43" t="s">
        <v>26</v>
      </c>
      <c r="K94" s="38" t="s">
        <v>85</v>
      </c>
      <c r="L94" s="42">
        <v>42000</v>
      </c>
      <c r="M94" s="44"/>
      <c r="N94" s="38" t="s">
        <v>28</v>
      </c>
      <c r="O94" s="14" t="s">
        <v>20</v>
      </c>
      <c r="P94" s="14"/>
      <c r="Q94" s="38" t="s">
        <v>4806</v>
      </c>
      <c r="R94" s="38"/>
      <c r="S94" s="105"/>
      <c r="T94" s="105"/>
      <c r="U94" s="105"/>
      <c r="V94" s="105"/>
      <c r="W94" s="105"/>
      <c r="X94" s="105"/>
      <c r="Y94" s="105"/>
      <c r="Z94" s="105"/>
    </row>
    <row r="95" spans="1:26" ht="15.75" customHeight="1" x14ac:dyDescent="0.25">
      <c r="A95" s="88" t="s">
        <v>4807</v>
      </c>
      <c r="B95" s="88">
        <v>4526015</v>
      </c>
      <c r="C95" s="88" t="s">
        <v>4808</v>
      </c>
      <c r="D95" s="88" t="s">
        <v>4809</v>
      </c>
      <c r="E95" s="36"/>
      <c r="F95" s="36" t="s">
        <v>2730</v>
      </c>
      <c r="G95" s="36" t="s">
        <v>25</v>
      </c>
      <c r="H95" s="61">
        <v>42000</v>
      </c>
      <c r="I95" s="57"/>
      <c r="J95" s="62">
        <v>42000</v>
      </c>
      <c r="K95" s="43" t="s">
        <v>26</v>
      </c>
      <c r="L95" s="88" t="s">
        <v>27</v>
      </c>
      <c r="M95" s="62">
        <v>42000</v>
      </c>
      <c r="N95" s="89"/>
      <c r="O95" s="38" t="s">
        <v>2730</v>
      </c>
      <c r="P95" s="38" t="s">
        <v>20</v>
      </c>
      <c r="Q95" s="38"/>
      <c r="R95" s="88" t="s">
        <v>4810</v>
      </c>
      <c r="S95" s="88" t="s">
        <v>2788</v>
      </c>
      <c r="T95" s="105"/>
      <c r="U95" s="105"/>
      <c r="V95" s="105"/>
      <c r="W95" s="105"/>
      <c r="X95" s="105"/>
      <c r="Y95" s="105"/>
      <c r="Z95" s="105"/>
    </row>
    <row r="96" spans="1:26" ht="15.75" customHeight="1" x14ac:dyDescent="0.25">
      <c r="A96" s="38" t="s">
        <v>4811</v>
      </c>
      <c r="B96" s="40">
        <v>52375519</v>
      </c>
      <c r="C96" s="38" t="s">
        <v>4812</v>
      </c>
      <c r="D96" s="88" t="s">
        <v>4813</v>
      </c>
      <c r="E96" s="88" t="s">
        <v>4814</v>
      </c>
      <c r="F96" s="88" t="s">
        <v>2730</v>
      </c>
      <c r="G96" s="88" t="s">
        <v>25</v>
      </c>
      <c r="H96" s="62">
        <v>42000</v>
      </c>
      <c r="I96" s="43"/>
      <c r="J96" s="62">
        <v>42000</v>
      </c>
      <c r="K96" s="43" t="s">
        <v>234</v>
      </c>
      <c r="L96" s="88"/>
      <c r="M96" s="62"/>
      <c r="N96" s="89"/>
      <c r="O96" s="38" t="s">
        <v>2730</v>
      </c>
      <c r="P96" s="38" t="s">
        <v>20</v>
      </c>
      <c r="Q96" s="38"/>
      <c r="R96" s="88" t="s">
        <v>4815</v>
      </c>
      <c r="S96" s="88" t="s">
        <v>2975</v>
      </c>
      <c r="T96" s="105"/>
      <c r="U96" s="105"/>
      <c r="V96" s="105"/>
      <c r="W96" s="105"/>
      <c r="X96" s="105"/>
      <c r="Y96" s="105"/>
      <c r="Z96" s="105"/>
    </row>
    <row r="97" spans="1:26" ht="15.75" customHeight="1" x14ac:dyDescent="0.25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15.75" customHeight="1" x14ac:dyDescent="0.25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ht="15.75" customHeight="1" x14ac:dyDescent="0.2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ht="15.75" customHeight="1" x14ac:dyDescent="0.25">
      <c r="A100" s="38" t="s">
        <v>4816</v>
      </c>
      <c r="B100" s="39">
        <v>24672476</v>
      </c>
      <c r="C100" s="40" t="s">
        <v>4817</v>
      </c>
      <c r="D100" s="38" t="s">
        <v>2207</v>
      </c>
      <c r="E100" s="58"/>
      <c r="F100" s="38" t="s">
        <v>4818</v>
      </c>
      <c r="G100" s="38" t="s">
        <v>25</v>
      </c>
      <c r="H100" s="42">
        <v>42000</v>
      </c>
      <c r="I100" s="42"/>
      <c r="J100" s="42">
        <v>42000</v>
      </c>
      <c r="K100" s="38" t="s">
        <v>26</v>
      </c>
      <c r="L100" s="38" t="s">
        <v>4819</v>
      </c>
      <c r="M100" s="42"/>
      <c r="N100" s="44"/>
      <c r="O100" s="38" t="s">
        <v>28</v>
      </c>
      <c r="P100" s="38" t="s">
        <v>20</v>
      </c>
      <c r="Q100" s="38"/>
      <c r="R100" s="38" t="s">
        <v>4820</v>
      </c>
      <c r="S100" s="38" t="s">
        <v>36</v>
      </c>
      <c r="T100" s="105"/>
      <c r="U100" s="105"/>
      <c r="V100" s="105"/>
      <c r="W100" s="105"/>
      <c r="X100" s="105"/>
      <c r="Y100" s="105"/>
      <c r="Z100" s="105"/>
    </row>
    <row r="101" spans="1:26" ht="15.75" customHeight="1" x14ac:dyDescent="0.25">
      <c r="A101" s="88" t="s">
        <v>4821</v>
      </c>
      <c r="B101" s="88">
        <v>1116725727</v>
      </c>
      <c r="C101" s="88" t="s">
        <v>4822</v>
      </c>
      <c r="D101" s="88" t="s">
        <v>769</v>
      </c>
      <c r="E101" s="88"/>
      <c r="F101" s="88" t="s">
        <v>4823</v>
      </c>
      <c r="G101" s="38" t="s">
        <v>25</v>
      </c>
      <c r="H101" s="62">
        <v>42000</v>
      </c>
      <c r="I101" s="43"/>
      <c r="J101" s="62">
        <v>42000</v>
      </c>
      <c r="K101" s="43" t="s">
        <v>26</v>
      </c>
      <c r="L101" s="88" t="s">
        <v>85</v>
      </c>
      <c r="M101" s="62">
        <v>42000</v>
      </c>
      <c r="N101" s="89"/>
      <c r="O101" s="38" t="s">
        <v>28</v>
      </c>
      <c r="P101" s="38" t="s">
        <v>20</v>
      </c>
      <c r="Q101" s="38"/>
      <c r="R101" s="38" t="s">
        <v>4824</v>
      </c>
      <c r="S101" s="38" t="s">
        <v>30</v>
      </c>
      <c r="T101" s="105"/>
      <c r="U101" s="105"/>
      <c r="V101" s="105"/>
      <c r="W101" s="105"/>
      <c r="X101" s="105"/>
      <c r="Y101" s="105"/>
      <c r="Z101" s="105"/>
    </row>
    <row r="102" spans="1:26" ht="15.75" customHeight="1" x14ac:dyDescent="0.25">
      <c r="A102" s="38" t="s">
        <v>4825</v>
      </c>
      <c r="B102" s="58">
        <v>1079604071</v>
      </c>
      <c r="C102" s="40">
        <v>3233325785</v>
      </c>
      <c r="D102" s="38" t="s">
        <v>2669</v>
      </c>
      <c r="E102" s="58">
        <v>1</v>
      </c>
      <c r="F102" s="38" t="s">
        <v>4826</v>
      </c>
      <c r="G102" s="38" t="s">
        <v>25</v>
      </c>
      <c r="H102" s="27">
        <v>42000</v>
      </c>
      <c r="I102" s="15"/>
      <c r="J102" s="42">
        <v>42000</v>
      </c>
      <c r="K102" s="43" t="s">
        <v>26</v>
      </c>
      <c r="L102" s="38" t="s">
        <v>4827</v>
      </c>
      <c r="M102" s="42">
        <v>42000</v>
      </c>
      <c r="N102" s="44"/>
      <c r="O102" s="38" t="s">
        <v>28</v>
      </c>
      <c r="P102" s="15" t="s">
        <v>20</v>
      </c>
      <c r="Q102" s="38"/>
      <c r="R102" s="38" t="s">
        <v>4828</v>
      </c>
      <c r="S102" s="38" t="s">
        <v>2855</v>
      </c>
      <c r="T102" s="105"/>
      <c r="U102" s="105"/>
      <c r="V102" s="105"/>
      <c r="W102" s="105"/>
      <c r="X102" s="105"/>
      <c r="Y102" s="105"/>
      <c r="Z102" s="105"/>
    </row>
    <row r="103" spans="1:26" ht="15.75" customHeight="1" x14ac:dyDescent="0.25">
      <c r="A103" s="88" t="s">
        <v>4829</v>
      </c>
      <c r="B103" s="88">
        <v>24675750</v>
      </c>
      <c r="C103" s="88">
        <v>3136255141</v>
      </c>
      <c r="D103" s="88" t="s">
        <v>2712</v>
      </c>
      <c r="E103" s="88">
        <v>1</v>
      </c>
      <c r="F103" s="88">
        <v>127</v>
      </c>
      <c r="G103" s="38" t="s">
        <v>35</v>
      </c>
      <c r="H103" s="62">
        <v>57000</v>
      </c>
      <c r="I103" s="43"/>
      <c r="J103" s="62">
        <f>H103</f>
        <v>57000</v>
      </c>
      <c r="K103" s="43" t="s">
        <v>26</v>
      </c>
      <c r="L103" s="88" t="s">
        <v>27</v>
      </c>
      <c r="M103" s="62">
        <v>57000</v>
      </c>
      <c r="N103" s="89"/>
      <c r="O103" s="38" t="s">
        <v>28</v>
      </c>
      <c r="P103" s="38" t="s">
        <v>20</v>
      </c>
      <c r="Q103" s="38"/>
      <c r="R103" s="88" t="s">
        <v>4830</v>
      </c>
      <c r="S103" s="88" t="s">
        <v>224</v>
      </c>
      <c r="T103" s="105"/>
      <c r="U103" s="105"/>
      <c r="V103" s="105"/>
      <c r="W103" s="105"/>
      <c r="X103" s="105"/>
      <c r="Y103" s="105"/>
      <c r="Z103" s="105"/>
    </row>
    <row r="104" spans="1:26" ht="15.75" customHeight="1" x14ac:dyDescent="0.25">
      <c r="A104" s="38" t="s">
        <v>4831</v>
      </c>
      <c r="B104" s="39">
        <v>1007108061</v>
      </c>
      <c r="C104" s="40" t="s">
        <v>4832</v>
      </c>
      <c r="D104" s="38" t="s">
        <v>2691</v>
      </c>
      <c r="E104" s="38"/>
      <c r="F104" s="38">
        <v>781</v>
      </c>
      <c r="G104" s="38" t="s">
        <v>35</v>
      </c>
      <c r="H104" s="7">
        <v>42000</v>
      </c>
      <c r="I104" s="7"/>
      <c r="J104" s="42">
        <v>42000</v>
      </c>
      <c r="K104" s="43" t="s">
        <v>234</v>
      </c>
      <c r="L104" s="38"/>
      <c r="M104" s="42"/>
      <c r="N104" s="44"/>
      <c r="O104" s="38" t="s">
        <v>28</v>
      </c>
      <c r="P104" s="38"/>
      <c r="Q104" s="38"/>
      <c r="R104" s="38" t="s">
        <v>4833</v>
      </c>
      <c r="S104" s="38" t="s">
        <v>126</v>
      </c>
      <c r="T104" s="105"/>
      <c r="U104" s="105"/>
      <c r="V104" s="105"/>
      <c r="W104" s="105"/>
      <c r="X104" s="105"/>
      <c r="Y104" s="105"/>
      <c r="Z104" s="105"/>
    </row>
    <row r="105" spans="1:26" ht="15.75" customHeight="1" x14ac:dyDescent="0.25">
      <c r="A105" s="38" t="s">
        <v>2206</v>
      </c>
      <c r="B105" s="39">
        <v>1099684214</v>
      </c>
      <c r="C105" s="40" t="s">
        <v>1334</v>
      </c>
      <c r="D105" s="38" t="s">
        <v>4834</v>
      </c>
      <c r="E105" s="38"/>
      <c r="F105" s="38">
        <v>246</v>
      </c>
      <c r="G105" s="38" t="s">
        <v>25</v>
      </c>
      <c r="H105" s="7">
        <v>42000</v>
      </c>
      <c r="I105" s="14"/>
      <c r="J105" s="42">
        <v>42000</v>
      </c>
      <c r="K105" s="43" t="s">
        <v>234</v>
      </c>
      <c r="L105" s="38"/>
      <c r="M105" s="42"/>
      <c r="N105" s="44"/>
      <c r="O105" s="38" t="s">
        <v>28</v>
      </c>
      <c r="P105" s="38" t="s">
        <v>20</v>
      </c>
      <c r="Q105" s="38"/>
      <c r="R105" s="38" t="s">
        <v>126</v>
      </c>
      <c r="S105" s="38" t="s">
        <v>974</v>
      </c>
      <c r="T105" s="105"/>
      <c r="U105" s="105"/>
      <c r="V105" s="105"/>
      <c r="W105" s="105"/>
      <c r="X105" s="105"/>
      <c r="Y105" s="105"/>
      <c r="Z105" s="105"/>
    </row>
    <row r="106" spans="1:26" ht="15.75" customHeight="1" x14ac:dyDescent="0.25">
      <c r="A106" s="38" t="s">
        <v>4835</v>
      </c>
      <c r="B106" s="39">
        <v>1094904905</v>
      </c>
      <c r="C106" s="40" t="s">
        <v>4836</v>
      </c>
      <c r="D106" s="38" t="s">
        <v>4837</v>
      </c>
      <c r="E106" s="38"/>
      <c r="F106" s="38">
        <v>736</v>
      </c>
      <c r="G106" s="38" t="s">
        <v>25</v>
      </c>
      <c r="H106" s="7">
        <v>42000</v>
      </c>
      <c r="I106" s="14"/>
      <c r="J106" s="42">
        <v>42000</v>
      </c>
      <c r="K106" s="43" t="s">
        <v>234</v>
      </c>
      <c r="L106" s="38"/>
      <c r="M106" s="42"/>
      <c r="N106" s="44"/>
      <c r="O106" s="38" t="s">
        <v>28</v>
      </c>
      <c r="P106" s="38" t="s">
        <v>20</v>
      </c>
      <c r="Q106" s="38"/>
      <c r="R106" s="38" t="s">
        <v>4838</v>
      </c>
      <c r="S106" s="38"/>
      <c r="T106" s="105"/>
      <c r="U106" s="105"/>
      <c r="V106" s="105"/>
      <c r="W106" s="105"/>
      <c r="X106" s="105"/>
      <c r="Y106" s="105"/>
      <c r="Z106" s="105"/>
    </row>
    <row r="107" spans="1:26" ht="15.75" customHeight="1" x14ac:dyDescent="0.25">
      <c r="A107" s="38" t="s">
        <v>4839</v>
      </c>
      <c r="B107" s="40">
        <v>24675402</v>
      </c>
      <c r="C107" s="40" t="s">
        <v>4840</v>
      </c>
      <c r="D107" s="38" t="s">
        <v>4841</v>
      </c>
      <c r="E107" s="38"/>
      <c r="F107" s="38" t="s">
        <v>4842</v>
      </c>
      <c r="G107" s="38" t="s">
        <v>25</v>
      </c>
      <c r="H107" s="42">
        <v>42000</v>
      </c>
      <c r="I107" s="38"/>
      <c r="J107" s="42">
        <v>42000</v>
      </c>
      <c r="K107" s="43" t="s">
        <v>26</v>
      </c>
      <c r="L107" s="38" t="s">
        <v>427</v>
      </c>
      <c r="M107" s="42">
        <v>42000</v>
      </c>
      <c r="N107" s="44"/>
      <c r="O107" s="38" t="s">
        <v>28</v>
      </c>
      <c r="P107" s="38" t="s">
        <v>20</v>
      </c>
      <c r="Q107" s="38"/>
      <c r="R107" s="38" t="s">
        <v>4843</v>
      </c>
      <c r="S107" s="38" t="s">
        <v>30</v>
      </c>
      <c r="T107" s="105"/>
      <c r="U107" s="105"/>
      <c r="V107" s="105"/>
      <c r="W107" s="105"/>
      <c r="X107" s="105"/>
      <c r="Y107" s="105"/>
      <c r="Z107" s="105"/>
    </row>
    <row r="108" spans="1:26" ht="15.75" customHeight="1" x14ac:dyDescent="0.25">
      <c r="A108" s="88" t="s">
        <v>4844</v>
      </c>
      <c r="B108" s="88">
        <v>4525934</v>
      </c>
      <c r="C108" s="88">
        <v>3113529826</v>
      </c>
      <c r="D108" s="88" t="s">
        <v>4845</v>
      </c>
      <c r="E108" s="88" t="s">
        <v>4846</v>
      </c>
      <c r="F108" s="88" t="s">
        <v>2730</v>
      </c>
      <c r="G108" s="38" t="s">
        <v>2944</v>
      </c>
      <c r="H108" s="42">
        <v>82000</v>
      </c>
      <c r="I108" s="38"/>
      <c r="J108" s="42">
        <v>82000</v>
      </c>
      <c r="K108" s="43" t="s">
        <v>234</v>
      </c>
      <c r="L108" s="38"/>
      <c r="M108" s="42"/>
      <c r="N108" s="44"/>
      <c r="O108" s="38" t="s">
        <v>2730</v>
      </c>
      <c r="P108" s="38" t="s">
        <v>20</v>
      </c>
      <c r="Q108" s="38"/>
      <c r="R108" s="38" t="s">
        <v>4847</v>
      </c>
      <c r="S108" s="38" t="s">
        <v>4848</v>
      </c>
      <c r="T108" s="105"/>
      <c r="U108" s="105"/>
      <c r="V108" s="105"/>
      <c r="W108" s="105"/>
      <c r="X108" s="105"/>
      <c r="Y108" s="105"/>
      <c r="Z108" s="105"/>
    </row>
    <row r="109" spans="1:26" ht="15.75" customHeight="1" x14ac:dyDescent="0.25">
      <c r="A109" s="38" t="s">
        <v>4849</v>
      </c>
      <c r="B109" s="38">
        <v>31907508</v>
      </c>
      <c r="C109" s="38" t="s">
        <v>4850</v>
      </c>
      <c r="D109" s="38" t="s">
        <v>3508</v>
      </c>
      <c r="E109" s="38" t="s">
        <v>3028</v>
      </c>
      <c r="F109" s="38" t="s">
        <v>421</v>
      </c>
      <c r="G109" s="120">
        <v>82000</v>
      </c>
      <c r="H109" s="120"/>
      <c r="I109" s="169">
        <v>82000</v>
      </c>
      <c r="J109" s="43" t="s">
        <v>234</v>
      </c>
      <c r="K109" s="38"/>
      <c r="L109" s="169"/>
      <c r="M109" s="38"/>
      <c r="N109" s="38" t="s">
        <v>3029</v>
      </c>
      <c r="O109" s="14" t="s">
        <v>20</v>
      </c>
      <c r="P109" s="14"/>
      <c r="Q109" s="38" t="s">
        <v>4851</v>
      </c>
      <c r="R109" s="38" t="s">
        <v>4852</v>
      </c>
      <c r="S109" s="105"/>
      <c r="T109" s="105"/>
      <c r="U109" s="105"/>
      <c r="V109" s="105"/>
      <c r="W109" s="105"/>
      <c r="X109" s="105"/>
      <c r="Y109" s="105"/>
      <c r="Z109" s="105"/>
    </row>
    <row r="110" spans="1:26" ht="15.75" customHeight="1" x14ac:dyDescent="0.25">
      <c r="A110" s="88" t="s">
        <v>4853</v>
      </c>
      <c r="B110" s="88">
        <v>18435519</v>
      </c>
      <c r="C110" s="88">
        <v>3113971992</v>
      </c>
      <c r="D110" s="88" t="s">
        <v>4854</v>
      </c>
      <c r="E110" s="88" t="s">
        <v>3141</v>
      </c>
      <c r="F110" s="88" t="s">
        <v>421</v>
      </c>
      <c r="G110" s="43">
        <v>82000</v>
      </c>
      <c r="H110" s="43"/>
      <c r="I110" s="43">
        <v>82000</v>
      </c>
      <c r="J110" s="43" t="s">
        <v>234</v>
      </c>
      <c r="K110" s="88"/>
      <c r="L110" s="43"/>
      <c r="M110" s="89"/>
      <c r="N110" s="38" t="s">
        <v>3029</v>
      </c>
      <c r="O110" s="38" t="s">
        <v>20</v>
      </c>
      <c r="P110" s="38"/>
      <c r="Q110" s="88" t="s">
        <v>4855</v>
      </c>
      <c r="R110" s="88" t="s">
        <v>4160</v>
      </c>
      <c r="S110" s="105"/>
      <c r="T110" s="105"/>
      <c r="U110" s="105"/>
      <c r="V110" s="105"/>
      <c r="W110" s="105"/>
      <c r="X110" s="105"/>
      <c r="Y110" s="105"/>
      <c r="Z110" s="105"/>
    </row>
    <row r="111" spans="1:26" ht="15.75" customHeight="1" x14ac:dyDescent="0.25">
      <c r="A111" s="88" t="s">
        <v>4856</v>
      </c>
      <c r="B111" s="88">
        <v>66888418</v>
      </c>
      <c r="C111" s="88">
        <v>3104034547</v>
      </c>
      <c r="D111" s="88" t="s">
        <v>3343</v>
      </c>
      <c r="E111" s="88" t="s">
        <v>2730</v>
      </c>
      <c r="F111" s="88" t="s">
        <v>421</v>
      </c>
      <c r="G111" s="62">
        <v>82000</v>
      </c>
      <c r="H111" s="43"/>
      <c r="I111" s="62">
        <v>82000</v>
      </c>
      <c r="J111" s="43" t="s">
        <v>234</v>
      </c>
      <c r="K111" s="88"/>
      <c r="L111" s="62"/>
      <c r="M111" s="89"/>
      <c r="N111" s="38" t="s">
        <v>4857</v>
      </c>
      <c r="O111" s="38" t="s">
        <v>20</v>
      </c>
      <c r="P111" s="38"/>
      <c r="Q111" s="88" t="s">
        <v>3471</v>
      </c>
      <c r="R111" s="88"/>
      <c r="S111" s="105"/>
      <c r="T111" s="105"/>
      <c r="U111" s="105"/>
      <c r="V111" s="105"/>
      <c r="W111" s="105"/>
      <c r="X111" s="105"/>
      <c r="Y111" s="105"/>
      <c r="Z111" s="105"/>
    </row>
    <row r="112" spans="1:26" ht="15.75" customHeight="1" x14ac:dyDescent="0.25">
      <c r="A112" s="88" t="s">
        <v>4858</v>
      </c>
      <c r="B112" s="88">
        <v>1115184724</v>
      </c>
      <c r="C112" s="88">
        <v>3148162097</v>
      </c>
      <c r="D112" s="88" t="s">
        <v>4372</v>
      </c>
      <c r="E112" s="88" t="s">
        <v>2730</v>
      </c>
      <c r="F112" s="88" t="s">
        <v>421</v>
      </c>
      <c r="G112" s="62">
        <v>62000</v>
      </c>
      <c r="H112" s="43"/>
      <c r="I112" s="62">
        <v>62000</v>
      </c>
      <c r="J112" s="43" t="s">
        <v>234</v>
      </c>
      <c r="K112" s="36"/>
      <c r="L112" s="61"/>
      <c r="M112" s="66"/>
      <c r="N112" s="15" t="s">
        <v>3353</v>
      </c>
      <c r="O112" s="15" t="s">
        <v>20</v>
      </c>
      <c r="P112" s="15"/>
      <c r="Q112" s="36" t="s">
        <v>4859</v>
      </c>
      <c r="R112" s="36" t="s">
        <v>4860</v>
      </c>
      <c r="S112" s="105"/>
      <c r="T112" s="105"/>
      <c r="U112" s="105"/>
      <c r="V112" s="105"/>
      <c r="W112" s="105"/>
      <c r="X112" s="105"/>
      <c r="Y112" s="105"/>
      <c r="Z112" s="105"/>
    </row>
    <row r="113" spans="1:26" ht="15.75" customHeight="1" x14ac:dyDescent="0.25">
      <c r="A113" s="88" t="s">
        <v>4861</v>
      </c>
      <c r="B113" s="88">
        <v>1007476425</v>
      </c>
      <c r="C113" s="88" t="s">
        <v>4862</v>
      </c>
      <c r="D113" s="88" t="s">
        <v>4863</v>
      </c>
      <c r="E113" s="88" t="s">
        <v>4864</v>
      </c>
      <c r="F113" s="88" t="s">
        <v>2731</v>
      </c>
      <c r="G113" s="62">
        <v>42000</v>
      </c>
      <c r="H113" s="62"/>
      <c r="I113" s="62">
        <v>42000</v>
      </c>
      <c r="J113" s="43" t="s">
        <v>234</v>
      </c>
      <c r="K113" s="88"/>
      <c r="L113" s="62"/>
      <c r="M113" s="89"/>
      <c r="N113" s="38" t="s">
        <v>3354</v>
      </c>
      <c r="O113" s="38" t="s">
        <v>20</v>
      </c>
      <c r="P113" s="38"/>
      <c r="Q113" s="88" t="s">
        <v>4213</v>
      </c>
      <c r="R113" s="88" t="s">
        <v>4865</v>
      </c>
      <c r="S113" s="105"/>
      <c r="T113" s="105"/>
      <c r="U113" s="105"/>
      <c r="V113" s="105"/>
      <c r="W113" s="105"/>
      <c r="X113" s="105"/>
      <c r="Y113" s="105"/>
      <c r="Z113" s="105"/>
    </row>
    <row r="114" spans="1:26" ht="15.75" customHeight="1" x14ac:dyDescent="0.25">
      <c r="A114" s="88" t="s">
        <v>4866</v>
      </c>
      <c r="B114" s="88">
        <v>43287305</v>
      </c>
      <c r="C114" s="88" t="s">
        <v>4867</v>
      </c>
      <c r="D114" s="88" t="s">
        <v>4868</v>
      </c>
      <c r="E114" s="88" t="s">
        <v>1782</v>
      </c>
      <c r="F114" s="88" t="s">
        <v>1783</v>
      </c>
      <c r="G114" s="62">
        <v>82000</v>
      </c>
      <c r="H114" s="62"/>
      <c r="I114" s="62">
        <v>82000</v>
      </c>
      <c r="J114" s="43" t="s">
        <v>234</v>
      </c>
      <c r="K114" s="88"/>
      <c r="L114" s="62"/>
      <c r="M114" s="89"/>
      <c r="N114" s="38" t="s">
        <v>3354</v>
      </c>
      <c r="O114" s="38" t="s">
        <v>20</v>
      </c>
      <c r="P114" s="38"/>
      <c r="Q114" s="88" t="s">
        <v>423</v>
      </c>
      <c r="R114" s="88" t="s">
        <v>4051</v>
      </c>
      <c r="S114" s="105"/>
      <c r="T114" s="105"/>
      <c r="U114" s="105"/>
      <c r="V114" s="105"/>
      <c r="W114" s="105"/>
      <c r="X114" s="105"/>
      <c r="Y114" s="105"/>
      <c r="Z114" s="105"/>
    </row>
    <row r="115" spans="1:26" ht="15.75" customHeight="1" x14ac:dyDescent="0.25">
      <c r="A115" s="88" t="s">
        <v>4869</v>
      </c>
      <c r="B115" s="88">
        <v>29808992</v>
      </c>
      <c r="C115" s="88">
        <v>3142619269</v>
      </c>
      <c r="D115" s="88" t="s">
        <v>4870</v>
      </c>
      <c r="E115" s="88"/>
      <c r="F115" s="88" t="s">
        <v>3653</v>
      </c>
      <c r="G115" s="61">
        <v>42000</v>
      </c>
      <c r="H115" s="61"/>
      <c r="I115" s="62">
        <v>42000</v>
      </c>
      <c r="J115" s="43" t="s">
        <v>26</v>
      </c>
      <c r="K115" s="88" t="s">
        <v>27</v>
      </c>
      <c r="L115" s="62">
        <v>42000</v>
      </c>
      <c r="M115" s="89"/>
      <c r="N115" s="38" t="s">
        <v>3354</v>
      </c>
      <c r="O115" s="38" t="s">
        <v>20</v>
      </c>
      <c r="P115" s="38"/>
      <c r="Q115" s="88" t="s">
        <v>4213</v>
      </c>
      <c r="R115" s="88" t="s">
        <v>4871</v>
      </c>
      <c r="S115" s="105"/>
      <c r="T115" s="105"/>
      <c r="U115" s="105"/>
      <c r="V115" s="105"/>
      <c r="W115" s="105"/>
      <c r="X115" s="105"/>
      <c r="Y115" s="105"/>
      <c r="Z115" s="105"/>
    </row>
    <row r="116" spans="1:26" ht="15.75" customHeight="1" x14ac:dyDescent="0.25">
      <c r="A116" s="88" t="s">
        <v>4872</v>
      </c>
      <c r="B116" s="88">
        <v>94385781</v>
      </c>
      <c r="C116" s="88" t="s">
        <v>4873</v>
      </c>
      <c r="D116" s="88" t="s">
        <v>4358</v>
      </c>
      <c r="E116" s="88" t="s">
        <v>4874</v>
      </c>
      <c r="F116" s="88" t="s">
        <v>2731</v>
      </c>
      <c r="G116" s="62">
        <v>42000</v>
      </c>
      <c r="H116" s="62"/>
      <c r="I116" s="62">
        <v>42000</v>
      </c>
      <c r="J116" s="43" t="s">
        <v>234</v>
      </c>
      <c r="K116" s="155"/>
      <c r="L116" s="62"/>
      <c r="M116" s="89"/>
      <c r="N116" s="38" t="s">
        <v>3354</v>
      </c>
      <c r="O116" s="38" t="s">
        <v>20</v>
      </c>
      <c r="P116" s="38"/>
      <c r="Q116" s="88" t="s">
        <v>4875</v>
      </c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ht="15.75" customHeight="1" x14ac:dyDescent="0.25">
      <c r="A117" s="88" t="s">
        <v>4876</v>
      </c>
      <c r="B117" s="88">
        <v>66964065</v>
      </c>
      <c r="C117" s="88" t="s">
        <v>4877</v>
      </c>
      <c r="D117" s="88" t="s">
        <v>4878</v>
      </c>
      <c r="E117" s="88" t="s">
        <v>4879</v>
      </c>
      <c r="F117" s="88" t="s">
        <v>25</v>
      </c>
      <c r="G117" s="62">
        <v>42000</v>
      </c>
      <c r="H117" s="62"/>
      <c r="I117" s="62">
        <v>42000</v>
      </c>
      <c r="J117" s="43" t="s">
        <v>26</v>
      </c>
      <c r="K117" s="155" t="s">
        <v>27</v>
      </c>
      <c r="L117" s="62">
        <v>42000</v>
      </c>
      <c r="M117" s="89"/>
      <c r="N117" s="38" t="s">
        <v>3354</v>
      </c>
      <c r="O117" s="38" t="s">
        <v>20</v>
      </c>
      <c r="P117" s="38"/>
      <c r="Q117" s="88" t="s">
        <v>4880</v>
      </c>
      <c r="R117" s="88" t="s">
        <v>4881</v>
      </c>
      <c r="S117" s="105"/>
      <c r="T117" s="105"/>
      <c r="U117" s="105"/>
      <c r="V117" s="105"/>
      <c r="W117" s="105"/>
      <c r="X117" s="105"/>
      <c r="Y117" s="105"/>
      <c r="Z117" s="105"/>
    </row>
    <row r="118" spans="1:26" ht="15.75" customHeight="1" x14ac:dyDescent="0.25">
      <c r="A118" s="88" t="s">
        <v>4882</v>
      </c>
      <c r="B118" s="88">
        <v>41887587</v>
      </c>
      <c r="C118" s="88">
        <v>3144557970</v>
      </c>
      <c r="D118" s="88" t="s">
        <v>4883</v>
      </c>
      <c r="E118" s="88" t="s">
        <v>1782</v>
      </c>
      <c r="F118" s="88" t="s">
        <v>1783</v>
      </c>
      <c r="G118" s="61">
        <v>82000</v>
      </c>
      <c r="H118" s="61"/>
      <c r="I118" s="62">
        <v>82000</v>
      </c>
      <c r="J118" s="57" t="s">
        <v>234</v>
      </c>
      <c r="K118" s="88"/>
      <c r="L118" s="62"/>
      <c r="M118" s="89"/>
      <c r="N118" s="38" t="s">
        <v>3354</v>
      </c>
      <c r="O118" s="38" t="s">
        <v>20</v>
      </c>
      <c r="P118" s="38"/>
      <c r="Q118" s="88" t="s">
        <v>423</v>
      </c>
      <c r="R118" s="88" t="s">
        <v>4884</v>
      </c>
      <c r="S118" s="105"/>
      <c r="T118" s="105"/>
      <c r="U118" s="105"/>
      <c r="V118" s="105"/>
      <c r="W118" s="105"/>
      <c r="X118" s="105"/>
      <c r="Y118" s="105"/>
      <c r="Z118" s="105"/>
    </row>
    <row r="119" spans="1:26" ht="15.75" customHeight="1" x14ac:dyDescent="0.25">
      <c r="A119" s="73" t="s">
        <v>4885</v>
      </c>
      <c r="B119" s="73">
        <v>29332310</v>
      </c>
      <c r="C119" s="73">
        <v>3158825669</v>
      </c>
      <c r="D119" s="73" t="s">
        <v>4886</v>
      </c>
      <c r="E119" s="73" t="s">
        <v>4887</v>
      </c>
      <c r="F119" s="73" t="s">
        <v>2731</v>
      </c>
      <c r="G119" s="180">
        <v>42000</v>
      </c>
      <c r="H119" s="180"/>
      <c r="I119" s="180">
        <f>G119+H119</f>
        <v>42000</v>
      </c>
      <c r="J119" s="181" t="s">
        <v>26</v>
      </c>
      <c r="K119" s="180" t="s">
        <v>85</v>
      </c>
      <c r="L119" s="180">
        <v>42000</v>
      </c>
      <c r="M119" s="182"/>
      <c r="N119" s="33" t="s">
        <v>3354</v>
      </c>
      <c r="O119" s="33" t="s">
        <v>20</v>
      </c>
      <c r="P119" s="33"/>
      <c r="Q119" s="73"/>
      <c r="R119" s="73" t="s">
        <v>4888</v>
      </c>
      <c r="S119" s="105"/>
      <c r="T119" s="105"/>
      <c r="U119" s="105"/>
      <c r="V119" s="105"/>
      <c r="W119" s="105"/>
      <c r="X119" s="105"/>
      <c r="Y119" s="105"/>
      <c r="Z119" s="105"/>
    </row>
    <row r="120" spans="1:26" ht="15.75" customHeight="1" x14ac:dyDescent="0.25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15.75" customHeight="1" x14ac:dyDescent="0.25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15.75" customHeight="1" x14ac:dyDescent="0.25">
      <c r="A122" s="38" t="s">
        <v>231</v>
      </c>
      <c r="B122" s="39">
        <v>9802210</v>
      </c>
      <c r="C122" s="40">
        <v>3241085065</v>
      </c>
      <c r="D122" s="38" t="s">
        <v>232</v>
      </c>
      <c r="E122" s="38"/>
      <c r="F122" s="38" t="s">
        <v>233</v>
      </c>
      <c r="G122" s="38" t="s">
        <v>25</v>
      </c>
      <c r="H122" s="41"/>
      <c r="I122" s="42">
        <v>42000</v>
      </c>
      <c r="J122" s="42">
        <v>42000</v>
      </c>
      <c r="K122" s="50" t="s">
        <v>234</v>
      </c>
      <c r="L122" s="38"/>
      <c r="M122" s="42"/>
      <c r="N122" s="44"/>
      <c r="O122" s="38" t="s">
        <v>28</v>
      </c>
      <c r="P122" s="38" t="s">
        <v>20</v>
      </c>
      <c r="Q122" s="38"/>
      <c r="R122" s="38" t="s">
        <v>235</v>
      </c>
      <c r="S122" s="38" t="s">
        <v>236</v>
      </c>
      <c r="T122" s="105"/>
      <c r="U122" s="105"/>
      <c r="V122" s="105"/>
      <c r="W122" s="105"/>
      <c r="X122" s="105"/>
      <c r="Y122" s="105"/>
      <c r="Z122" s="105"/>
    </row>
    <row r="123" spans="1:26" ht="15.75" customHeight="1" x14ac:dyDescent="0.25">
      <c r="A123" s="38" t="s">
        <v>306</v>
      </c>
      <c r="B123" s="40">
        <v>24674603</v>
      </c>
      <c r="C123" s="40" t="s">
        <v>307</v>
      </c>
      <c r="D123" s="38" t="s">
        <v>308</v>
      </c>
      <c r="E123" s="38"/>
      <c r="F123" s="38" t="s">
        <v>309</v>
      </c>
      <c r="G123" s="38" t="s">
        <v>25</v>
      </c>
      <c r="H123" s="41"/>
      <c r="I123" s="42">
        <v>42000</v>
      </c>
      <c r="J123" s="42">
        <v>42000</v>
      </c>
      <c r="K123" s="50" t="s">
        <v>234</v>
      </c>
      <c r="L123" s="38"/>
      <c r="M123" s="42"/>
      <c r="N123" s="44"/>
      <c r="O123" s="38" t="s">
        <v>28</v>
      </c>
      <c r="P123" s="38" t="s">
        <v>20</v>
      </c>
      <c r="Q123" s="38"/>
      <c r="R123" s="38" t="s">
        <v>310</v>
      </c>
      <c r="S123" s="38" t="s">
        <v>30</v>
      </c>
      <c r="T123" s="105"/>
      <c r="U123" s="105"/>
      <c r="V123" s="105"/>
      <c r="W123" s="105"/>
      <c r="X123" s="105"/>
      <c r="Y123" s="105"/>
      <c r="Z123" s="105"/>
    </row>
    <row r="124" spans="1:26" ht="15.75" customHeight="1" x14ac:dyDescent="0.25">
      <c r="A124" s="38" t="s">
        <v>637</v>
      </c>
      <c r="B124" s="39">
        <v>1007410993</v>
      </c>
      <c r="C124" s="40" t="s">
        <v>638</v>
      </c>
      <c r="D124" s="38" t="s">
        <v>639</v>
      </c>
      <c r="E124" s="58">
        <v>1</v>
      </c>
      <c r="F124" s="38"/>
      <c r="G124" s="38" t="s">
        <v>25</v>
      </c>
      <c r="H124" s="41"/>
      <c r="I124" s="42">
        <v>42000</v>
      </c>
      <c r="J124" s="42">
        <v>42000</v>
      </c>
      <c r="K124" s="50" t="s">
        <v>234</v>
      </c>
      <c r="L124" s="38"/>
      <c r="M124" s="42"/>
      <c r="N124" s="44"/>
      <c r="O124" s="38" t="s">
        <v>28</v>
      </c>
      <c r="P124" s="38" t="s">
        <v>20</v>
      </c>
      <c r="Q124" s="38"/>
      <c r="R124" s="38" t="s">
        <v>67</v>
      </c>
      <c r="S124" s="38" t="s">
        <v>640</v>
      </c>
      <c r="T124" s="105"/>
      <c r="U124" s="105"/>
      <c r="V124" s="105"/>
      <c r="W124" s="105"/>
      <c r="X124" s="105"/>
      <c r="Y124" s="105"/>
      <c r="Z124" s="105"/>
    </row>
    <row r="125" spans="1:26" ht="15.75" customHeight="1" x14ac:dyDescent="0.25">
      <c r="A125" s="38" t="s">
        <v>663</v>
      </c>
      <c r="B125" s="39">
        <v>1099682225</v>
      </c>
      <c r="C125" s="40" t="s">
        <v>664</v>
      </c>
      <c r="D125" s="38" t="s">
        <v>665</v>
      </c>
      <c r="E125" s="58">
        <v>1</v>
      </c>
      <c r="F125" s="38">
        <v>30</v>
      </c>
      <c r="G125" s="38" t="s">
        <v>25</v>
      </c>
      <c r="H125" s="41"/>
      <c r="I125" s="42">
        <v>42000</v>
      </c>
      <c r="J125" s="42">
        <v>42000</v>
      </c>
      <c r="K125" s="50" t="s">
        <v>234</v>
      </c>
      <c r="L125" s="38"/>
      <c r="M125" s="42"/>
      <c r="N125" s="44"/>
      <c r="O125" s="38" t="s">
        <v>28</v>
      </c>
      <c r="P125" s="38" t="s">
        <v>20</v>
      </c>
      <c r="Q125" s="38"/>
      <c r="R125" s="38" t="s">
        <v>666</v>
      </c>
      <c r="S125" s="38" t="s">
        <v>667</v>
      </c>
      <c r="T125" s="105"/>
      <c r="U125" s="105"/>
      <c r="V125" s="105"/>
      <c r="W125" s="105"/>
      <c r="X125" s="105"/>
      <c r="Y125" s="105"/>
      <c r="Z125" s="105"/>
    </row>
    <row r="126" spans="1:26" ht="15.75" customHeight="1" x14ac:dyDescent="0.25">
      <c r="A126" s="38" t="s">
        <v>851</v>
      </c>
      <c r="B126" s="39">
        <v>9800242</v>
      </c>
      <c r="C126" s="40" t="s">
        <v>852</v>
      </c>
      <c r="D126" s="38" t="s">
        <v>853</v>
      </c>
      <c r="E126" s="38"/>
      <c r="F126" s="38">
        <v>547</v>
      </c>
      <c r="G126" s="38" t="s">
        <v>25</v>
      </c>
      <c r="H126" s="41"/>
      <c r="I126" s="42">
        <v>42000</v>
      </c>
      <c r="J126" s="42">
        <v>42000</v>
      </c>
      <c r="K126" s="50" t="s">
        <v>234</v>
      </c>
      <c r="L126" s="38"/>
      <c r="M126" s="42"/>
      <c r="N126" s="44"/>
      <c r="O126" s="38" t="s">
        <v>28</v>
      </c>
      <c r="P126" s="38" t="s">
        <v>20</v>
      </c>
      <c r="Q126" s="38"/>
      <c r="R126" s="38" t="s">
        <v>808</v>
      </c>
      <c r="S126" s="38" t="s">
        <v>107</v>
      </c>
      <c r="T126" s="105"/>
      <c r="U126" s="105"/>
      <c r="V126" s="105"/>
      <c r="W126" s="105"/>
      <c r="X126" s="105"/>
      <c r="Y126" s="105"/>
      <c r="Z126" s="105"/>
    </row>
    <row r="127" spans="1:26" ht="15.75" customHeight="1" x14ac:dyDescent="0.25">
      <c r="A127" s="38" t="s">
        <v>971</v>
      </c>
      <c r="B127" s="39">
        <v>1099683989</v>
      </c>
      <c r="C127" s="40" t="s">
        <v>972</v>
      </c>
      <c r="D127" s="38" t="s">
        <v>973</v>
      </c>
      <c r="E127" s="38"/>
      <c r="F127" s="38">
        <v>402</v>
      </c>
      <c r="G127" s="38" t="s">
        <v>35</v>
      </c>
      <c r="H127" s="41"/>
      <c r="I127" s="42">
        <v>42000</v>
      </c>
      <c r="J127" s="42">
        <v>42000</v>
      </c>
      <c r="K127" s="50" t="s">
        <v>234</v>
      </c>
      <c r="L127" s="38"/>
      <c r="M127" s="42"/>
      <c r="N127" s="44"/>
      <c r="O127" s="38" t="s">
        <v>28</v>
      </c>
      <c r="P127" s="38" t="s">
        <v>20</v>
      </c>
      <c r="Q127" s="38"/>
      <c r="R127" s="38" t="s">
        <v>126</v>
      </c>
      <c r="S127" s="38" t="s">
        <v>974</v>
      </c>
      <c r="T127" s="105"/>
      <c r="U127" s="105"/>
      <c r="V127" s="105"/>
      <c r="W127" s="105"/>
      <c r="X127" s="105"/>
      <c r="Y127" s="105"/>
      <c r="Z127" s="105"/>
    </row>
    <row r="128" spans="1:26" ht="15.75" customHeight="1" x14ac:dyDescent="0.25">
      <c r="A128" s="38" t="s">
        <v>1013</v>
      </c>
      <c r="B128" s="39">
        <v>1099682761</v>
      </c>
      <c r="C128" s="40" t="s">
        <v>1014</v>
      </c>
      <c r="D128" s="38" t="s">
        <v>1015</v>
      </c>
      <c r="E128" s="38"/>
      <c r="F128" s="38">
        <v>778</v>
      </c>
      <c r="G128" s="38" t="s">
        <v>35</v>
      </c>
      <c r="H128" s="41"/>
      <c r="I128" s="42">
        <v>42000</v>
      </c>
      <c r="J128" s="42">
        <v>42000</v>
      </c>
      <c r="K128" s="50" t="s">
        <v>234</v>
      </c>
      <c r="L128" s="38"/>
      <c r="M128" s="42"/>
      <c r="N128" s="44"/>
      <c r="O128" s="38" t="s">
        <v>28</v>
      </c>
      <c r="P128" s="38" t="s">
        <v>20</v>
      </c>
      <c r="Q128" s="38"/>
      <c r="R128" s="38" t="s">
        <v>1016</v>
      </c>
      <c r="S128" s="38" t="s">
        <v>30</v>
      </c>
      <c r="T128" s="105"/>
      <c r="U128" s="105"/>
      <c r="V128" s="105"/>
      <c r="W128" s="105"/>
      <c r="X128" s="105"/>
      <c r="Y128" s="105"/>
      <c r="Z128" s="105"/>
    </row>
    <row r="129" spans="1:26" ht="15.75" customHeight="1" x14ac:dyDescent="0.25">
      <c r="A129" s="38" t="s">
        <v>1091</v>
      </c>
      <c r="B129" s="39">
        <v>1005319224</v>
      </c>
      <c r="C129" s="40" t="s">
        <v>1092</v>
      </c>
      <c r="D129" s="38" t="s">
        <v>1015</v>
      </c>
      <c r="E129" s="38"/>
      <c r="F129" s="38">
        <v>559</v>
      </c>
      <c r="G129" s="38" t="s">
        <v>25</v>
      </c>
      <c r="H129" s="41"/>
      <c r="I129" s="100">
        <v>67000</v>
      </c>
      <c r="J129" s="42">
        <v>42000</v>
      </c>
      <c r="K129" s="50" t="s">
        <v>234</v>
      </c>
      <c r="L129" s="38"/>
      <c r="M129" s="42"/>
      <c r="N129" s="44"/>
      <c r="O129" s="38" t="s">
        <v>28</v>
      </c>
      <c r="P129" s="38" t="s">
        <v>20</v>
      </c>
      <c r="Q129" s="38"/>
      <c r="R129" s="38" t="s">
        <v>1093</v>
      </c>
      <c r="S129" s="38" t="s">
        <v>67</v>
      </c>
      <c r="T129" s="105"/>
      <c r="U129" s="105"/>
      <c r="V129" s="105"/>
      <c r="W129" s="105"/>
      <c r="X129" s="105"/>
      <c r="Y129" s="105"/>
      <c r="Z129" s="105"/>
    </row>
    <row r="130" spans="1:26" ht="15.75" customHeight="1" x14ac:dyDescent="0.25">
      <c r="A130" s="38" t="s">
        <v>1108</v>
      </c>
      <c r="B130" s="39">
        <v>1115190262</v>
      </c>
      <c r="C130" s="40" t="s">
        <v>1109</v>
      </c>
      <c r="D130" s="38" t="s">
        <v>1110</v>
      </c>
      <c r="E130" s="38"/>
      <c r="F130" s="38">
        <v>150</v>
      </c>
      <c r="G130" s="38" t="s">
        <v>188</v>
      </c>
      <c r="H130" s="41"/>
      <c r="I130" s="100">
        <v>57000</v>
      </c>
      <c r="J130" s="42">
        <v>57000</v>
      </c>
      <c r="K130" s="50" t="s">
        <v>234</v>
      </c>
      <c r="L130" s="38"/>
      <c r="M130" s="42"/>
      <c r="N130" s="44"/>
      <c r="O130" s="38" t="s">
        <v>28</v>
      </c>
      <c r="P130" s="38" t="s">
        <v>20</v>
      </c>
      <c r="Q130" s="38"/>
      <c r="R130" s="38" t="s">
        <v>1111</v>
      </c>
      <c r="S130" s="38" t="s">
        <v>67</v>
      </c>
      <c r="T130" s="105"/>
      <c r="U130" s="105"/>
      <c r="V130" s="105"/>
      <c r="W130" s="105"/>
      <c r="X130" s="105"/>
      <c r="Y130" s="105"/>
      <c r="Z130" s="105"/>
    </row>
    <row r="131" spans="1:26" ht="15.75" customHeight="1" x14ac:dyDescent="0.25">
      <c r="A131" s="99" t="s">
        <v>876</v>
      </c>
      <c r="B131" s="99">
        <v>9802034</v>
      </c>
      <c r="C131" s="99">
        <v>3148781345</v>
      </c>
      <c r="D131" s="99" t="s">
        <v>1613</v>
      </c>
      <c r="E131" s="99"/>
      <c r="F131" s="99">
        <v>23</v>
      </c>
      <c r="G131" s="38" t="s">
        <v>25</v>
      </c>
      <c r="H131" s="41"/>
      <c r="I131" s="100">
        <v>42000</v>
      </c>
      <c r="J131" s="100">
        <f t="shared" ref="J131" si="0">I110</f>
        <v>82000</v>
      </c>
      <c r="K131" s="50" t="s">
        <v>234</v>
      </c>
      <c r="L131" s="99"/>
      <c r="M131" s="100"/>
      <c r="N131" s="89"/>
      <c r="O131" s="38" t="s">
        <v>28</v>
      </c>
      <c r="P131" s="38" t="s">
        <v>20</v>
      </c>
      <c r="Q131" s="38"/>
      <c r="R131" s="99" t="s">
        <v>1614</v>
      </c>
      <c r="S131" s="99" t="s">
        <v>67</v>
      </c>
      <c r="T131" s="105"/>
      <c r="U131" s="105"/>
      <c r="V131" s="105"/>
      <c r="W131" s="105"/>
      <c r="X131" s="105"/>
      <c r="Y131" s="105"/>
      <c r="Z131" s="105"/>
    </row>
    <row r="132" spans="1:26" ht="15.75" customHeight="1" x14ac:dyDescent="0.25">
      <c r="A132" s="99" t="s">
        <v>1650</v>
      </c>
      <c r="B132" s="99">
        <v>18469936</v>
      </c>
      <c r="C132" s="99" t="s">
        <v>1862</v>
      </c>
      <c r="D132" s="99" t="s">
        <v>1863</v>
      </c>
      <c r="E132" s="99"/>
      <c r="F132" s="99" t="s">
        <v>1864</v>
      </c>
      <c r="G132" s="38" t="s">
        <v>25</v>
      </c>
      <c r="H132" s="41"/>
      <c r="I132" s="100">
        <v>42000</v>
      </c>
      <c r="J132" s="100">
        <v>42000</v>
      </c>
      <c r="K132" s="50" t="s">
        <v>234</v>
      </c>
      <c r="L132" s="99"/>
      <c r="M132" s="100"/>
      <c r="N132" s="89"/>
      <c r="O132" s="38" t="s">
        <v>28</v>
      </c>
      <c r="P132" s="38" t="s">
        <v>20</v>
      </c>
      <c r="Q132" s="38"/>
      <c r="R132" s="38" t="s">
        <v>1865</v>
      </c>
      <c r="S132" s="38" t="s">
        <v>30</v>
      </c>
      <c r="T132" s="105"/>
      <c r="U132" s="105"/>
      <c r="V132" s="105"/>
      <c r="W132" s="105"/>
      <c r="X132" s="105"/>
      <c r="Y132" s="105"/>
      <c r="Z132" s="105"/>
    </row>
    <row r="133" spans="1:26" ht="15.75" customHeight="1" x14ac:dyDescent="0.25">
      <c r="A133" s="38" t="s">
        <v>2262</v>
      </c>
      <c r="B133" s="39">
        <v>1005319228</v>
      </c>
      <c r="C133" s="40" t="s">
        <v>2263</v>
      </c>
      <c r="D133" s="38" t="s">
        <v>2264</v>
      </c>
      <c r="E133" s="38"/>
      <c r="F133" s="38"/>
      <c r="G133" s="38" t="s">
        <v>25</v>
      </c>
      <c r="H133" s="42">
        <v>42000</v>
      </c>
      <c r="I133" s="38"/>
      <c r="J133" s="42">
        <v>42000</v>
      </c>
      <c r="K133" s="50" t="s">
        <v>234</v>
      </c>
      <c r="L133" s="38"/>
      <c r="M133" s="42"/>
      <c r="N133" s="44"/>
      <c r="O133" s="38" t="s">
        <v>28</v>
      </c>
      <c r="P133" s="38" t="s">
        <v>20</v>
      </c>
      <c r="Q133" s="38"/>
      <c r="R133" s="38" t="s">
        <v>2265</v>
      </c>
      <c r="S133" s="38" t="s">
        <v>126</v>
      </c>
      <c r="T133" s="105"/>
      <c r="U133" s="105"/>
      <c r="V133" s="105"/>
      <c r="W133" s="105"/>
      <c r="X133" s="105"/>
      <c r="Y133" s="105"/>
      <c r="Z133" s="105"/>
    </row>
    <row r="134" spans="1:26" ht="15.75" customHeight="1" x14ac:dyDescent="0.25">
      <c r="A134" s="99" t="s">
        <v>2459</v>
      </c>
      <c r="B134" s="99">
        <v>1094920418</v>
      </c>
      <c r="C134" s="99">
        <v>3103548266</v>
      </c>
      <c r="D134" s="99" t="s">
        <v>2460</v>
      </c>
      <c r="E134" s="99"/>
      <c r="F134" s="99" t="s">
        <v>2461</v>
      </c>
      <c r="G134" s="38" t="s">
        <v>25</v>
      </c>
      <c r="H134" s="100">
        <v>42000</v>
      </c>
      <c r="I134" s="50"/>
      <c r="J134" s="100">
        <v>42000</v>
      </c>
      <c r="K134" s="50" t="s">
        <v>234</v>
      </c>
      <c r="L134" s="99"/>
      <c r="M134" s="100"/>
      <c r="N134" s="89"/>
      <c r="O134" s="38" t="s">
        <v>28</v>
      </c>
      <c r="P134" s="38" t="s">
        <v>20</v>
      </c>
      <c r="Q134" s="38"/>
      <c r="R134" s="38" t="s">
        <v>2462</v>
      </c>
      <c r="S134" s="38" t="s">
        <v>151</v>
      </c>
      <c r="T134" s="105"/>
      <c r="U134" s="105"/>
      <c r="V134" s="105"/>
      <c r="W134" s="105"/>
      <c r="X134" s="105"/>
      <c r="Y134" s="105"/>
      <c r="Z134" s="105"/>
    </row>
    <row r="135" spans="1:26" ht="15.75" customHeight="1" x14ac:dyDescent="0.25">
      <c r="A135" s="99" t="s">
        <v>2582</v>
      </c>
      <c r="B135" s="97">
        <v>1005367367</v>
      </c>
      <c r="C135" s="99">
        <v>3234365270</v>
      </c>
      <c r="D135" s="99" t="s">
        <v>2583</v>
      </c>
      <c r="E135" s="98">
        <v>1</v>
      </c>
      <c r="F135" s="99"/>
      <c r="G135" s="38" t="s">
        <v>25</v>
      </c>
      <c r="H135" s="100">
        <v>42000</v>
      </c>
      <c r="I135" s="50"/>
      <c r="J135" s="100">
        <f t="shared" ref="J135" si="1">H135</f>
        <v>42000</v>
      </c>
      <c r="K135" s="50" t="s">
        <v>234</v>
      </c>
      <c r="L135" s="99"/>
      <c r="M135" s="100"/>
      <c r="N135" s="89"/>
      <c r="O135" s="38" t="s">
        <v>28</v>
      </c>
      <c r="P135" s="38" t="s">
        <v>20</v>
      </c>
      <c r="Q135" s="38"/>
      <c r="R135" s="99" t="s">
        <v>2584</v>
      </c>
      <c r="S135" s="99"/>
      <c r="T135" s="105"/>
      <c r="U135" s="105"/>
      <c r="V135" s="105"/>
      <c r="W135" s="105"/>
      <c r="X135" s="105"/>
      <c r="Y135" s="105"/>
      <c r="Z135" s="105"/>
    </row>
    <row r="136" spans="1:26" ht="15.75" customHeight="1" x14ac:dyDescent="0.25">
      <c r="A136" s="38" t="s">
        <v>2633</v>
      </c>
      <c r="B136" s="38">
        <v>24675013</v>
      </c>
      <c r="C136" s="38">
        <v>3128473836</v>
      </c>
      <c r="D136" s="38" t="s">
        <v>1083</v>
      </c>
      <c r="E136" s="38"/>
      <c r="F136" s="38" t="s">
        <v>25</v>
      </c>
      <c r="G136" s="38" t="s">
        <v>25</v>
      </c>
      <c r="H136" s="38">
        <v>42000</v>
      </c>
      <c r="I136" s="38"/>
      <c r="J136" s="42">
        <v>42000</v>
      </c>
      <c r="K136" s="50" t="s">
        <v>234</v>
      </c>
      <c r="L136" s="38"/>
      <c r="M136" s="52">
        <v>0</v>
      </c>
      <c r="N136" s="44"/>
      <c r="O136" s="38" t="s">
        <v>28</v>
      </c>
      <c r="P136" s="38" t="s">
        <v>20</v>
      </c>
      <c r="Q136" s="38"/>
      <c r="R136" s="99" t="s">
        <v>2634</v>
      </c>
      <c r="S136" s="99" t="s">
        <v>30</v>
      </c>
      <c r="T136" s="105"/>
      <c r="U136" s="105"/>
      <c r="V136" s="105"/>
      <c r="W136" s="105"/>
      <c r="X136" s="105"/>
      <c r="Y136" s="105"/>
      <c r="Z136" s="105"/>
    </row>
    <row r="137" spans="1:26" ht="15.75" customHeight="1" x14ac:dyDescent="0.25">
      <c r="A137" s="38" t="s">
        <v>2663</v>
      </c>
      <c r="B137" s="38">
        <v>1114401290</v>
      </c>
      <c r="C137" s="38" t="s">
        <v>2664</v>
      </c>
      <c r="D137" s="38" t="s">
        <v>2665</v>
      </c>
      <c r="E137" s="38"/>
      <c r="F137" s="38"/>
      <c r="G137" s="38" t="s">
        <v>25</v>
      </c>
      <c r="H137" s="38">
        <v>42000</v>
      </c>
      <c r="I137" s="38"/>
      <c r="J137" s="42">
        <v>42000</v>
      </c>
      <c r="K137" s="50" t="s">
        <v>234</v>
      </c>
      <c r="L137" s="38"/>
      <c r="M137" s="42"/>
      <c r="N137" s="44"/>
      <c r="O137" s="38" t="s">
        <v>28</v>
      </c>
      <c r="P137" s="38" t="s">
        <v>20</v>
      </c>
      <c r="Q137" s="38"/>
      <c r="R137" s="38" t="s">
        <v>2666</v>
      </c>
      <c r="S137" s="38" t="s">
        <v>30</v>
      </c>
      <c r="T137" s="105"/>
      <c r="U137" s="105"/>
      <c r="V137" s="105"/>
      <c r="W137" s="105"/>
      <c r="X137" s="105"/>
      <c r="Y137" s="105"/>
      <c r="Z137" s="105"/>
    </row>
    <row r="138" spans="1:26" ht="15.75" customHeight="1" x14ac:dyDescent="0.25">
      <c r="A138" s="38" t="s">
        <v>429</v>
      </c>
      <c r="B138" s="40">
        <v>1007398572</v>
      </c>
      <c r="C138" s="40" t="s">
        <v>430</v>
      </c>
      <c r="D138" s="38" t="s">
        <v>431</v>
      </c>
      <c r="E138" s="38"/>
      <c r="F138" s="38"/>
      <c r="G138" s="38" t="s">
        <v>25</v>
      </c>
      <c r="H138" s="41"/>
      <c r="I138" s="42">
        <v>42000</v>
      </c>
      <c r="J138" s="42">
        <v>42000</v>
      </c>
      <c r="K138" s="50" t="s">
        <v>26</v>
      </c>
      <c r="L138" s="51" t="s">
        <v>85</v>
      </c>
      <c r="M138" s="52">
        <v>42000</v>
      </c>
      <c r="N138" s="44"/>
      <c r="O138" s="38" t="s">
        <v>28</v>
      </c>
      <c r="P138" s="38" t="s">
        <v>20</v>
      </c>
      <c r="Q138" s="38"/>
      <c r="R138" s="38" t="s">
        <v>432</v>
      </c>
      <c r="S138" s="38" t="s">
        <v>107</v>
      </c>
      <c r="T138" s="105"/>
      <c r="U138" s="105"/>
      <c r="V138" s="105"/>
      <c r="W138" s="105"/>
      <c r="X138" s="105"/>
      <c r="Y138" s="105"/>
      <c r="Z138" s="105"/>
    </row>
    <row r="139" spans="1:26" ht="15.75" customHeight="1" x14ac:dyDescent="0.25">
      <c r="A139" s="286" t="s">
        <v>1349</v>
      </c>
      <c r="B139" s="286">
        <v>33966331</v>
      </c>
      <c r="C139" s="286">
        <v>3113182859</v>
      </c>
      <c r="D139" s="286" t="s">
        <v>1350</v>
      </c>
      <c r="E139" s="286"/>
      <c r="F139" s="286"/>
      <c r="G139" s="287" t="s">
        <v>35</v>
      </c>
      <c r="H139" s="288"/>
      <c r="I139" s="289">
        <v>82000</v>
      </c>
      <c r="J139" s="289">
        <f t="shared" ref="J139" si="2">I118</f>
        <v>82000</v>
      </c>
      <c r="K139" s="290" t="s">
        <v>26</v>
      </c>
      <c r="L139" s="286" t="s">
        <v>900</v>
      </c>
      <c r="M139" s="289">
        <v>57000</v>
      </c>
      <c r="N139" s="291"/>
      <c r="O139" s="285" t="s">
        <v>28</v>
      </c>
      <c r="P139" s="285" t="s">
        <v>20</v>
      </c>
      <c r="Q139" s="285"/>
      <c r="R139" s="286" t="s">
        <v>1351</v>
      </c>
      <c r="S139" s="286" t="s">
        <v>1352</v>
      </c>
      <c r="T139" s="105"/>
      <c r="U139" s="105"/>
      <c r="V139" s="105"/>
      <c r="W139" s="105"/>
      <c r="X139" s="105"/>
      <c r="Y139" s="105"/>
      <c r="Z139" s="105"/>
    </row>
    <row r="140" spans="1:26" ht="15.75" customHeight="1" x14ac:dyDescent="0.25">
      <c r="A140" s="99" t="s">
        <v>2438</v>
      </c>
      <c r="B140" s="97">
        <v>24675527</v>
      </c>
      <c r="C140" s="99" t="s">
        <v>2439</v>
      </c>
      <c r="D140" s="99" t="s">
        <v>2440</v>
      </c>
      <c r="E140" s="98">
        <v>1</v>
      </c>
      <c r="F140" s="99" t="s">
        <v>2441</v>
      </c>
      <c r="G140" s="38" t="s">
        <v>25</v>
      </c>
      <c r="H140" s="100">
        <v>42000</v>
      </c>
      <c r="I140" s="50"/>
      <c r="J140" s="100">
        <v>42000</v>
      </c>
      <c r="K140" s="50" t="s">
        <v>26</v>
      </c>
      <c r="L140" s="99" t="s">
        <v>900</v>
      </c>
      <c r="M140" s="100">
        <v>42000</v>
      </c>
      <c r="N140" s="89"/>
      <c r="O140" s="38" t="s">
        <v>28</v>
      </c>
      <c r="P140" s="38" t="s">
        <v>20</v>
      </c>
      <c r="Q140" s="38"/>
      <c r="R140" s="38" t="s">
        <v>2442</v>
      </c>
      <c r="S140" s="38" t="s">
        <v>30</v>
      </c>
      <c r="T140" s="105"/>
      <c r="U140" s="105"/>
      <c r="V140" s="105"/>
      <c r="W140" s="105"/>
      <c r="X140" s="105"/>
      <c r="Y140" s="105"/>
      <c r="Z140" s="105"/>
    </row>
    <row r="141" spans="1:26" ht="15.75" customHeight="1" x14ac:dyDescent="0.25">
      <c r="A141" s="292" t="s">
        <v>3169</v>
      </c>
      <c r="B141" s="99">
        <v>1113302068</v>
      </c>
      <c r="C141" s="99" t="s">
        <v>3170</v>
      </c>
      <c r="D141" s="99" t="s">
        <v>3171</v>
      </c>
      <c r="E141" s="99" t="s">
        <v>3028</v>
      </c>
      <c r="F141" s="99" t="s">
        <v>421</v>
      </c>
      <c r="G141" s="50">
        <v>132000</v>
      </c>
      <c r="H141" s="50"/>
      <c r="I141" s="50">
        <v>132000</v>
      </c>
      <c r="J141" s="50" t="s">
        <v>234</v>
      </c>
      <c r="K141" s="99"/>
      <c r="L141" s="50"/>
      <c r="M141" s="89"/>
      <c r="N141" s="38" t="s">
        <v>3029</v>
      </c>
      <c r="O141" s="38" t="s">
        <v>20</v>
      </c>
      <c r="P141" s="38"/>
      <c r="Q141" s="99" t="s">
        <v>3172</v>
      </c>
      <c r="R141" s="99" t="s">
        <v>3173</v>
      </c>
      <c r="S141" s="105"/>
      <c r="T141" s="105"/>
      <c r="U141" s="105"/>
      <c r="V141" s="105"/>
      <c r="W141" s="105"/>
      <c r="X141" s="105"/>
      <c r="Y141" s="105"/>
      <c r="Z141" s="105"/>
    </row>
    <row r="142" spans="1:26" ht="15.75" customHeight="1" x14ac:dyDescent="0.25">
      <c r="A142" s="99" t="s">
        <v>3616</v>
      </c>
      <c r="B142" s="99">
        <v>14550091</v>
      </c>
      <c r="C142" s="99" t="s">
        <v>3617</v>
      </c>
      <c r="D142" s="99" t="s">
        <v>3618</v>
      </c>
      <c r="E142" s="99" t="s">
        <v>3609</v>
      </c>
      <c r="F142" s="99" t="s">
        <v>421</v>
      </c>
      <c r="G142" s="100">
        <v>42000</v>
      </c>
      <c r="H142" s="50"/>
      <c r="I142" s="100">
        <v>42000</v>
      </c>
      <c r="J142" s="50" t="s">
        <v>234</v>
      </c>
      <c r="K142" s="99"/>
      <c r="L142" s="100"/>
      <c r="M142" s="89"/>
      <c r="N142" s="38" t="s">
        <v>3353</v>
      </c>
      <c r="O142" s="38" t="s">
        <v>20</v>
      </c>
      <c r="P142" s="38"/>
      <c r="Q142" s="99" t="s">
        <v>3619</v>
      </c>
      <c r="R142" s="99"/>
      <c r="S142" s="105"/>
      <c r="T142" s="105"/>
      <c r="U142" s="105"/>
      <c r="V142" s="105"/>
      <c r="W142" s="105"/>
      <c r="X142" s="105"/>
      <c r="Y142" s="105"/>
      <c r="Z142" s="105"/>
    </row>
    <row r="143" spans="1:26" ht="15.75" customHeight="1" x14ac:dyDescent="0.25">
      <c r="A143" s="99" t="s">
        <v>3633</v>
      </c>
      <c r="B143" s="99">
        <v>1192750248</v>
      </c>
      <c r="C143" s="99" t="s">
        <v>3634</v>
      </c>
      <c r="D143" s="99"/>
      <c r="E143" s="99" t="s">
        <v>3635</v>
      </c>
      <c r="F143" s="99" t="s">
        <v>421</v>
      </c>
      <c r="G143" s="100">
        <v>42000</v>
      </c>
      <c r="H143" s="50"/>
      <c r="I143" s="100">
        <v>42000</v>
      </c>
      <c r="J143" s="50" t="s">
        <v>234</v>
      </c>
      <c r="K143" s="99"/>
      <c r="L143" s="100"/>
      <c r="M143" s="89"/>
      <c r="N143" s="38" t="s">
        <v>3353</v>
      </c>
      <c r="O143" s="38" t="s">
        <v>20</v>
      </c>
      <c r="P143" s="38"/>
      <c r="Q143" s="99" t="s">
        <v>3636</v>
      </c>
      <c r="R143" s="99"/>
      <c r="S143" s="105"/>
      <c r="T143" s="105"/>
      <c r="U143" s="105"/>
      <c r="V143" s="105"/>
      <c r="W143" s="105"/>
      <c r="X143" s="105"/>
      <c r="Y143" s="105"/>
      <c r="Z143" s="105"/>
    </row>
    <row r="144" spans="1:26" ht="15.75" customHeight="1" x14ac:dyDescent="0.25">
      <c r="A144" s="99" t="s">
        <v>3711</v>
      </c>
      <c r="B144" s="99">
        <v>29332312</v>
      </c>
      <c r="C144" s="99">
        <v>3135206723</v>
      </c>
      <c r="D144" s="99" t="s">
        <v>3712</v>
      </c>
      <c r="E144" s="99"/>
      <c r="F144" s="99" t="s">
        <v>2731</v>
      </c>
      <c r="G144" s="100">
        <v>42000</v>
      </c>
      <c r="H144" s="100"/>
      <c r="I144" s="100">
        <f>G144</f>
        <v>42000</v>
      </c>
      <c r="J144" s="50" t="s">
        <v>234</v>
      </c>
      <c r="K144" s="100"/>
      <c r="L144" s="100"/>
      <c r="M144" s="89"/>
      <c r="N144" s="38" t="s">
        <v>3354</v>
      </c>
      <c r="O144" s="38" t="s">
        <v>20</v>
      </c>
      <c r="P144" s="38"/>
      <c r="Q144" s="99"/>
      <c r="R144" s="99" t="s">
        <v>3713</v>
      </c>
      <c r="S144" s="105"/>
      <c r="T144" s="105"/>
      <c r="U144" s="105"/>
      <c r="V144" s="105"/>
      <c r="W144" s="105"/>
      <c r="X144" s="105"/>
      <c r="Y144" s="105"/>
      <c r="Z144" s="105"/>
    </row>
    <row r="145" spans="1:26" ht="15.75" customHeight="1" x14ac:dyDescent="0.25">
      <c r="A145" s="99" t="s">
        <v>3719</v>
      </c>
      <c r="B145" s="99">
        <v>79613777</v>
      </c>
      <c r="C145" s="99" t="s">
        <v>3720</v>
      </c>
      <c r="D145" s="99" t="s">
        <v>3721</v>
      </c>
      <c r="E145" s="99"/>
      <c r="F145" s="99" t="s">
        <v>3653</v>
      </c>
      <c r="G145" s="100">
        <v>57000</v>
      </c>
      <c r="H145" s="100">
        <v>10830</v>
      </c>
      <c r="I145" s="100">
        <f t="shared" ref="I145:I146" si="3">G145+H145</f>
        <v>67830</v>
      </c>
      <c r="J145" s="50" t="s">
        <v>234</v>
      </c>
      <c r="K145" s="100"/>
      <c r="L145" s="100"/>
      <c r="M145" s="89"/>
      <c r="N145" s="38" t="s">
        <v>3354</v>
      </c>
      <c r="O145" s="38" t="s">
        <v>20</v>
      </c>
      <c r="P145" s="38"/>
      <c r="Q145" s="99" t="s">
        <v>3722</v>
      </c>
      <c r="R145" s="99"/>
      <c r="S145" s="105"/>
      <c r="T145" s="105"/>
      <c r="U145" s="105"/>
      <c r="V145" s="105"/>
      <c r="W145" s="105"/>
      <c r="X145" s="105"/>
      <c r="Y145" s="105"/>
      <c r="Z145" s="105"/>
    </row>
    <row r="146" spans="1:26" ht="15.75" customHeight="1" x14ac:dyDescent="0.25">
      <c r="A146" s="99" t="s">
        <v>3719</v>
      </c>
      <c r="B146" s="99">
        <v>79613777</v>
      </c>
      <c r="C146" s="99" t="s">
        <v>3720</v>
      </c>
      <c r="D146" s="99" t="s">
        <v>3764</v>
      </c>
      <c r="E146" s="99"/>
      <c r="F146" s="99" t="s">
        <v>2731</v>
      </c>
      <c r="G146" s="100">
        <v>57000</v>
      </c>
      <c r="H146" s="100">
        <v>10830</v>
      </c>
      <c r="I146" s="100">
        <f t="shared" si="3"/>
        <v>67830</v>
      </c>
      <c r="J146" s="50" t="s">
        <v>234</v>
      </c>
      <c r="K146" s="100"/>
      <c r="L146" s="100"/>
      <c r="M146" s="89"/>
      <c r="N146" s="38" t="s">
        <v>3354</v>
      </c>
      <c r="O146" s="38" t="s">
        <v>20</v>
      </c>
      <c r="P146" s="38"/>
      <c r="Q146" s="99" t="s">
        <v>3765</v>
      </c>
      <c r="R146" s="99"/>
      <c r="S146" s="105"/>
      <c r="T146" s="105"/>
      <c r="U146" s="105"/>
      <c r="V146" s="105"/>
      <c r="W146" s="105"/>
      <c r="X146" s="105"/>
      <c r="Y146" s="105"/>
      <c r="Z146" s="105"/>
    </row>
    <row r="147" spans="1:26" ht="15.75" customHeight="1" x14ac:dyDescent="0.25">
      <c r="A147" s="292" t="s">
        <v>4210</v>
      </c>
      <c r="B147" s="99">
        <v>29327431</v>
      </c>
      <c r="C147" s="99">
        <v>3184407467</v>
      </c>
      <c r="D147" s="99" t="s">
        <v>4211</v>
      </c>
      <c r="E147" s="99" t="s">
        <v>4212</v>
      </c>
      <c r="F147" s="99" t="s">
        <v>25</v>
      </c>
      <c r="G147" s="100">
        <v>42000</v>
      </c>
      <c r="H147" s="100"/>
      <c r="I147" s="100">
        <v>42000</v>
      </c>
      <c r="J147" s="50" t="s">
        <v>234</v>
      </c>
      <c r="K147" s="155"/>
      <c r="L147" s="100"/>
      <c r="M147" s="89"/>
      <c r="N147" s="38" t="s">
        <v>3354</v>
      </c>
      <c r="O147" s="38" t="s">
        <v>20</v>
      </c>
      <c r="P147" s="38"/>
      <c r="Q147" s="99" t="s">
        <v>4213</v>
      </c>
      <c r="R147" s="99" t="s">
        <v>4214</v>
      </c>
      <c r="S147" s="105"/>
      <c r="T147" s="105"/>
      <c r="U147" s="105"/>
      <c r="V147" s="105"/>
      <c r="W147" s="105"/>
      <c r="X147" s="105"/>
      <c r="Y147" s="105"/>
      <c r="Z147" s="105"/>
    </row>
    <row r="148" spans="1:26" ht="15.75" customHeight="1" x14ac:dyDescent="0.25">
      <c r="A148" s="292" t="s">
        <v>4259</v>
      </c>
      <c r="B148" s="99">
        <v>1115191226</v>
      </c>
      <c r="C148" s="99">
        <v>3183483074</v>
      </c>
      <c r="D148" s="99" t="s">
        <v>4260</v>
      </c>
      <c r="E148" s="99"/>
      <c r="F148" s="99" t="s">
        <v>25</v>
      </c>
      <c r="G148" s="100">
        <v>42000</v>
      </c>
      <c r="H148" s="100"/>
      <c r="I148" s="100">
        <v>42000</v>
      </c>
      <c r="J148" s="50" t="s">
        <v>234</v>
      </c>
      <c r="K148" s="155"/>
      <c r="L148" s="100"/>
      <c r="M148" s="89"/>
      <c r="N148" s="38" t="s">
        <v>3354</v>
      </c>
      <c r="O148" s="38" t="s">
        <v>20</v>
      </c>
      <c r="P148" s="38"/>
      <c r="Q148" s="99" t="s">
        <v>4261</v>
      </c>
      <c r="R148" s="99" t="s">
        <v>4003</v>
      </c>
      <c r="S148" s="105"/>
      <c r="T148" s="105"/>
      <c r="U148" s="105"/>
      <c r="V148" s="105"/>
      <c r="W148" s="105"/>
      <c r="X148" s="105"/>
      <c r="Y148" s="105"/>
      <c r="Z148" s="105"/>
    </row>
    <row r="149" spans="1:26" ht="15.75" customHeight="1" x14ac:dyDescent="0.25">
      <c r="A149" s="164" t="s">
        <v>4475</v>
      </c>
      <c r="B149" s="164">
        <v>1115185581</v>
      </c>
      <c r="C149" s="164">
        <v>3216128109</v>
      </c>
      <c r="D149" s="40" t="s">
        <v>4476</v>
      </c>
      <c r="E149" s="99" t="s">
        <v>2730</v>
      </c>
      <c r="F149" s="164" t="s">
        <v>421</v>
      </c>
      <c r="G149" s="50">
        <v>82000</v>
      </c>
      <c r="H149" s="100"/>
      <c r="I149" s="100">
        <f t="shared" ref="I149" si="4">G149</f>
        <v>82000</v>
      </c>
      <c r="J149" s="50" t="s">
        <v>234</v>
      </c>
      <c r="K149" s="99"/>
      <c r="L149" s="100"/>
      <c r="M149" s="89"/>
      <c r="N149" s="38" t="s">
        <v>4380</v>
      </c>
      <c r="O149" s="38" t="s">
        <v>20</v>
      </c>
      <c r="P149" s="38"/>
      <c r="Q149" s="164" t="s">
        <v>3358</v>
      </c>
      <c r="R149" s="164" t="s">
        <v>4477</v>
      </c>
      <c r="S149" s="105"/>
      <c r="T149" s="105"/>
      <c r="U149" s="105"/>
      <c r="V149" s="105"/>
      <c r="W149" s="105"/>
      <c r="X149" s="105"/>
      <c r="Y149" s="105"/>
      <c r="Z149" s="105"/>
    </row>
    <row r="150" spans="1:26" ht="15.75" customHeight="1" x14ac:dyDescent="0.25">
      <c r="A150" s="99" t="s">
        <v>4559</v>
      </c>
      <c r="B150" s="99">
        <v>94288724</v>
      </c>
      <c r="C150" s="99" t="s">
        <v>4560</v>
      </c>
      <c r="D150" s="99" t="s">
        <v>4561</v>
      </c>
      <c r="E150" s="99" t="s">
        <v>2730</v>
      </c>
      <c r="F150" s="99" t="s">
        <v>421</v>
      </c>
      <c r="G150" s="50">
        <v>82000</v>
      </c>
      <c r="H150" s="50"/>
      <c r="I150" s="100">
        <v>82000</v>
      </c>
      <c r="J150" s="50" t="s">
        <v>234</v>
      </c>
      <c r="K150" s="99"/>
      <c r="L150" s="100"/>
      <c r="M150" s="89"/>
      <c r="N150" s="38" t="s">
        <v>4380</v>
      </c>
      <c r="O150" s="38" t="s">
        <v>20</v>
      </c>
      <c r="P150" s="38"/>
      <c r="Q150" s="99" t="s">
        <v>4562</v>
      </c>
      <c r="R150" s="99" t="s">
        <v>4563</v>
      </c>
      <c r="S150" s="105"/>
      <c r="T150" s="105"/>
      <c r="U150" s="105"/>
      <c r="V150" s="105"/>
      <c r="W150" s="105"/>
      <c r="X150" s="105"/>
      <c r="Y150" s="105"/>
      <c r="Z150" s="105"/>
    </row>
    <row r="151" spans="1:26" ht="15.75" customHeight="1" x14ac:dyDescent="0.25">
      <c r="A151" s="287" t="s">
        <v>1146</v>
      </c>
      <c r="B151" s="293">
        <v>1066359360</v>
      </c>
      <c r="C151" s="294" t="s">
        <v>1147</v>
      </c>
      <c r="D151" s="287" t="s">
        <v>1148</v>
      </c>
      <c r="E151" s="287"/>
      <c r="F151" s="287">
        <v>918</v>
      </c>
      <c r="G151" s="287" t="s">
        <v>25</v>
      </c>
      <c r="H151" s="295">
        <v>42000</v>
      </c>
      <c r="I151" s="290" t="s">
        <v>234</v>
      </c>
      <c r="J151" s="287"/>
      <c r="K151" s="295"/>
      <c r="L151" s="296"/>
      <c r="M151" s="287" t="s">
        <v>28</v>
      </c>
      <c r="N151" s="287" t="s">
        <v>20</v>
      </c>
      <c r="O151" s="287"/>
      <c r="P151" s="287" t="s">
        <v>1149</v>
      </c>
      <c r="Q151" s="287" t="s">
        <v>1150</v>
      </c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15.75" customHeight="1" x14ac:dyDescent="0.2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15.75" customHeight="1" x14ac:dyDescent="0.2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15.75" customHeight="1" x14ac:dyDescent="0.25">
      <c r="A154" s="285" t="s">
        <v>5487</v>
      </c>
      <c r="B154" s="285" t="s">
        <v>172</v>
      </c>
      <c r="C154" s="147">
        <v>1099684189</v>
      </c>
      <c r="D154" s="147" t="s">
        <v>173</v>
      </c>
      <c r="E154" s="309" t="s">
        <v>174</v>
      </c>
      <c r="F154" s="34">
        <v>1</v>
      </c>
      <c r="G154" s="15" t="s">
        <v>175</v>
      </c>
      <c r="H154" s="14" t="s">
        <v>35</v>
      </c>
      <c r="I154" s="7">
        <v>42000</v>
      </c>
      <c r="J154" s="57" t="s">
        <v>26</v>
      </c>
      <c r="K154" s="19" t="s">
        <v>85</v>
      </c>
      <c r="L154" s="20">
        <v>42000</v>
      </c>
      <c r="M154" s="21">
        <v>45994</v>
      </c>
      <c r="N154" s="14" t="s">
        <v>28</v>
      </c>
      <c r="O154" s="14" t="s">
        <v>20</v>
      </c>
      <c r="P154" s="14"/>
      <c r="Q154" s="14" t="s">
        <v>176</v>
      </c>
      <c r="R154" s="14" t="s">
        <v>177</v>
      </c>
      <c r="S154" s="105"/>
      <c r="T154" s="105"/>
      <c r="U154" s="105"/>
      <c r="V154" s="105"/>
      <c r="W154" s="105"/>
      <c r="X154" s="105"/>
      <c r="Y154" s="105"/>
      <c r="Z154" s="105"/>
    </row>
    <row r="155" spans="1:26" ht="15.75" customHeight="1" x14ac:dyDescent="0.25">
      <c r="A155" s="285" t="s">
        <v>5487</v>
      </c>
      <c r="B155" s="285" t="s">
        <v>331</v>
      </c>
      <c r="C155" s="331">
        <v>16291013</v>
      </c>
      <c r="D155" s="333" t="s">
        <v>332</v>
      </c>
      <c r="E155" s="334" t="s">
        <v>333</v>
      </c>
      <c r="F155" s="34">
        <v>1</v>
      </c>
      <c r="G155" s="285"/>
      <c r="H155" s="287" t="s">
        <v>35</v>
      </c>
      <c r="I155" s="295">
        <v>42000</v>
      </c>
      <c r="J155" s="290" t="s">
        <v>234</v>
      </c>
      <c r="K155" s="335"/>
      <c r="L155" s="336"/>
      <c r="M155" s="296"/>
      <c r="N155" s="287" t="s">
        <v>28</v>
      </c>
      <c r="O155" s="287" t="s">
        <v>20</v>
      </c>
      <c r="P155" s="287"/>
      <c r="Q155" s="287" t="s">
        <v>30</v>
      </c>
      <c r="R155" s="287" t="s">
        <v>334</v>
      </c>
      <c r="S155" s="105"/>
      <c r="T155" s="105"/>
      <c r="U155" s="105"/>
      <c r="V155" s="105"/>
      <c r="W155" s="105"/>
      <c r="X155" s="105"/>
      <c r="Y155" s="105"/>
      <c r="Z155" s="105"/>
    </row>
    <row r="156" spans="1:26" ht="15.75" customHeight="1" x14ac:dyDescent="0.25">
      <c r="A156" s="287" t="s">
        <v>5487</v>
      </c>
      <c r="B156" s="285" t="s">
        <v>392</v>
      </c>
      <c r="C156" s="333">
        <v>24674189</v>
      </c>
      <c r="D156" s="147" t="s">
        <v>393</v>
      </c>
      <c r="E156" s="308" t="s">
        <v>394</v>
      </c>
      <c r="F156" s="14"/>
      <c r="G156" s="14" t="s">
        <v>395</v>
      </c>
      <c r="H156" s="14" t="s">
        <v>35</v>
      </c>
      <c r="I156" s="7">
        <v>42000</v>
      </c>
      <c r="J156" s="57" t="s">
        <v>234</v>
      </c>
      <c r="K156" s="19"/>
      <c r="L156" s="20"/>
      <c r="M156" s="21"/>
      <c r="N156" s="14" t="s">
        <v>28</v>
      </c>
      <c r="O156" s="14" t="s">
        <v>20</v>
      </c>
      <c r="P156" s="14"/>
      <c r="Q156" s="14" t="s">
        <v>224</v>
      </c>
      <c r="R156" s="14" t="s">
        <v>396</v>
      </c>
      <c r="S156" s="105"/>
      <c r="T156" s="105"/>
      <c r="U156" s="105"/>
      <c r="V156" s="105"/>
      <c r="W156" s="105"/>
      <c r="X156" s="105"/>
      <c r="Y156" s="105"/>
      <c r="Z156" s="105"/>
    </row>
    <row r="157" spans="1:26" ht="15.75" customHeight="1" x14ac:dyDescent="0.25">
      <c r="A157" s="287" t="s">
        <v>5487</v>
      </c>
      <c r="B157" s="285" t="s">
        <v>621</v>
      </c>
      <c r="C157" s="331">
        <v>3568580</v>
      </c>
      <c r="D157" s="147" t="s">
        <v>622</v>
      </c>
      <c r="E157" s="309" t="s">
        <v>623</v>
      </c>
      <c r="F157" s="45">
        <v>1</v>
      </c>
      <c r="G157" s="14">
        <v>719</v>
      </c>
      <c r="H157" s="14" t="s">
        <v>35</v>
      </c>
      <c r="I157" s="7">
        <v>42000</v>
      </c>
      <c r="J157" s="57" t="s">
        <v>26</v>
      </c>
      <c r="K157" s="19" t="s">
        <v>85</v>
      </c>
      <c r="L157" s="20">
        <v>42000</v>
      </c>
      <c r="M157" s="21">
        <v>45998</v>
      </c>
      <c r="N157" s="14" t="s">
        <v>28</v>
      </c>
      <c r="O157" s="14" t="s">
        <v>20</v>
      </c>
      <c r="P157" s="14"/>
      <c r="Q157" s="14" t="s">
        <v>624</v>
      </c>
      <c r="R157" s="14" t="s">
        <v>625</v>
      </c>
      <c r="S157" s="105"/>
      <c r="T157" s="105"/>
      <c r="U157" s="105"/>
      <c r="V157" s="105"/>
      <c r="W157" s="105"/>
      <c r="X157" s="105"/>
      <c r="Y157" s="105"/>
      <c r="Z157" s="105"/>
    </row>
    <row r="158" spans="1:26" ht="15.75" customHeight="1" x14ac:dyDescent="0.25">
      <c r="A158" s="287" t="s">
        <v>5487</v>
      </c>
      <c r="B158" s="285" t="s">
        <v>691</v>
      </c>
      <c r="C158" s="16">
        <v>25281863</v>
      </c>
      <c r="D158" s="147" t="s">
        <v>692</v>
      </c>
      <c r="E158" s="308" t="s">
        <v>693</v>
      </c>
      <c r="F158" s="14"/>
      <c r="G158" s="14">
        <v>737</v>
      </c>
      <c r="H158" s="14" t="s">
        <v>35</v>
      </c>
      <c r="I158" s="7">
        <v>42000</v>
      </c>
      <c r="J158" s="57" t="s">
        <v>234</v>
      </c>
      <c r="K158" s="19"/>
      <c r="L158" s="20"/>
      <c r="M158" s="21"/>
      <c r="N158" s="14" t="s">
        <v>28</v>
      </c>
      <c r="O158" s="14" t="s">
        <v>20</v>
      </c>
      <c r="P158" s="14"/>
      <c r="Q158" s="14" t="s">
        <v>694</v>
      </c>
      <c r="R158" s="14" t="s">
        <v>43</v>
      </c>
      <c r="S158" s="105"/>
      <c r="T158" s="105"/>
      <c r="U158" s="105"/>
      <c r="V158" s="105"/>
      <c r="W158" s="105"/>
      <c r="X158" s="105"/>
      <c r="Y158" s="105"/>
      <c r="Z158" s="105"/>
    </row>
    <row r="159" spans="1:26" ht="15.75" customHeight="1" x14ac:dyDescent="0.25">
      <c r="A159" s="287" t="s">
        <v>5487</v>
      </c>
      <c r="B159" s="285" t="s">
        <v>721</v>
      </c>
      <c r="C159" s="16">
        <v>1096007461</v>
      </c>
      <c r="D159" s="147">
        <v>3122237158</v>
      </c>
      <c r="E159" s="308" t="s">
        <v>722</v>
      </c>
      <c r="F159" s="14"/>
      <c r="G159" s="14">
        <v>337</v>
      </c>
      <c r="H159" s="14" t="s">
        <v>35</v>
      </c>
      <c r="I159" s="7">
        <v>42000</v>
      </c>
      <c r="J159" s="57" t="s">
        <v>234</v>
      </c>
      <c r="K159" s="19"/>
      <c r="L159" s="20"/>
      <c r="M159" s="21"/>
      <c r="N159" s="14" t="s">
        <v>28</v>
      </c>
      <c r="O159" s="14" t="s">
        <v>20</v>
      </c>
      <c r="P159" s="14"/>
      <c r="Q159" s="14" t="s">
        <v>217</v>
      </c>
      <c r="R159" s="14" t="s">
        <v>723</v>
      </c>
      <c r="S159" s="105"/>
      <c r="T159" s="105"/>
      <c r="U159" s="105"/>
      <c r="V159" s="105"/>
      <c r="W159" s="105"/>
      <c r="X159" s="105"/>
      <c r="Y159" s="105"/>
      <c r="Z159" s="105"/>
    </row>
    <row r="160" spans="1:26" ht="15.75" customHeight="1" x14ac:dyDescent="0.25">
      <c r="A160" s="287" t="s">
        <v>5487</v>
      </c>
      <c r="B160" s="285" t="s">
        <v>1004</v>
      </c>
      <c r="C160" s="16">
        <v>1007063808</v>
      </c>
      <c r="D160" s="147" t="s">
        <v>554</v>
      </c>
      <c r="E160" s="309" t="s">
        <v>1005</v>
      </c>
      <c r="F160" s="45">
        <v>1</v>
      </c>
      <c r="G160" s="14"/>
      <c r="H160" s="14" t="s">
        <v>35</v>
      </c>
      <c r="I160" s="7">
        <v>42000</v>
      </c>
      <c r="J160" s="57" t="s">
        <v>234</v>
      </c>
      <c r="K160" s="19"/>
      <c r="L160" s="20"/>
      <c r="M160" s="21"/>
      <c r="N160" s="14" t="s">
        <v>28</v>
      </c>
      <c r="O160" s="14" t="s">
        <v>20</v>
      </c>
      <c r="P160" s="14"/>
      <c r="Q160" s="14" t="s">
        <v>1006</v>
      </c>
      <c r="R160" s="14" t="s">
        <v>107</v>
      </c>
      <c r="S160" s="105"/>
      <c r="T160" s="105"/>
      <c r="U160" s="105"/>
      <c r="V160" s="105"/>
      <c r="W160" s="105"/>
      <c r="X160" s="105"/>
      <c r="Y160" s="105"/>
      <c r="Z160" s="105"/>
    </row>
    <row r="161" spans="1:26" ht="15.75" customHeight="1" x14ac:dyDescent="0.25">
      <c r="A161" s="287" t="s">
        <v>5487</v>
      </c>
      <c r="B161" s="285" t="s">
        <v>1031</v>
      </c>
      <c r="C161" s="16">
        <v>1012448498</v>
      </c>
      <c r="D161" s="147" t="s">
        <v>1032</v>
      </c>
      <c r="E161" s="309" t="s">
        <v>1033</v>
      </c>
      <c r="F161" s="45">
        <v>1</v>
      </c>
      <c r="G161" s="14" t="s">
        <v>1034</v>
      </c>
      <c r="H161" s="14" t="s">
        <v>35</v>
      </c>
      <c r="I161" s="7">
        <v>42000</v>
      </c>
      <c r="J161" s="57" t="s">
        <v>234</v>
      </c>
      <c r="K161" s="19"/>
      <c r="L161" s="20"/>
      <c r="M161" s="21"/>
      <c r="N161" s="14" t="s">
        <v>28</v>
      </c>
      <c r="O161" s="14" t="s">
        <v>20</v>
      </c>
      <c r="P161" s="14"/>
      <c r="Q161" s="14" t="s">
        <v>1035</v>
      </c>
      <c r="R161" s="14" t="s">
        <v>716</v>
      </c>
      <c r="S161" s="105"/>
      <c r="T161" s="105"/>
      <c r="U161" s="105"/>
      <c r="V161" s="105"/>
      <c r="W161" s="105"/>
      <c r="X161" s="105"/>
      <c r="Y161" s="105"/>
      <c r="Z161" s="105"/>
    </row>
    <row r="162" spans="1:26" ht="15.75" customHeight="1" x14ac:dyDescent="0.25">
      <c r="A162" s="285" t="s">
        <v>5487</v>
      </c>
      <c r="B162" s="286" t="s">
        <v>1177</v>
      </c>
      <c r="C162" s="64">
        <v>41942989</v>
      </c>
      <c r="D162" s="64">
        <v>3127633064</v>
      </c>
      <c r="E162" s="64" t="s">
        <v>1178</v>
      </c>
      <c r="F162" s="68"/>
      <c r="G162" s="68" t="s">
        <v>1179</v>
      </c>
      <c r="H162" s="15" t="s">
        <v>188</v>
      </c>
      <c r="I162" s="65">
        <v>57000</v>
      </c>
      <c r="J162" s="57" t="s">
        <v>234</v>
      </c>
      <c r="K162" s="64"/>
      <c r="L162" s="65"/>
      <c r="M162" s="66"/>
      <c r="N162" s="15" t="s">
        <v>28</v>
      </c>
      <c r="O162" s="15" t="s">
        <v>20</v>
      </c>
      <c r="P162" s="15"/>
      <c r="Q162" s="15" t="s">
        <v>1180</v>
      </c>
      <c r="R162" s="15" t="s">
        <v>30</v>
      </c>
      <c r="S162" s="105"/>
      <c r="T162" s="105"/>
      <c r="U162" s="105"/>
      <c r="V162" s="105"/>
      <c r="W162" s="105"/>
      <c r="X162" s="105"/>
      <c r="Y162" s="105"/>
      <c r="Z162" s="105"/>
    </row>
    <row r="163" spans="1:26" ht="15.75" customHeight="1" x14ac:dyDescent="0.25">
      <c r="A163" s="285" t="s">
        <v>5477</v>
      </c>
      <c r="B163" s="286" t="s">
        <v>1483</v>
      </c>
      <c r="C163" s="286">
        <v>24675536</v>
      </c>
      <c r="D163" s="286">
        <v>3137190810</v>
      </c>
      <c r="E163" s="286" t="s">
        <v>1484</v>
      </c>
      <c r="F163" s="286"/>
      <c r="G163" s="286" t="s">
        <v>1485</v>
      </c>
      <c r="H163" s="14" t="s">
        <v>35</v>
      </c>
      <c r="I163" s="289">
        <v>42000</v>
      </c>
      <c r="J163" s="290" t="s">
        <v>234</v>
      </c>
      <c r="K163" s="286"/>
      <c r="L163" s="289"/>
      <c r="M163" s="291"/>
      <c r="N163" s="285" t="s">
        <v>28</v>
      </c>
      <c r="O163" s="285" t="s">
        <v>20</v>
      </c>
      <c r="P163" s="285"/>
      <c r="Q163" s="286" t="s">
        <v>1486</v>
      </c>
      <c r="R163" s="286" t="s">
        <v>1224</v>
      </c>
      <c r="S163" s="105"/>
      <c r="T163" s="105"/>
      <c r="U163" s="105"/>
      <c r="V163" s="105"/>
      <c r="W163" s="105"/>
      <c r="X163" s="105"/>
      <c r="Y163" s="105"/>
      <c r="Z163" s="105"/>
    </row>
    <row r="164" spans="1:26" ht="15.75" customHeight="1" x14ac:dyDescent="0.25">
      <c r="A164" s="285" t="s">
        <v>5487</v>
      </c>
      <c r="B164" s="285" t="s">
        <v>1629</v>
      </c>
      <c r="C164" s="16">
        <v>1094896770</v>
      </c>
      <c r="D164" s="147">
        <v>3212523084</v>
      </c>
      <c r="E164" s="309" t="s">
        <v>1630</v>
      </c>
      <c r="F164" s="34">
        <v>1</v>
      </c>
      <c r="G164" s="147">
        <v>31</v>
      </c>
      <c r="H164" s="14" t="s">
        <v>35</v>
      </c>
      <c r="I164" s="65">
        <v>42000</v>
      </c>
      <c r="J164" s="57" t="s">
        <v>234</v>
      </c>
      <c r="K164" s="64"/>
      <c r="L164" s="65"/>
      <c r="M164" s="66"/>
      <c r="N164" s="15" t="s">
        <v>28</v>
      </c>
      <c r="O164" s="15" t="s">
        <v>20</v>
      </c>
      <c r="P164" s="15"/>
      <c r="Q164" s="15" t="s">
        <v>1631</v>
      </c>
      <c r="R164" s="15" t="s">
        <v>30</v>
      </c>
      <c r="S164" s="105"/>
      <c r="T164" s="105"/>
      <c r="U164" s="105"/>
      <c r="V164" s="105"/>
      <c r="W164" s="105"/>
      <c r="X164" s="105"/>
      <c r="Y164" s="105"/>
      <c r="Z164" s="105"/>
    </row>
    <row r="165" spans="1:26" ht="15.75" customHeight="1" x14ac:dyDescent="0.25">
      <c r="A165" s="326" t="s">
        <v>5487</v>
      </c>
      <c r="B165" s="327" t="s">
        <v>1751</v>
      </c>
      <c r="C165" s="77">
        <v>28558258</v>
      </c>
      <c r="D165" s="64">
        <v>3106429880</v>
      </c>
      <c r="E165" s="301" t="s">
        <v>1752</v>
      </c>
      <c r="F165" s="64"/>
      <c r="G165" s="64"/>
      <c r="H165" s="14" t="s">
        <v>35</v>
      </c>
      <c r="I165" s="65">
        <v>42000</v>
      </c>
      <c r="J165" s="57" t="s">
        <v>234</v>
      </c>
      <c r="K165" s="64"/>
      <c r="L165" s="65"/>
      <c r="M165" s="66"/>
      <c r="N165" s="15" t="s">
        <v>28</v>
      </c>
      <c r="O165" s="15" t="s">
        <v>20</v>
      </c>
      <c r="P165" s="15"/>
      <c r="Q165" s="64" t="s">
        <v>1753</v>
      </c>
      <c r="R165" s="64" t="s">
        <v>819</v>
      </c>
      <c r="S165" s="105"/>
      <c r="T165" s="105"/>
      <c r="U165" s="105"/>
      <c r="V165" s="105"/>
      <c r="W165" s="105"/>
      <c r="X165" s="105"/>
      <c r="Y165" s="105"/>
      <c r="Z165" s="105"/>
    </row>
    <row r="166" spans="1:26" ht="15.75" customHeight="1" x14ac:dyDescent="0.25">
      <c r="A166" s="285" t="s">
        <v>5487</v>
      </c>
      <c r="B166" s="286" t="s">
        <v>2359</v>
      </c>
      <c r="C166" s="286">
        <v>24674554</v>
      </c>
      <c r="D166" s="64" t="s">
        <v>2360</v>
      </c>
      <c r="E166" s="310" t="s">
        <v>2361</v>
      </c>
      <c r="F166" s="74">
        <v>1</v>
      </c>
      <c r="G166" s="64" t="s">
        <v>2362</v>
      </c>
      <c r="H166" s="14" t="s">
        <v>35</v>
      </c>
      <c r="I166" s="65">
        <v>42000</v>
      </c>
      <c r="J166" s="57" t="s">
        <v>234</v>
      </c>
      <c r="K166" s="64"/>
      <c r="L166" s="65"/>
      <c r="M166" s="66"/>
      <c r="N166" s="15" t="s">
        <v>28</v>
      </c>
      <c r="O166" s="15" t="s">
        <v>20</v>
      </c>
      <c r="P166" s="15"/>
      <c r="Q166" s="15" t="s">
        <v>2363</v>
      </c>
      <c r="R166" s="15" t="s">
        <v>151</v>
      </c>
      <c r="S166" s="105"/>
      <c r="T166" s="105"/>
      <c r="U166" s="105"/>
      <c r="V166" s="105"/>
      <c r="W166" s="105"/>
      <c r="X166" s="105"/>
      <c r="Y166" s="105"/>
      <c r="Z166" s="105"/>
    </row>
    <row r="167" spans="1:26" ht="15.75" customHeight="1" x14ac:dyDescent="0.25">
      <c r="A167" s="105"/>
      <c r="B167" s="286" t="s">
        <v>2758</v>
      </c>
      <c r="C167" s="286">
        <v>1099709517</v>
      </c>
      <c r="D167" s="286">
        <v>3148669666</v>
      </c>
      <c r="E167" s="64" t="s">
        <v>2759</v>
      </c>
      <c r="F167" s="64"/>
      <c r="G167" s="286" t="s">
        <v>2730</v>
      </c>
      <c r="H167" s="286" t="s">
        <v>518</v>
      </c>
      <c r="I167" s="65">
        <v>67000</v>
      </c>
      <c r="J167" s="57"/>
      <c r="K167" s="289">
        <f t="shared" ref="K167" si="5">I167</f>
        <v>67000</v>
      </c>
      <c r="L167" s="290" t="s">
        <v>234</v>
      </c>
      <c r="M167" s="286"/>
      <c r="N167" s="289"/>
      <c r="O167" s="291"/>
      <c r="P167" s="285" t="s">
        <v>2730</v>
      </c>
      <c r="Q167" s="285" t="s">
        <v>20</v>
      </c>
      <c r="R167" s="285"/>
      <c r="S167" s="286" t="s">
        <v>2760</v>
      </c>
      <c r="T167" s="286"/>
      <c r="U167" s="105"/>
      <c r="V167" s="105"/>
      <c r="W167" s="105"/>
      <c r="X167" s="105"/>
      <c r="Y167" s="105"/>
      <c r="Z167" s="105"/>
    </row>
    <row r="168" spans="1:26" ht="15.75" customHeight="1" x14ac:dyDescent="0.25">
      <c r="A168" s="105"/>
      <c r="B168" s="285" t="s">
        <v>3280</v>
      </c>
      <c r="C168" s="122">
        <v>1151447487</v>
      </c>
      <c r="D168" s="122" t="s">
        <v>3281</v>
      </c>
      <c r="E168" s="14" t="s">
        <v>3282</v>
      </c>
      <c r="F168" s="14" t="s">
        <v>3028</v>
      </c>
      <c r="G168" s="64" t="s">
        <v>421</v>
      </c>
      <c r="H168" s="120">
        <v>82000</v>
      </c>
      <c r="I168" s="101"/>
      <c r="J168" s="101">
        <v>82000</v>
      </c>
      <c r="K168" s="57" t="s">
        <v>234</v>
      </c>
      <c r="L168" s="64"/>
      <c r="M168" s="57"/>
      <c r="N168" s="66"/>
      <c r="O168" s="14" t="s">
        <v>3029</v>
      </c>
      <c r="P168" s="15"/>
      <c r="Q168" s="15"/>
      <c r="R168" s="14" t="s">
        <v>3283</v>
      </c>
      <c r="S168" s="14" t="s">
        <v>3284</v>
      </c>
      <c r="T168" s="105"/>
      <c r="U168" s="105"/>
      <c r="V168" s="105"/>
      <c r="W168" s="105"/>
      <c r="X168" s="105"/>
      <c r="Y168" s="105"/>
      <c r="Z168" s="105"/>
    </row>
    <row r="169" spans="1:26" ht="15.75" customHeight="1" x14ac:dyDescent="0.25">
      <c r="A169" s="105"/>
      <c r="B169" s="286" t="s">
        <v>3604</v>
      </c>
      <c r="C169" s="286">
        <v>1127661243</v>
      </c>
      <c r="D169" s="286" t="s">
        <v>3605</v>
      </c>
      <c r="E169" s="64" t="s">
        <v>3192</v>
      </c>
      <c r="F169" s="64" t="s">
        <v>2730</v>
      </c>
      <c r="G169" s="64" t="s">
        <v>421</v>
      </c>
      <c r="H169" s="65">
        <v>82000</v>
      </c>
      <c r="I169" s="57"/>
      <c r="J169" s="65">
        <v>82000</v>
      </c>
      <c r="K169" s="57" t="s">
        <v>234</v>
      </c>
      <c r="L169" s="64"/>
      <c r="M169" s="65"/>
      <c r="N169" s="66"/>
      <c r="O169" s="15" t="s">
        <v>3353</v>
      </c>
      <c r="P169" s="15" t="s">
        <v>20</v>
      </c>
      <c r="Q169" s="15"/>
      <c r="R169" s="64" t="s">
        <v>3471</v>
      </c>
      <c r="S169" s="64"/>
      <c r="T169" s="105"/>
      <c r="U169" s="105"/>
      <c r="V169" s="105"/>
      <c r="W169" s="105"/>
      <c r="X169" s="105"/>
      <c r="Y169" s="105"/>
      <c r="Z169" s="105"/>
    </row>
    <row r="170" spans="1:26" ht="15.75" customHeight="1" x14ac:dyDescent="0.25">
      <c r="A170" s="105"/>
      <c r="B170" s="357" t="s">
        <v>3606</v>
      </c>
      <c r="C170" s="358">
        <v>94386476</v>
      </c>
      <c r="D170" s="359" t="s">
        <v>3607</v>
      </c>
      <c r="E170" s="340" t="s">
        <v>3608</v>
      </c>
      <c r="F170" s="340" t="s">
        <v>3609</v>
      </c>
      <c r="G170" s="340" t="s">
        <v>421</v>
      </c>
      <c r="H170" s="138">
        <v>42000</v>
      </c>
      <c r="I170" s="134"/>
      <c r="J170" s="341">
        <v>42000</v>
      </c>
      <c r="K170" s="57" t="s">
        <v>234</v>
      </c>
      <c r="L170" s="340"/>
      <c r="M170" s="341"/>
      <c r="N170" s="342"/>
      <c r="O170" s="320" t="s">
        <v>3610</v>
      </c>
      <c r="P170" s="320" t="s">
        <v>20</v>
      </c>
      <c r="Q170" s="320"/>
      <c r="R170" s="340" t="s">
        <v>3611</v>
      </c>
      <c r="S170" s="340"/>
      <c r="T170" s="105"/>
      <c r="U170" s="105"/>
      <c r="V170" s="105"/>
      <c r="W170" s="105"/>
      <c r="X170" s="105"/>
      <c r="Y170" s="105"/>
      <c r="Z170" s="105"/>
    </row>
    <row r="171" spans="1:26" ht="15.75" customHeight="1" x14ac:dyDescent="0.25">
      <c r="A171" s="105"/>
      <c r="B171" s="360" t="s">
        <v>3612</v>
      </c>
      <c r="C171" s="360">
        <v>26515332</v>
      </c>
      <c r="D171" s="360" t="s">
        <v>3613</v>
      </c>
      <c r="E171" s="340" t="s">
        <v>3614</v>
      </c>
      <c r="F171" s="340" t="s">
        <v>3609</v>
      </c>
      <c r="G171" s="340" t="s">
        <v>421</v>
      </c>
      <c r="H171" s="138">
        <v>42000</v>
      </c>
      <c r="I171" s="134"/>
      <c r="J171" s="341">
        <v>42000</v>
      </c>
      <c r="K171" s="57" t="s">
        <v>234</v>
      </c>
      <c r="L171" s="340"/>
      <c r="M171" s="341"/>
      <c r="N171" s="342"/>
      <c r="O171" s="320" t="s">
        <v>3353</v>
      </c>
      <c r="P171" s="320" t="s">
        <v>20</v>
      </c>
      <c r="Q171" s="320"/>
      <c r="R171" s="340" t="s">
        <v>3615</v>
      </c>
      <c r="S171" s="340"/>
      <c r="T171" s="105"/>
      <c r="U171" s="105"/>
      <c r="V171" s="105"/>
      <c r="W171" s="105"/>
      <c r="X171" s="105"/>
      <c r="Y171" s="105"/>
      <c r="Z171" s="105"/>
    </row>
    <row r="172" spans="1:26" ht="15.75" customHeight="1" x14ac:dyDescent="0.25">
      <c r="A172" s="105"/>
      <c r="B172" s="360" t="s">
        <v>3620</v>
      </c>
      <c r="C172" s="360">
        <v>29332595</v>
      </c>
      <c r="D172" s="360" t="s">
        <v>3621</v>
      </c>
      <c r="E172" s="340" t="s">
        <v>3622</v>
      </c>
      <c r="F172" s="340" t="s">
        <v>3609</v>
      </c>
      <c r="G172" s="340" t="s">
        <v>421</v>
      </c>
      <c r="H172" s="138">
        <v>42000</v>
      </c>
      <c r="I172" s="134"/>
      <c r="J172" s="341">
        <v>42000</v>
      </c>
      <c r="K172" s="57" t="s">
        <v>234</v>
      </c>
      <c r="L172" s="340"/>
      <c r="M172" s="341"/>
      <c r="N172" s="342"/>
      <c r="O172" s="320" t="s">
        <v>3353</v>
      </c>
      <c r="P172" s="320" t="s">
        <v>20</v>
      </c>
      <c r="Q172" s="320"/>
      <c r="R172" s="340" t="s">
        <v>3619</v>
      </c>
      <c r="S172" s="340"/>
      <c r="T172" s="105"/>
      <c r="U172" s="105"/>
      <c r="V172" s="105"/>
      <c r="W172" s="105"/>
      <c r="X172" s="105"/>
      <c r="Y172" s="105"/>
      <c r="Z172" s="105"/>
    </row>
    <row r="173" spans="1:26" ht="15.75" customHeight="1" x14ac:dyDescent="0.25">
      <c r="A173" s="105"/>
      <c r="B173" s="286" t="s">
        <v>3637</v>
      </c>
      <c r="C173" s="286">
        <v>66961623</v>
      </c>
      <c r="D173" s="286" t="s">
        <v>3638</v>
      </c>
      <c r="E173" s="64"/>
      <c r="F173" s="64" t="s">
        <v>3609</v>
      </c>
      <c r="G173" s="64" t="s">
        <v>421</v>
      </c>
      <c r="H173" s="65">
        <v>42000</v>
      </c>
      <c r="I173" s="57"/>
      <c r="J173" s="65">
        <v>42000</v>
      </c>
      <c r="K173" s="57" t="s">
        <v>234</v>
      </c>
      <c r="L173" s="64"/>
      <c r="M173" s="65"/>
      <c r="N173" s="66"/>
      <c r="O173" s="15" t="s">
        <v>3353</v>
      </c>
      <c r="P173" s="15" t="s">
        <v>20</v>
      </c>
      <c r="Q173" s="15"/>
      <c r="R173" s="64" t="s">
        <v>3639</v>
      </c>
      <c r="S173" s="64"/>
      <c r="T173" s="105"/>
      <c r="U173" s="105"/>
      <c r="V173" s="105"/>
      <c r="W173" s="105"/>
      <c r="X173" s="105"/>
      <c r="Y173" s="105"/>
      <c r="Z173" s="105"/>
    </row>
    <row r="174" spans="1:26" ht="15.75" customHeight="1" x14ac:dyDescent="0.25">
      <c r="A174" s="105"/>
      <c r="B174" s="286" t="s">
        <v>3640</v>
      </c>
      <c r="C174" s="286">
        <v>21981206</v>
      </c>
      <c r="D174" s="286">
        <v>3234305344</v>
      </c>
      <c r="E174" s="64"/>
      <c r="F174" s="64" t="s">
        <v>3609</v>
      </c>
      <c r="G174" s="64" t="s">
        <v>1815</v>
      </c>
      <c r="H174" s="65">
        <v>42000</v>
      </c>
      <c r="I174" s="57"/>
      <c r="J174" s="65">
        <v>42000</v>
      </c>
      <c r="K174" s="57" t="s">
        <v>234</v>
      </c>
      <c r="L174" s="64"/>
      <c r="M174" s="65"/>
      <c r="N174" s="66"/>
      <c r="O174" s="15" t="s">
        <v>3353</v>
      </c>
      <c r="P174" s="15" t="s">
        <v>20</v>
      </c>
      <c r="Q174" s="15"/>
      <c r="R174" s="64" t="s">
        <v>3641</v>
      </c>
      <c r="S174" s="64"/>
      <c r="T174" s="105"/>
      <c r="U174" s="105"/>
      <c r="V174" s="105"/>
      <c r="W174" s="105"/>
      <c r="X174" s="105"/>
      <c r="Y174" s="105"/>
      <c r="Z174" s="105"/>
    </row>
    <row r="175" spans="1:26" ht="15.75" customHeight="1" x14ac:dyDescent="0.25">
      <c r="A175" s="105"/>
      <c r="B175" s="286" t="s">
        <v>3642</v>
      </c>
      <c r="C175" s="286">
        <v>4158109</v>
      </c>
      <c r="D175" s="286">
        <v>3215932655</v>
      </c>
      <c r="E175" s="64"/>
      <c r="F175" s="64" t="s">
        <v>3609</v>
      </c>
      <c r="G175" s="64" t="s">
        <v>1815</v>
      </c>
      <c r="H175" s="65">
        <v>42000</v>
      </c>
      <c r="I175" s="57"/>
      <c r="J175" s="65">
        <v>42000</v>
      </c>
      <c r="K175" s="57" t="s">
        <v>234</v>
      </c>
      <c r="L175" s="64"/>
      <c r="M175" s="65"/>
      <c r="N175" s="66"/>
      <c r="O175" s="15" t="s">
        <v>3353</v>
      </c>
      <c r="P175" s="15" t="s">
        <v>20</v>
      </c>
      <c r="Q175" s="15"/>
      <c r="R175" s="64" t="s">
        <v>3643</v>
      </c>
      <c r="S175" s="64"/>
      <c r="T175" s="105"/>
      <c r="U175" s="105"/>
      <c r="V175" s="105"/>
      <c r="W175" s="105"/>
      <c r="X175" s="105"/>
      <c r="Y175" s="105"/>
      <c r="Z175" s="105"/>
    </row>
    <row r="176" spans="1:26" ht="15.75" customHeight="1" x14ac:dyDescent="0.25">
      <c r="A176" s="105"/>
      <c r="B176" s="338" t="s">
        <v>2797</v>
      </c>
      <c r="C176" s="64">
        <v>24995735</v>
      </c>
      <c r="D176" s="64" t="s">
        <v>2798</v>
      </c>
      <c r="E176" s="64" t="s">
        <v>2799</v>
      </c>
      <c r="F176" s="64" t="s">
        <v>2800</v>
      </c>
      <c r="G176" s="64" t="s">
        <v>2730</v>
      </c>
      <c r="H176" s="64" t="s">
        <v>25</v>
      </c>
      <c r="I176" s="65">
        <v>42000</v>
      </c>
      <c r="J176" s="57"/>
      <c r="K176" s="65">
        <v>42000</v>
      </c>
      <c r="L176" s="57" t="s">
        <v>234</v>
      </c>
      <c r="M176" s="64"/>
      <c r="N176" s="65"/>
      <c r="O176" s="66"/>
      <c r="P176" s="15" t="s">
        <v>2730</v>
      </c>
      <c r="Q176" s="15" t="s">
        <v>20</v>
      </c>
      <c r="R176" s="15"/>
      <c r="S176" s="64" t="s">
        <v>2801</v>
      </c>
      <c r="T176" s="64" t="s">
        <v>2802</v>
      </c>
      <c r="U176" s="105"/>
      <c r="V176" s="105"/>
      <c r="W176" s="105"/>
      <c r="X176" s="105"/>
      <c r="Y176" s="105"/>
      <c r="Z176" s="105"/>
    </row>
    <row r="177" spans="1:26" ht="15.75" customHeight="1" x14ac:dyDescent="0.25">
      <c r="A177" s="337" t="s">
        <v>5488</v>
      </c>
      <c r="B177" s="338" t="s">
        <v>3656</v>
      </c>
      <c r="C177" s="64">
        <v>94035014</v>
      </c>
      <c r="D177" s="64">
        <v>3233761937</v>
      </c>
      <c r="E177" s="64" t="s">
        <v>3657</v>
      </c>
      <c r="F177" s="64">
        <v>211</v>
      </c>
      <c r="G177" s="64" t="s">
        <v>25</v>
      </c>
      <c r="H177" s="65">
        <v>42000</v>
      </c>
      <c r="I177" s="65"/>
      <c r="J177" s="65">
        <f t="shared" ref="J177" si="6">H177</f>
        <v>42000</v>
      </c>
      <c r="K177" s="57" t="s">
        <v>234</v>
      </c>
      <c r="L177" s="82"/>
      <c r="M177" s="65"/>
      <c r="N177" s="66"/>
      <c r="O177" s="15" t="s">
        <v>3354</v>
      </c>
      <c r="P177" s="15" t="s">
        <v>20</v>
      </c>
      <c r="Q177" s="15"/>
      <c r="R177" s="64"/>
      <c r="S177" s="64" t="s">
        <v>3658</v>
      </c>
      <c r="T177" s="105"/>
      <c r="U177" s="105"/>
      <c r="V177" s="105"/>
      <c r="W177" s="105"/>
      <c r="X177" s="105"/>
      <c r="Y177" s="105"/>
      <c r="Z177" s="105"/>
    </row>
    <row r="178" spans="1:26" ht="15.75" customHeight="1" x14ac:dyDescent="0.25">
      <c r="A178" s="105"/>
      <c r="B178" s="64" t="s">
        <v>3679</v>
      </c>
      <c r="C178" s="64">
        <v>66961617</v>
      </c>
      <c r="D178" s="64">
        <v>3170900542</v>
      </c>
      <c r="E178" s="69" t="s">
        <v>3680</v>
      </c>
      <c r="F178" s="64" t="s">
        <v>3681</v>
      </c>
      <c r="G178" s="64" t="s">
        <v>188</v>
      </c>
      <c r="H178" s="65">
        <v>57000</v>
      </c>
      <c r="I178" s="65">
        <v>10830</v>
      </c>
      <c r="J178" s="65">
        <f>H178+I178</f>
        <v>67830</v>
      </c>
      <c r="K178" s="57" t="s">
        <v>234</v>
      </c>
      <c r="L178" s="82"/>
      <c r="M178" s="65"/>
      <c r="N178" s="66"/>
      <c r="O178" s="15" t="s">
        <v>3354</v>
      </c>
      <c r="P178" s="15" t="s">
        <v>20</v>
      </c>
      <c r="Q178" s="15"/>
      <c r="R178" s="64" t="s">
        <v>3682</v>
      </c>
      <c r="S178" s="64"/>
      <c r="T178" s="105"/>
      <c r="U178" s="105"/>
      <c r="V178" s="105"/>
      <c r="W178" s="105"/>
      <c r="X178" s="105"/>
      <c r="Y178" s="105"/>
      <c r="Z178" s="105"/>
    </row>
    <row r="179" spans="1:26" ht="15.75" customHeight="1" x14ac:dyDescent="0.25">
      <c r="A179" s="370" t="s">
        <v>5489</v>
      </c>
      <c r="B179" s="286" t="s">
        <v>3953</v>
      </c>
      <c r="C179" s="286">
        <v>1083892682</v>
      </c>
      <c r="D179" s="286" t="s">
        <v>3954</v>
      </c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15.75" customHeight="1" x14ac:dyDescent="0.2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15.75" customHeight="1" x14ac:dyDescent="0.2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15.75" customHeight="1" x14ac:dyDescent="0.2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15.75" customHeight="1" x14ac:dyDescent="0.2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15.75" customHeight="1" x14ac:dyDescent="0.25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15.75" customHeight="1" x14ac:dyDescent="0.2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15.75" customHeight="1" x14ac:dyDescent="0.2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15.75" customHeight="1" x14ac:dyDescent="0.2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15.75" customHeight="1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15.75" customHeight="1" x14ac:dyDescent="0.25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15.75" customHeight="1" x14ac:dyDescent="0.25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15.75" customHeight="1" x14ac:dyDescent="0.25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15.75" customHeight="1" x14ac:dyDescent="0.25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15.75" customHeight="1" x14ac:dyDescent="0.25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15.75" customHeight="1" x14ac:dyDescent="0.25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15.75" customHeight="1" x14ac:dyDescent="0.2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15.75" customHeight="1" x14ac:dyDescent="0.25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15.75" customHeight="1" x14ac:dyDescent="0.25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15.75" customHeight="1" x14ac:dyDescent="0.25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15.75" customHeight="1" x14ac:dyDescent="0.25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15.75" customHeight="1" x14ac:dyDescent="0.25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15.75" customHeight="1" x14ac:dyDescent="0.2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15.75" customHeight="1" x14ac:dyDescent="0.25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15.75" customHeight="1" x14ac:dyDescent="0.25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15.75" customHeight="1" x14ac:dyDescent="0.2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15.75" customHeight="1" x14ac:dyDescent="0.2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15.75" customHeight="1" x14ac:dyDescent="0.25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15.75" customHeight="1" x14ac:dyDescent="0.2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15.75" customHeight="1" x14ac:dyDescent="0.25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15.75" customHeight="1" x14ac:dyDescent="0.25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15.75" customHeight="1" x14ac:dyDescent="0.2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15.75" customHeight="1" x14ac:dyDescent="0.2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15.75" customHeight="1" x14ac:dyDescent="0.2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15.75" customHeight="1" x14ac:dyDescent="0.2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15.75" customHeight="1" x14ac:dyDescent="0.2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15.75" customHeight="1" x14ac:dyDescent="0.2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15.75" customHeight="1" x14ac:dyDescent="0.2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5.75" customHeight="1" x14ac:dyDescent="0.2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5.75" customHeight="1" x14ac:dyDescent="0.2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5.75" customHeight="1" x14ac:dyDescent="0.2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5.75" customHeight="1" x14ac:dyDescent="0.2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5.75" customHeight="1" x14ac:dyDescent="0.2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ht="15.75" customHeight="1" x14ac:dyDescent="0.2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ht="15.75" customHeight="1" x14ac:dyDescent="0.2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ht="15.75" customHeight="1" x14ac:dyDescent="0.25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ht="15.75" customHeight="1" x14ac:dyDescent="0.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ht="15.75" customHeight="1" x14ac:dyDescent="0.25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ht="15.75" customHeight="1" x14ac:dyDescent="0.2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ht="15.75" customHeight="1" x14ac:dyDescent="0.25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ht="15.75" customHeight="1" x14ac:dyDescent="0.25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ht="15.75" customHeight="1" x14ac:dyDescent="0.25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ht="15.75" customHeight="1" x14ac:dyDescent="0.25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ht="15.75" customHeight="1" x14ac:dyDescent="0.25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ht="15.75" customHeight="1" x14ac:dyDescent="0.25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ht="15.75" customHeight="1" x14ac:dyDescent="0.25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ht="15.75" customHeight="1" x14ac:dyDescent="0.2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ht="15.75" customHeight="1" x14ac:dyDescent="0.25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ht="15.75" customHeight="1" x14ac:dyDescent="0.25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ht="15.75" customHeight="1" x14ac:dyDescent="0.25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ht="15.75" customHeight="1" x14ac:dyDescent="0.25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ht="15.75" customHeight="1" x14ac:dyDescent="0.25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 ht="15.75" customHeight="1" x14ac:dyDescent="0.25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ht="15.75" customHeight="1" x14ac:dyDescent="0.25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ht="15.75" customHeight="1" x14ac:dyDescent="0.25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ht="15.75" customHeight="1" x14ac:dyDescent="0.25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ht="15.75" customHeight="1" x14ac:dyDescent="0.2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ht="15.75" customHeight="1" x14ac:dyDescent="0.2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ht="15.75" customHeight="1" x14ac:dyDescent="0.25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ht="15.75" customHeight="1" x14ac:dyDescent="0.25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ht="15.75" customHeight="1" x14ac:dyDescent="0.2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ht="15.75" customHeight="1" x14ac:dyDescent="0.2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ht="15.75" customHeight="1" x14ac:dyDescent="0.2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ht="15.75" customHeight="1" x14ac:dyDescent="0.2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ht="15.75" customHeight="1" x14ac:dyDescent="0.2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ht="15.75" customHeight="1" x14ac:dyDescent="0.2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ht="15.75" customHeight="1" x14ac:dyDescent="0.2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 ht="15.75" customHeight="1" x14ac:dyDescent="0.25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 ht="15.75" customHeight="1" x14ac:dyDescent="0.25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 ht="15.75" customHeight="1" x14ac:dyDescent="0.2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 ht="15.75" customHeight="1" x14ac:dyDescent="0.2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 ht="15.75" customHeight="1" x14ac:dyDescent="0.25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 ht="15.75" customHeight="1" x14ac:dyDescent="0.2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 ht="15.75" customHeight="1" x14ac:dyDescent="0.2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 ht="15.75" customHeight="1" x14ac:dyDescent="0.2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 ht="15.75" customHeight="1" x14ac:dyDescent="0.2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 ht="15.75" customHeight="1" x14ac:dyDescent="0.2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 ht="15.75" customHeight="1" x14ac:dyDescent="0.2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 ht="15.75" customHeight="1" x14ac:dyDescent="0.2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 ht="15.75" customHeight="1" x14ac:dyDescent="0.25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 ht="15.75" customHeight="1" x14ac:dyDescent="0.25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 ht="15.75" customHeight="1" x14ac:dyDescent="0.25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 ht="15.75" customHeight="1" x14ac:dyDescent="0.2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 ht="15.75" customHeight="1" x14ac:dyDescent="0.25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 ht="15.75" customHeight="1" x14ac:dyDescent="0.25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 ht="15.75" customHeight="1" x14ac:dyDescent="0.25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 ht="15.75" customHeight="1" x14ac:dyDescent="0.2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 ht="15.75" customHeight="1" x14ac:dyDescent="0.25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 ht="15.75" customHeight="1" x14ac:dyDescent="0.25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 ht="15.75" customHeight="1" x14ac:dyDescent="0.25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 ht="15.75" customHeight="1" x14ac:dyDescent="0.25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 ht="15.75" customHeight="1" x14ac:dyDescent="0.25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 ht="15.75" customHeight="1" x14ac:dyDescent="0.25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 ht="15.75" customHeight="1" x14ac:dyDescent="0.25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 ht="15.75" customHeight="1" x14ac:dyDescent="0.25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 ht="15.75" customHeight="1" x14ac:dyDescent="0.25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 ht="15.75" customHeight="1" x14ac:dyDescent="0.2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 ht="15.75" customHeight="1" x14ac:dyDescent="0.25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 ht="15.75" customHeight="1" x14ac:dyDescent="0.25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 ht="15.75" customHeight="1" x14ac:dyDescent="0.2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 ht="15.75" customHeight="1" x14ac:dyDescent="0.25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 ht="15.75" customHeight="1" x14ac:dyDescent="0.2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 ht="15.75" customHeight="1" x14ac:dyDescent="0.2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 ht="15.75" customHeight="1" x14ac:dyDescent="0.25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 ht="15.75" customHeight="1" x14ac:dyDescent="0.25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 ht="15.75" customHeight="1" x14ac:dyDescent="0.25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 ht="15.75" customHeight="1" x14ac:dyDescent="0.2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 ht="15.75" customHeight="1" x14ac:dyDescent="0.25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 ht="15.75" customHeight="1" x14ac:dyDescent="0.25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 ht="15.75" customHeight="1" x14ac:dyDescent="0.25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spans="1:26" ht="15.75" customHeight="1" x14ac:dyDescent="0.25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spans="1:26" ht="15.75" customHeight="1" x14ac:dyDescent="0.25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spans="1:26" ht="15.75" customHeight="1" x14ac:dyDescent="0.25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spans="1:26" ht="15.75" customHeight="1" x14ac:dyDescent="0.25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spans="1:26" ht="15.75" customHeight="1" x14ac:dyDescent="0.25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spans="1:26" ht="15.75" customHeight="1" x14ac:dyDescent="0.25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spans="1:26" ht="15.75" customHeight="1" x14ac:dyDescent="0.2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spans="1:26" ht="15.75" customHeight="1" x14ac:dyDescent="0.25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spans="1:26" ht="15.75" customHeight="1" x14ac:dyDescent="0.25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spans="1:26" ht="15.75" customHeight="1" x14ac:dyDescent="0.25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spans="1:26" ht="15.75" customHeight="1" x14ac:dyDescent="0.25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spans="1:26" ht="15.75" customHeight="1" x14ac:dyDescent="0.25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spans="1:26" ht="15.75" customHeight="1" x14ac:dyDescent="0.25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spans="1:26" ht="15.75" customHeight="1" x14ac:dyDescent="0.25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spans="1:26" ht="15.75" customHeight="1" x14ac:dyDescent="0.25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spans="1:26" ht="15.75" customHeight="1" x14ac:dyDescent="0.25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spans="1:26" ht="15.75" customHeight="1" x14ac:dyDescent="0.2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spans="1:26" ht="15.75" customHeight="1" x14ac:dyDescent="0.25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spans="1:26" ht="15.75" customHeight="1" x14ac:dyDescent="0.25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spans="1:26" ht="15.75" customHeight="1" x14ac:dyDescent="0.25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spans="1:26" ht="15.75" customHeight="1" x14ac:dyDescent="0.25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spans="1:26" ht="15.75" customHeight="1" x14ac:dyDescent="0.25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spans="1:26" ht="15.75" customHeight="1" x14ac:dyDescent="0.25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spans="1:26" ht="15.75" customHeight="1" x14ac:dyDescent="0.25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spans="1:26" ht="15.75" customHeight="1" x14ac:dyDescent="0.25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spans="1:26" ht="15.75" customHeight="1" x14ac:dyDescent="0.25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spans="1:26" ht="15.75" customHeight="1" x14ac:dyDescent="0.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spans="1:26" ht="15.75" customHeight="1" x14ac:dyDescent="0.25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spans="1:26" ht="15.75" customHeight="1" x14ac:dyDescent="0.25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spans="1:26" ht="15.75" customHeight="1" x14ac:dyDescent="0.25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spans="1:26" ht="15.75" customHeight="1" x14ac:dyDescent="0.25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spans="1:26" ht="15.75" customHeight="1" x14ac:dyDescent="0.25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spans="1:26" ht="15.75" customHeight="1" x14ac:dyDescent="0.25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spans="1:26" ht="15.75" customHeight="1" x14ac:dyDescent="0.25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spans="1:26" ht="15.75" customHeight="1" x14ac:dyDescent="0.25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spans="1:26" ht="15.75" customHeight="1" x14ac:dyDescent="0.25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spans="1:26" ht="15.75" customHeight="1" x14ac:dyDescent="0.2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spans="1:26" ht="15.75" customHeight="1" x14ac:dyDescent="0.25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spans="1:26" ht="15.75" customHeight="1" x14ac:dyDescent="0.25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spans="1:26" ht="15.75" customHeight="1" x14ac:dyDescent="0.25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spans="1:26" ht="15.75" customHeight="1" x14ac:dyDescent="0.25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spans="1:26" ht="15.75" customHeight="1" x14ac:dyDescent="0.25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spans="1:26" ht="15.75" customHeight="1" x14ac:dyDescent="0.25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spans="1:26" ht="15.75" customHeight="1" x14ac:dyDescent="0.25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spans="1:26" ht="15.75" customHeight="1" x14ac:dyDescent="0.25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spans="1:26" ht="15.75" customHeight="1" x14ac:dyDescent="0.25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spans="1:26" ht="15.75" customHeight="1" x14ac:dyDescent="0.2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spans="1:26" ht="15.75" customHeight="1" x14ac:dyDescent="0.25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spans="1:26" ht="15.75" customHeight="1" x14ac:dyDescent="0.25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spans="1:26" ht="15.75" customHeight="1" x14ac:dyDescent="0.25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spans="1:26" ht="15.75" customHeight="1" x14ac:dyDescent="0.25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spans="1:26" ht="15.75" customHeight="1" x14ac:dyDescent="0.25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spans="1:26" ht="15.75" customHeight="1" x14ac:dyDescent="0.25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spans="1:26" ht="15.75" customHeight="1" x14ac:dyDescent="0.25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spans="1:26" ht="15.75" customHeight="1" x14ac:dyDescent="0.25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spans="1:26" ht="15.75" customHeight="1" x14ac:dyDescent="0.2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spans="1:26" ht="15.75" customHeight="1" x14ac:dyDescent="0.2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spans="1:26" ht="15.75" customHeight="1" x14ac:dyDescent="0.25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spans="1:26" ht="15.75" customHeight="1" x14ac:dyDescent="0.25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spans="1:26" ht="15.75" customHeight="1" x14ac:dyDescent="0.25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spans="1:26" ht="15.75" customHeight="1" x14ac:dyDescent="0.2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spans="1:26" ht="15.75" customHeight="1" x14ac:dyDescent="0.25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spans="1:26" ht="15.75" customHeight="1" x14ac:dyDescent="0.25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spans="1:26" ht="15.75" customHeight="1" x14ac:dyDescent="0.25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spans="1:26" ht="15.75" customHeight="1" x14ac:dyDescent="0.25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spans="1:26" ht="15.75" customHeight="1" x14ac:dyDescent="0.25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spans="1:26" ht="15.75" customHeight="1" x14ac:dyDescent="0.2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spans="1:26" ht="15.75" customHeight="1" x14ac:dyDescent="0.25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spans="1:26" ht="15.75" customHeight="1" x14ac:dyDescent="0.25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spans="1:26" ht="15.75" customHeight="1" x14ac:dyDescent="0.25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spans="1:26" ht="15.75" customHeight="1" x14ac:dyDescent="0.25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spans="1:26" ht="15.75" customHeight="1" x14ac:dyDescent="0.25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spans="1:26" ht="15.75" customHeight="1" x14ac:dyDescent="0.25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spans="1:26" ht="15.75" customHeight="1" x14ac:dyDescent="0.25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spans="1:26" ht="15.75" customHeight="1" x14ac:dyDescent="0.25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spans="1:26" ht="15.75" customHeight="1" x14ac:dyDescent="0.25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spans="1:26" ht="15.75" customHeight="1" x14ac:dyDescent="0.2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spans="1:26" ht="15.75" customHeight="1" x14ac:dyDescent="0.25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spans="1:26" ht="15.75" customHeight="1" x14ac:dyDescent="0.25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spans="1:26" ht="15.75" customHeight="1" x14ac:dyDescent="0.25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spans="1:26" ht="15.75" customHeight="1" x14ac:dyDescent="0.25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spans="1:26" ht="15.75" customHeight="1" x14ac:dyDescent="0.25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spans="1:26" ht="15.75" customHeight="1" x14ac:dyDescent="0.25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spans="1:26" ht="15.75" customHeight="1" x14ac:dyDescent="0.25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spans="1:26" ht="15.75" customHeight="1" x14ac:dyDescent="0.25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spans="1:26" ht="15.75" customHeight="1" x14ac:dyDescent="0.25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spans="1:26" ht="15.75" customHeight="1" x14ac:dyDescent="0.2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spans="1:26" ht="15.75" customHeight="1" x14ac:dyDescent="0.25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spans="1:26" ht="15.75" customHeight="1" x14ac:dyDescent="0.25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spans="1:26" ht="15.75" customHeight="1" x14ac:dyDescent="0.25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spans="1:26" ht="15.75" customHeight="1" x14ac:dyDescent="0.25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spans="1:26" ht="15.75" customHeight="1" x14ac:dyDescent="0.2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spans="1:26" ht="15.75" customHeight="1" x14ac:dyDescent="0.25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spans="1:26" ht="15.75" customHeight="1" x14ac:dyDescent="0.25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spans="1:26" ht="15.75" customHeight="1" x14ac:dyDescent="0.2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spans="1:26" ht="15.75" customHeight="1" x14ac:dyDescent="0.2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spans="1:26" ht="15.75" customHeight="1" x14ac:dyDescent="0.2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spans="1:26" ht="15.75" customHeight="1" x14ac:dyDescent="0.2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spans="1:26" ht="15.75" customHeight="1" x14ac:dyDescent="0.2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spans="1:26" ht="15.75" customHeight="1" x14ac:dyDescent="0.2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spans="1:26" ht="15.75" customHeight="1" x14ac:dyDescent="0.2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spans="1:26" ht="15.75" customHeight="1" x14ac:dyDescent="0.25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spans="1:26" ht="15.75" customHeight="1" x14ac:dyDescent="0.25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spans="1:26" ht="15.75" customHeight="1" x14ac:dyDescent="0.25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spans="1:26" ht="15.75" customHeight="1" x14ac:dyDescent="0.2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spans="1:26" ht="15.75" customHeight="1" x14ac:dyDescent="0.25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spans="1:26" ht="15.75" customHeight="1" x14ac:dyDescent="0.2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spans="1:26" ht="15.75" customHeight="1" x14ac:dyDescent="0.25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spans="1:26" ht="15.75" customHeight="1" x14ac:dyDescent="0.25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spans="1:26" ht="15.75" customHeight="1" x14ac:dyDescent="0.25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spans="1:26" ht="15.75" customHeight="1" x14ac:dyDescent="0.25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spans="1:26" ht="15.75" customHeight="1" x14ac:dyDescent="0.25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spans="1:26" ht="15.75" customHeight="1" x14ac:dyDescent="0.25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spans="1:26" ht="15.75" customHeight="1" x14ac:dyDescent="0.25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spans="1:26" ht="15.75" customHeight="1" x14ac:dyDescent="0.25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spans="1:26" ht="15.75" customHeight="1" x14ac:dyDescent="0.25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spans="1:26" ht="15.75" customHeight="1" x14ac:dyDescent="0.2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spans="1:26" ht="15.75" customHeight="1" x14ac:dyDescent="0.25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spans="1:26" ht="15.75" customHeight="1" x14ac:dyDescent="0.25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spans="1:26" ht="15.75" customHeight="1" x14ac:dyDescent="0.25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spans="1:26" ht="15.75" customHeight="1" x14ac:dyDescent="0.25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spans="1:26" ht="15.75" customHeight="1" x14ac:dyDescent="0.25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spans="1:26" ht="15.75" customHeight="1" x14ac:dyDescent="0.25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spans="1:26" ht="15.75" customHeight="1" x14ac:dyDescent="0.25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spans="1:26" ht="15.75" customHeight="1" x14ac:dyDescent="0.25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spans="1:26" ht="15.75" customHeight="1" x14ac:dyDescent="0.25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spans="1:26" ht="15.75" customHeight="1" x14ac:dyDescent="0.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spans="1:26" ht="15.75" customHeight="1" x14ac:dyDescent="0.25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spans="1:26" ht="15.75" customHeight="1" x14ac:dyDescent="0.25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spans="1:26" ht="15.75" customHeight="1" x14ac:dyDescent="0.25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spans="1:26" ht="15.75" customHeight="1" x14ac:dyDescent="0.25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spans="1:26" ht="15.75" customHeight="1" x14ac:dyDescent="0.25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spans="1:26" ht="15.75" customHeight="1" x14ac:dyDescent="0.25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spans="1:26" ht="15.75" customHeight="1" x14ac:dyDescent="0.25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spans="1:26" ht="15.75" customHeight="1" x14ac:dyDescent="0.25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spans="1:26" ht="15.75" customHeight="1" x14ac:dyDescent="0.25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spans="1:26" ht="15.75" customHeight="1" x14ac:dyDescent="0.2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spans="1:26" ht="15.75" customHeight="1" x14ac:dyDescent="0.25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spans="1:26" ht="15.75" customHeight="1" x14ac:dyDescent="0.25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spans="1:26" ht="15.75" customHeight="1" x14ac:dyDescent="0.25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spans="1:26" ht="15.75" customHeight="1" x14ac:dyDescent="0.25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spans="1:26" ht="15.75" customHeight="1" x14ac:dyDescent="0.25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spans="1:26" ht="15.75" customHeight="1" x14ac:dyDescent="0.25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spans="1:26" ht="15.75" customHeight="1" x14ac:dyDescent="0.25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spans="1:26" ht="15.75" customHeight="1" x14ac:dyDescent="0.25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spans="1:26" ht="15.75" customHeight="1" x14ac:dyDescent="0.25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spans="1:26" ht="15.75" customHeight="1" x14ac:dyDescent="0.2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spans="1:26" ht="15.75" customHeight="1" x14ac:dyDescent="0.25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spans="1:26" ht="15.75" customHeight="1" x14ac:dyDescent="0.25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spans="1:26" ht="15.75" customHeight="1" x14ac:dyDescent="0.25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spans="1:26" ht="15.75" customHeight="1" x14ac:dyDescent="0.25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spans="1:26" ht="15.75" customHeight="1" x14ac:dyDescent="0.25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spans="1:26" ht="15.75" customHeight="1" x14ac:dyDescent="0.25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spans="1:26" ht="15.75" customHeight="1" x14ac:dyDescent="0.25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spans="1:26" ht="15.75" customHeight="1" x14ac:dyDescent="0.25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spans="1:26" ht="15.75" customHeight="1" x14ac:dyDescent="0.25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spans="1:26" ht="15.75" customHeight="1" x14ac:dyDescent="0.2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spans="1:26" ht="15.75" customHeight="1" x14ac:dyDescent="0.25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spans="1:26" ht="15.75" customHeight="1" x14ac:dyDescent="0.25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spans="1:26" ht="15.75" customHeight="1" x14ac:dyDescent="0.25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spans="1:26" ht="15.75" customHeight="1" x14ac:dyDescent="0.25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spans="1:26" ht="15.75" customHeight="1" x14ac:dyDescent="0.25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spans="1:26" ht="15.75" customHeight="1" x14ac:dyDescent="0.25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spans="1:26" ht="15.75" customHeight="1" x14ac:dyDescent="0.25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spans="1:26" ht="15.75" customHeight="1" x14ac:dyDescent="0.25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spans="1:26" ht="15.75" customHeight="1" x14ac:dyDescent="0.25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spans="1:26" ht="15.75" customHeight="1" x14ac:dyDescent="0.2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spans="1:26" ht="15.75" customHeight="1" x14ac:dyDescent="0.25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spans="1:26" ht="15.75" customHeight="1" x14ac:dyDescent="0.25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spans="1:26" ht="15.75" customHeight="1" x14ac:dyDescent="0.25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spans="1:26" ht="15.75" customHeight="1" x14ac:dyDescent="0.25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spans="1:26" ht="15.75" customHeight="1" x14ac:dyDescent="0.25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spans="1:26" ht="15.75" customHeight="1" x14ac:dyDescent="0.25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spans="1:26" ht="15.75" customHeight="1" x14ac:dyDescent="0.25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spans="1:26" ht="15.75" customHeight="1" x14ac:dyDescent="0.25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spans="1:26" ht="15.75" customHeight="1" x14ac:dyDescent="0.25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spans="1:26" ht="15.75" customHeight="1" x14ac:dyDescent="0.2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spans="1:26" ht="15.75" customHeight="1" x14ac:dyDescent="0.25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spans="1:26" ht="15.75" customHeight="1" x14ac:dyDescent="0.25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spans="1:26" ht="15.75" customHeight="1" x14ac:dyDescent="0.25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spans="1:26" ht="15.75" customHeight="1" x14ac:dyDescent="0.25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spans="1:26" ht="15.75" customHeight="1" x14ac:dyDescent="0.25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spans="1:26" ht="15.75" customHeight="1" x14ac:dyDescent="0.25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spans="1:26" ht="15.75" customHeight="1" x14ac:dyDescent="0.25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spans="1:26" ht="15.75" customHeight="1" x14ac:dyDescent="0.25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spans="1:26" ht="15.75" customHeight="1" x14ac:dyDescent="0.25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spans="1:26" ht="15.75" customHeight="1" x14ac:dyDescent="0.2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spans="1:26" ht="15.75" customHeight="1" x14ac:dyDescent="0.25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spans="1:26" ht="15.75" customHeight="1" x14ac:dyDescent="0.25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spans="1:26" ht="15.75" customHeight="1" x14ac:dyDescent="0.25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spans="1:26" ht="15.75" customHeight="1" x14ac:dyDescent="0.25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spans="1:26" ht="15.75" customHeight="1" x14ac:dyDescent="0.25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spans="1:26" ht="15.75" customHeight="1" x14ac:dyDescent="0.25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spans="1:26" ht="15.75" customHeight="1" x14ac:dyDescent="0.25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spans="1:26" ht="15.75" customHeight="1" x14ac:dyDescent="0.25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spans="1:26" ht="15.75" customHeight="1" x14ac:dyDescent="0.25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spans="1:26" ht="15.75" customHeight="1" x14ac:dyDescent="0.2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spans="1:26" ht="15.75" customHeight="1" x14ac:dyDescent="0.25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spans="1:26" ht="15.75" customHeight="1" x14ac:dyDescent="0.25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spans="1:26" ht="15.75" customHeight="1" x14ac:dyDescent="0.25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spans="1:26" ht="15.75" customHeight="1" x14ac:dyDescent="0.25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spans="1:26" ht="15.75" customHeight="1" x14ac:dyDescent="0.25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spans="1:26" ht="15.75" customHeight="1" x14ac:dyDescent="0.25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spans="1:26" ht="15.75" customHeight="1" x14ac:dyDescent="0.25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spans="1:26" ht="15.75" customHeight="1" x14ac:dyDescent="0.25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spans="1:26" ht="15.75" customHeight="1" x14ac:dyDescent="0.25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spans="1:26" ht="15.75" customHeight="1" x14ac:dyDescent="0.2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spans="1:26" ht="15.75" customHeight="1" x14ac:dyDescent="0.25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spans="1:26" ht="15.75" customHeight="1" x14ac:dyDescent="0.25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spans="1:26" ht="15.75" customHeight="1" x14ac:dyDescent="0.25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spans="1:26" ht="15.75" customHeight="1" x14ac:dyDescent="0.25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spans="1:26" ht="15.75" customHeight="1" x14ac:dyDescent="0.25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spans="1:26" ht="15.75" customHeight="1" x14ac:dyDescent="0.25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spans="1:26" ht="15.75" customHeight="1" x14ac:dyDescent="0.25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spans="1:26" ht="15.75" customHeight="1" x14ac:dyDescent="0.25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spans="1:26" ht="15.75" customHeight="1" x14ac:dyDescent="0.25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spans="1:26" ht="15.75" customHeight="1" x14ac:dyDescent="0.2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spans="1:26" ht="15.75" customHeight="1" x14ac:dyDescent="0.25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spans="1:26" ht="15.75" customHeight="1" x14ac:dyDescent="0.25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spans="1:26" ht="15.75" customHeight="1" x14ac:dyDescent="0.25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spans="1:26" ht="15.75" customHeight="1" x14ac:dyDescent="0.25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spans="1:26" ht="15.75" customHeight="1" x14ac:dyDescent="0.25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spans="1:26" ht="15.75" customHeight="1" x14ac:dyDescent="0.25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spans="1:26" ht="15.75" customHeight="1" x14ac:dyDescent="0.25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spans="1:26" ht="15.75" customHeight="1" x14ac:dyDescent="0.25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spans="1:26" ht="15.75" customHeight="1" x14ac:dyDescent="0.25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spans="1:26" ht="15.75" customHeight="1" x14ac:dyDescent="0.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spans="1:26" ht="15.75" customHeight="1" x14ac:dyDescent="0.25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spans="1:26" ht="15.75" customHeight="1" x14ac:dyDescent="0.25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spans="1:26" ht="15.75" customHeight="1" x14ac:dyDescent="0.25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spans="1:26" ht="15.75" customHeight="1" x14ac:dyDescent="0.25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spans="1:26" ht="15.75" customHeight="1" x14ac:dyDescent="0.25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spans="1:26" ht="15.75" customHeight="1" x14ac:dyDescent="0.25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spans="1:26" ht="15.75" customHeight="1" x14ac:dyDescent="0.25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spans="1:26" ht="15.75" customHeight="1" x14ac:dyDescent="0.25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spans="1:26" ht="15.75" customHeight="1" x14ac:dyDescent="0.25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spans="1:26" ht="15.75" customHeight="1" x14ac:dyDescent="0.2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spans="1:26" ht="15.75" customHeight="1" x14ac:dyDescent="0.25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spans="1:26" ht="15.75" customHeight="1" x14ac:dyDescent="0.25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spans="1:26" ht="15.75" customHeight="1" x14ac:dyDescent="0.25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spans="1:26" ht="15.75" customHeight="1" x14ac:dyDescent="0.25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spans="1:26" ht="15.75" customHeight="1" x14ac:dyDescent="0.25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spans="1:26" ht="15.75" customHeight="1" x14ac:dyDescent="0.25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spans="1:26" ht="15.75" customHeight="1" x14ac:dyDescent="0.25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spans="1:26" ht="15.75" customHeight="1" x14ac:dyDescent="0.25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spans="1:26" ht="15.75" customHeight="1" x14ac:dyDescent="0.25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spans="1:26" ht="15.75" customHeight="1" x14ac:dyDescent="0.2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spans="1:26" ht="15.75" customHeight="1" x14ac:dyDescent="0.25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spans="1:26" ht="15.75" customHeight="1" x14ac:dyDescent="0.25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spans="1:26" ht="15.75" customHeight="1" x14ac:dyDescent="0.25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spans="1:26" ht="15.75" customHeight="1" x14ac:dyDescent="0.25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spans="1:26" ht="15.75" customHeight="1" x14ac:dyDescent="0.25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spans="1:26" ht="15.75" customHeight="1" x14ac:dyDescent="0.25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spans="1:26" ht="15.75" customHeight="1" x14ac:dyDescent="0.25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spans="1:26" ht="15.75" customHeight="1" x14ac:dyDescent="0.25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spans="1:26" ht="15.75" customHeight="1" x14ac:dyDescent="0.25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spans="1:26" ht="15.75" customHeight="1" x14ac:dyDescent="0.2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spans="1:26" ht="15.75" customHeight="1" x14ac:dyDescent="0.25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spans="1:26" ht="15.75" customHeight="1" x14ac:dyDescent="0.25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spans="1:26" ht="15.75" customHeight="1" x14ac:dyDescent="0.25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spans="1:26" ht="15.75" customHeight="1" x14ac:dyDescent="0.25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spans="1:26" ht="15.75" customHeight="1" x14ac:dyDescent="0.25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spans="1:26" ht="15.75" customHeight="1" x14ac:dyDescent="0.25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spans="1:26" ht="15.75" customHeight="1" x14ac:dyDescent="0.25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spans="1:26" ht="15.75" customHeight="1" x14ac:dyDescent="0.25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spans="1:26" ht="15.75" customHeight="1" x14ac:dyDescent="0.25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spans="1:26" ht="15.75" customHeight="1" x14ac:dyDescent="0.2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spans="1:26" ht="15.75" customHeight="1" x14ac:dyDescent="0.25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spans="1:26" ht="15.75" customHeight="1" x14ac:dyDescent="0.25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spans="1:26" ht="15.75" customHeight="1" x14ac:dyDescent="0.25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spans="1:26" ht="15.75" customHeight="1" x14ac:dyDescent="0.25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spans="1:26" ht="15.75" customHeight="1" x14ac:dyDescent="0.25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spans="1:26" ht="15.75" customHeight="1" x14ac:dyDescent="0.25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spans="1:26" ht="15.75" customHeight="1" x14ac:dyDescent="0.25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spans="1:26" ht="15.75" customHeight="1" x14ac:dyDescent="0.25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spans="1:26" ht="15.75" customHeight="1" x14ac:dyDescent="0.25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spans="1:26" ht="15.75" customHeight="1" x14ac:dyDescent="0.2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spans="1:26" ht="15.75" customHeight="1" x14ac:dyDescent="0.25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spans="1:26" ht="15.75" customHeight="1" x14ac:dyDescent="0.25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spans="1:26" ht="15.75" customHeight="1" x14ac:dyDescent="0.25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spans="1:26" ht="15.75" customHeight="1" x14ac:dyDescent="0.25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spans="1:26" ht="15.75" customHeight="1" x14ac:dyDescent="0.25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spans="1:26" ht="15.75" customHeight="1" x14ac:dyDescent="0.25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spans="1:26" ht="15.75" customHeight="1" x14ac:dyDescent="0.25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spans="1:26" ht="15.75" customHeight="1" x14ac:dyDescent="0.25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spans="1:26" ht="15.75" customHeight="1" x14ac:dyDescent="0.25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spans="1:26" ht="15.75" customHeight="1" x14ac:dyDescent="0.2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spans="1:26" ht="15.75" customHeight="1" x14ac:dyDescent="0.25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spans="1:26" ht="15.75" customHeight="1" x14ac:dyDescent="0.25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spans="1:26" ht="15.75" customHeight="1" x14ac:dyDescent="0.25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spans="1:26" ht="15.75" customHeight="1" x14ac:dyDescent="0.25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spans="1:26" ht="15.75" customHeight="1" x14ac:dyDescent="0.25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spans="1:26" ht="15.75" customHeight="1" x14ac:dyDescent="0.25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spans="1:26" ht="15.75" customHeight="1" x14ac:dyDescent="0.25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spans="1:26" ht="15.75" customHeight="1" x14ac:dyDescent="0.25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spans="1:26" ht="15.75" customHeight="1" x14ac:dyDescent="0.25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spans="1:26" ht="15.75" customHeight="1" x14ac:dyDescent="0.2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spans="1:26" ht="15.75" customHeight="1" x14ac:dyDescent="0.25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spans="1:26" ht="15.75" customHeight="1" x14ac:dyDescent="0.25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spans="1:26" ht="15.75" customHeight="1" x14ac:dyDescent="0.25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spans="1:26" ht="15.75" customHeight="1" x14ac:dyDescent="0.25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spans="1:26" ht="15.75" customHeight="1" x14ac:dyDescent="0.25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spans="1:26" ht="15.75" customHeight="1" x14ac:dyDescent="0.25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spans="1:26" ht="15.75" customHeight="1" x14ac:dyDescent="0.25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spans="1:26" ht="15.75" customHeight="1" x14ac:dyDescent="0.25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spans="1:26" ht="15.75" customHeight="1" x14ac:dyDescent="0.25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spans="1:26" ht="15.75" customHeight="1" x14ac:dyDescent="0.2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spans="1:26" ht="15.75" customHeight="1" x14ac:dyDescent="0.25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spans="1:26" ht="15.75" customHeight="1" x14ac:dyDescent="0.25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spans="1:26" ht="15.75" customHeight="1" x14ac:dyDescent="0.25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spans="1:26" ht="15.75" customHeight="1" x14ac:dyDescent="0.25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spans="1:26" ht="15.75" customHeight="1" x14ac:dyDescent="0.25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spans="1:26" ht="15.75" customHeight="1" x14ac:dyDescent="0.25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spans="1:26" ht="15.75" customHeight="1" x14ac:dyDescent="0.25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spans="1:26" ht="15.75" customHeight="1" x14ac:dyDescent="0.25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spans="1:26" ht="15.75" customHeight="1" x14ac:dyDescent="0.25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spans="1:26" ht="15.75" customHeight="1" x14ac:dyDescent="0.2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spans="1:26" ht="15.75" customHeight="1" x14ac:dyDescent="0.25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spans="1:26" ht="15.75" customHeight="1" x14ac:dyDescent="0.25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spans="1:26" ht="15.75" customHeight="1" x14ac:dyDescent="0.25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spans="1:26" ht="15.75" customHeight="1" x14ac:dyDescent="0.25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spans="1:26" ht="15.75" customHeight="1" x14ac:dyDescent="0.25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spans="1:26" ht="15.75" customHeight="1" x14ac:dyDescent="0.25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spans="1:26" ht="15.75" customHeight="1" x14ac:dyDescent="0.25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spans="1:26" ht="15.75" customHeight="1" x14ac:dyDescent="0.25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spans="1:26" ht="15.75" customHeight="1" x14ac:dyDescent="0.25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spans="1:26" ht="15.75" customHeight="1" x14ac:dyDescent="0.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spans="1:26" ht="15.75" customHeight="1" x14ac:dyDescent="0.25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spans="1:26" ht="15.75" customHeight="1" x14ac:dyDescent="0.25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spans="1:26" ht="15.75" customHeight="1" x14ac:dyDescent="0.25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spans="1:26" ht="15.75" customHeight="1" x14ac:dyDescent="0.25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spans="1:26" ht="15.75" customHeight="1" x14ac:dyDescent="0.25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spans="1:26" ht="15.75" customHeight="1" x14ac:dyDescent="0.25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spans="1:26" ht="15.75" customHeight="1" x14ac:dyDescent="0.25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spans="1:26" ht="15.75" customHeight="1" x14ac:dyDescent="0.25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spans="1:26" ht="15.75" customHeight="1" x14ac:dyDescent="0.25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spans="1:26" ht="15.75" customHeight="1" x14ac:dyDescent="0.2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spans="1:26" ht="15.75" customHeight="1" x14ac:dyDescent="0.25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spans="1:26" ht="15.75" customHeight="1" x14ac:dyDescent="0.25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spans="1:26" ht="15.75" customHeight="1" x14ac:dyDescent="0.25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spans="1:26" ht="15.75" customHeight="1" x14ac:dyDescent="0.25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spans="1:26" ht="15.75" customHeight="1" x14ac:dyDescent="0.25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spans="1:26" ht="15.75" customHeight="1" x14ac:dyDescent="0.25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spans="1:26" ht="15.75" customHeight="1" x14ac:dyDescent="0.25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spans="1:26" ht="15.75" customHeight="1" x14ac:dyDescent="0.25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spans="1:26" ht="15.75" customHeight="1" x14ac:dyDescent="0.25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spans="1:26" ht="15.75" customHeight="1" x14ac:dyDescent="0.2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spans="1:26" ht="15.75" customHeight="1" x14ac:dyDescent="0.25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spans="1:26" ht="15.75" customHeight="1" x14ac:dyDescent="0.25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spans="1:26" ht="15.75" customHeight="1" x14ac:dyDescent="0.25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spans="1:26" ht="15.75" customHeight="1" x14ac:dyDescent="0.25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spans="1:26" ht="15.75" customHeight="1" x14ac:dyDescent="0.25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spans="1:26" ht="15.75" customHeight="1" x14ac:dyDescent="0.25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spans="1:26" ht="15.75" customHeight="1" x14ac:dyDescent="0.25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spans="1:26" ht="15.75" customHeight="1" x14ac:dyDescent="0.25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spans="1:26" ht="15.75" customHeight="1" x14ac:dyDescent="0.25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spans="1:26" ht="15.75" customHeight="1" x14ac:dyDescent="0.2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spans="1:26" ht="15.75" customHeight="1" x14ac:dyDescent="0.25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spans="1:26" ht="15.75" customHeight="1" x14ac:dyDescent="0.25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spans="1:26" ht="15.75" customHeight="1" x14ac:dyDescent="0.25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spans="1:26" ht="15.75" customHeight="1" x14ac:dyDescent="0.25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spans="1:26" ht="15.75" customHeight="1" x14ac:dyDescent="0.25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spans="1:26" ht="15.75" customHeight="1" x14ac:dyDescent="0.25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spans="1:26" ht="15.75" customHeight="1" x14ac:dyDescent="0.25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spans="1:26" ht="15.75" customHeight="1" x14ac:dyDescent="0.25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spans="1:26" ht="15.75" customHeight="1" x14ac:dyDescent="0.25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spans="1:26" ht="15.75" customHeight="1" x14ac:dyDescent="0.2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spans="1:26" ht="15.75" customHeight="1" x14ac:dyDescent="0.25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spans="1:26" ht="15.75" customHeight="1" x14ac:dyDescent="0.25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spans="1:26" ht="15.75" customHeight="1" x14ac:dyDescent="0.25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spans="1:26" ht="15.75" customHeight="1" x14ac:dyDescent="0.25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spans="1:26" ht="15.75" customHeight="1" x14ac:dyDescent="0.25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spans="1:26" ht="15.75" customHeight="1" x14ac:dyDescent="0.25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spans="1:26" ht="15.75" customHeight="1" x14ac:dyDescent="0.25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spans="1:26" ht="15.75" customHeight="1" x14ac:dyDescent="0.25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spans="1:26" ht="15.75" customHeight="1" x14ac:dyDescent="0.25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spans="1:26" ht="15.75" customHeight="1" x14ac:dyDescent="0.2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spans="1:26" ht="15.75" customHeight="1" x14ac:dyDescent="0.25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spans="1:26" ht="15.75" customHeight="1" x14ac:dyDescent="0.25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spans="1:26" ht="15.75" customHeight="1" x14ac:dyDescent="0.25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spans="1:26" ht="15.75" customHeight="1" x14ac:dyDescent="0.25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spans="1:26" ht="15.75" customHeight="1" x14ac:dyDescent="0.25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spans="1:26" ht="15.75" customHeight="1" x14ac:dyDescent="0.25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spans="1:26" ht="15.75" customHeight="1" x14ac:dyDescent="0.25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spans="1:26" ht="15.75" customHeight="1" x14ac:dyDescent="0.25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spans="1:26" ht="15.75" customHeight="1" x14ac:dyDescent="0.25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spans="1:26" ht="15.75" customHeight="1" x14ac:dyDescent="0.2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spans="1:26" ht="15.75" customHeight="1" x14ac:dyDescent="0.25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spans="1:26" ht="15.75" customHeight="1" x14ac:dyDescent="0.25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spans="1:26" ht="15.75" customHeight="1" x14ac:dyDescent="0.25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spans="1:26" ht="15.75" customHeight="1" x14ac:dyDescent="0.25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spans="1:26" ht="15.75" customHeight="1" x14ac:dyDescent="0.25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spans="1:26" ht="15.75" customHeight="1" x14ac:dyDescent="0.25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spans="1:26" ht="15.75" customHeight="1" x14ac:dyDescent="0.25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spans="1:26" ht="15.75" customHeight="1" x14ac:dyDescent="0.25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spans="1:26" ht="15.75" customHeight="1" x14ac:dyDescent="0.25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spans="1:26" ht="15.75" customHeight="1" x14ac:dyDescent="0.2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spans="1:26" ht="15.75" customHeight="1" x14ac:dyDescent="0.25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 ht="15.75" customHeight="1" x14ac:dyDescent="0.25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spans="1:26" ht="15.75" customHeight="1" x14ac:dyDescent="0.25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spans="1:26" ht="15.75" customHeight="1" x14ac:dyDescent="0.25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spans="1:26" ht="15.75" customHeight="1" x14ac:dyDescent="0.25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spans="1:26" ht="15.75" customHeight="1" x14ac:dyDescent="0.25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spans="1:26" ht="15.75" customHeight="1" x14ac:dyDescent="0.25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spans="1:26" ht="15.75" customHeight="1" x14ac:dyDescent="0.25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spans="1:26" ht="15.75" customHeight="1" x14ac:dyDescent="0.25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spans="1:26" ht="15.75" customHeight="1" x14ac:dyDescent="0.2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spans="1:26" ht="15.75" customHeight="1" x14ac:dyDescent="0.25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spans="1:26" ht="15.75" customHeight="1" x14ac:dyDescent="0.25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spans="1:26" ht="15.75" customHeight="1" x14ac:dyDescent="0.25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spans="1:26" ht="15.75" customHeight="1" x14ac:dyDescent="0.25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spans="1:26" ht="15.75" customHeight="1" x14ac:dyDescent="0.25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spans="1:26" ht="15.75" customHeight="1" x14ac:dyDescent="0.25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spans="1:26" ht="15.75" customHeight="1" x14ac:dyDescent="0.25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spans="1:26" ht="15.75" customHeight="1" x14ac:dyDescent="0.25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spans="1:26" ht="15.75" customHeight="1" x14ac:dyDescent="0.25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spans="1:26" ht="15.75" customHeight="1" x14ac:dyDescent="0.2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spans="1:26" ht="15.75" customHeight="1" x14ac:dyDescent="0.25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spans="1:26" ht="15.75" customHeight="1" x14ac:dyDescent="0.25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spans="1:26" ht="15.75" customHeight="1" x14ac:dyDescent="0.25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spans="1:26" ht="15.75" customHeight="1" x14ac:dyDescent="0.25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spans="1:26" ht="15.75" customHeight="1" x14ac:dyDescent="0.25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spans="1:26" ht="15.75" customHeight="1" x14ac:dyDescent="0.25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 ht="15.75" customHeight="1" x14ac:dyDescent="0.25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spans="1:26" ht="15.75" customHeight="1" x14ac:dyDescent="0.25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spans="1:26" ht="15.75" customHeight="1" x14ac:dyDescent="0.25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spans="1:26" ht="15.75" customHeight="1" x14ac:dyDescent="0.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spans="1:26" ht="15.75" customHeight="1" x14ac:dyDescent="0.25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spans="1:26" ht="15.75" customHeight="1" x14ac:dyDescent="0.25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spans="1:26" ht="15.75" customHeight="1" x14ac:dyDescent="0.25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spans="1:26" ht="15.75" customHeight="1" x14ac:dyDescent="0.25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spans="1:26" ht="15.75" customHeight="1" x14ac:dyDescent="0.25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spans="1:26" ht="15.75" customHeight="1" x14ac:dyDescent="0.25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spans="1:26" ht="15.75" customHeight="1" x14ac:dyDescent="0.25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spans="1:26" ht="15.75" customHeight="1" x14ac:dyDescent="0.25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spans="1:26" ht="15.75" customHeight="1" x14ac:dyDescent="0.25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spans="1:26" ht="15.75" customHeight="1" x14ac:dyDescent="0.2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spans="1:26" ht="15.75" customHeight="1" x14ac:dyDescent="0.25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spans="1:26" ht="15.75" customHeight="1" x14ac:dyDescent="0.25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spans="1:26" ht="15.75" customHeight="1" x14ac:dyDescent="0.25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spans="1:26" ht="15.75" customHeight="1" x14ac:dyDescent="0.25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spans="1:26" ht="15.75" customHeight="1" x14ac:dyDescent="0.25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spans="1:26" ht="15.75" customHeight="1" x14ac:dyDescent="0.25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spans="1:26" ht="15.75" customHeight="1" x14ac:dyDescent="0.25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spans="1:26" ht="15.75" customHeight="1" x14ac:dyDescent="0.25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spans="1:26" ht="15.75" customHeight="1" x14ac:dyDescent="0.25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spans="1:26" ht="15.75" customHeight="1" x14ac:dyDescent="0.2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spans="1:26" ht="15.75" customHeight="1" x14ac:dyDescent="0.25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 ht="15.75" customHeight="1" x14ac:dyDescent="0.25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spans="1:26" ht="15.75" customHeight="1" x14ac:dyDescent="0.25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spans="1:26" ht="15.75" customHeight="1" x14ac:dyDescent="0.25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spans="1:26" ht="15.75" customHeight="1" x14ac:dyDescent="0.25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spans="1:26" ht="15.75" customHeight="1" x14ac:dyDescent="0.25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spans="1:26" ht="15.75" customHeight="1" x14ac:dyDescent="0.25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spans="1:26" ht="15.75" customHeight="1" x14ac:dyDescent="0.25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spans="1:26" ht="15.75" customHeight="1" x14ac:dyDescent="0.25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spans="1:26" ht="15.75" customHeight="1" x14ac:dyDescent="0.2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spans="1:26" ht="15.75" customHeight="1" x14ac:dyDescent="0.25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spans="1:26" ht="15.75" customHeight="1" x14ac:dyDescent="0.25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spans="1:26" ht="15.75" customHeight="1" x14ac:dyDescent="0.25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spans="1:26" ht="15.75" customHeight="1" x14ac:dyDescent="0.25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spans="1:26" ht="15.75" customHeight="1" x14ac:dyDescent="0.25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spans="1:26" ht="15.75" customHeight="1" x14ac:dyDescent="0.25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spans="1:26" ht="15.75" customHeight="1" x14ac:dyDescent="0.25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spans="1:26" ht="15.75" customHeight="1" x14ac:dyDescent="0.25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spans="1:26" ht="15.75" customHeight="1" x14ac:dyDescent="0.25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spans="1:26" ht="15.75" customHeight="1" x14ac:dyDescent="0.2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spans="1:26" ht="15.75" customHeight="1" x14ac:dyDescent="0.25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spans="1:26" ht="15.75" customHeight="1" x14ac:dyDescent="0.25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spans="1:26" ht="15.75" customHeight="1" x14ac:dyDescent="0.25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spans="1:26" ht="15.75" customHeight="1" x14ac:dyDescent="0.25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spans="1:26" ht="15.75" customHeight="1" x14ac:dyDescent="0.25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spans="1:26" ht="15.75" customHeight="1" x14ac:dyDescent="0.25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 ht="15.75" customHeight="1" x14ac:dyDescent="0.25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spans="1:26" ht="15.75" customHeight="1" x14ac:dyDescent="0.25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spans="1:26" ht="15.75" customHeight="1" x14ac:dyDescent="0.25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spans="1:26" ht="15.75" customHeight="1" x14ac:dyDescent="0.2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spans="1:26" ht="15.75" customHeight="1" x14ac:dyDescent="0.25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spans="1:26" ht="15.75" customHeight="1" x14ac:dyDescent="0.25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spans="1:26" ht="15.75" customHeight="1" x14ac:dyDescent="0.25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spans="1:26" ht="15.75" customHeight="1" x14ac:dyDescent="0.25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spans="1:26" ht="15.75" customHeight="1" x14ac:dyDescent="0.25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spans="1:26" ht="15.75" customHeight="1" x14ac:dyDescent="0.25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spans="1:26" ht="15.75" customHeight="1" x14ac:dyDescent="0.25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spans="1:26" ht="15.75" customHeight="1" x14ac:dyDescent="0.25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spans="1:26" ht="15.75" customHeight="1" x14ac:dyDescent="0.25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spans="1:26" ht="15.75" customHeight="1" x14ac:dyDescent="0.2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spans="1:26" ht="15.75" customHeight="1" x14ac:dyDescent="0.25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spans="1:26" ht="15.75" customHeight="1" x14ac:dyDescent="0.25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spans="1:26" ht="15.75" customHeight="1" x14ac:dyDescent="0.25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spans="1:26" ht="15.75" customHeight="1" x14ac:dyDescent="0.25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spans="1:26" ht="15.75" customHeight="1" x14ac:dyDescent="0.25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spans="1:26" ht="15.75" customHeight="1" x14ac:dyDescent="0.25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spans="1:26" ht="15.75" customHeight="1" x14ac:dyDescent="0.25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spans="1:26" ht="15.75" customHeight="1" x14ac:dyDescent="0.25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spans="1:26" ht="15.75" customHeight="1" x14ac:dyDescent="0.25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spans="1:26" ht="15.75" customHeight="1" x14ac:dyDescent="0.2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spans="1:26" ht="15.75" customHeight="1" x14ac:dyDescent="0.25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 ht="15.75" customHeight="1" x14ac:dyDescent="0.25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spans="1:26" ht="15.75" customHeight="1" x14ac:dyDescent="0.25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spans="1:26" ht="15.75" customHeight="1" x14ac:dyDescent="0.25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spans="1:26" ht="15.75" customHeight="1" x14ac:dyDescent="0.25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spans="1:26" ht="15.75" customHeight="1" x14ac:dyDescent="0.25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spans="1:26" ht="15.75" customHeight="1" x14ac:dyDescent="0.25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spans="1:26" ht="15.75" customHeight="1" x14ac:dyDescent="0.25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spans="1:26" ht="15.75" customHeight="1" x14ac:dyDescent="0.25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spans="1:26" ht="15.75" customHeight="1" x14ac:dyDescent="0.2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spans="1:26" ht="15.75" customHeight="1" x14ac:dyDescent="0.25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spans="1:26" ht="15.75" customHeight="1" x14ac:dyDescent="0.25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spans="1:26" ht="15.75" customHeight="1" x14ac:dyDescent="0.25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spans="1:26" ht="15.75" customHeight="1" x14ac:dyDescent="0.25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spans="1:26" ht="15.75" customHeight="1" x14ac:dyDescent="0.25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spans="1:26" ht="15.75" customHeight="1" x14ac:dyDescent="0.25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spans="1:26" ht="15.75" customHeight="1" x14ac:dyDescent="0.25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spans="1:26" ht="15.75" customHeight="1" x14ac:dyDescent="0.25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spans="1:26" ht="15.75" customHeight="1" x14ac:dyDescent="0.25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spans="1:26" ht="15.75" customHeight="1" x14ac:dyDescent="0.2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spans="1:26" ht="15.75" customHeight="1" x14ac:dyDescent="0.25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spans="1:26" ht="15.75" customHeight="1" x14ac:dyDescent="0.25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spans="1:26" ht="15.75" customHeight="1" x14ac:dyDescent="0.25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spans="1:26" ht="15.75" customHeight="1" x14ac:dyDescent="0.25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spans="1:26" ht="15.75" customHeight="1" x14ac:dyDescent="0.25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spans="1:26" ht="15.75" customHeight="1" x14ac:dyDescent="0.25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spans="1:26" ht="15.75" customHeight="1" x14ac:dyDescent="0.25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spans="1:26" ht="15.75" customHeight="1" x14ac:dyDescent="0.25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spans="1:26" ht="15.75" customHeight="1" x14ac:dyDescent="0.25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spans="1:26" ht="15.75" customHeight="1" x14ac:dyDescent="0.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spans="1:26" ht="15.75" customHeight="1" x14ac:dyDescent="0.25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spans="1:26" ht="15.75" customHeight="1" x14ac:dyDescent="0.25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spans="1:26" ht="15.75" customHeight="1" x14ac:dyDescent="0.25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spans="1:26" ht="15.75" customHeight="1" x14ac:dyDescent="0.25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spans="1:26" ht="15.75" customHeight="1" x14ac:dyDescent="0.25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spans="1:26" ht="15.75" customHeight="1" x14ac:dyDescent="0.25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spans="1:26" ht="15.75" customHeight="1" x14ac:dyDescent="0.25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spans="1:26" ht="15.75" customHeight="1" x14ac:dyDescent="0.25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spans="1:26" ht="15.75" customHeight="1" x14ac:dyDescent="0.25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spans="1:26" ht="15.75" customHeight="1" x14ac:dyDescent="0.2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spans="1:26" ht="15.75" customHeight="1" x14ac:dyDescent="0.25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spans="1:26" ht="15.75" customHeight="1" x14ac:dyDescent="0.25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spans="1:26" ht="15.75" customHeight="1" x14ac:dyDescent="0.25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spans="1:26" ht="15.75" customHeight="1" x14ac:dyDescent="0.25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spans="1:26" ht="15.75" customHeight="1" x14ac:dyDescent="0.25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spans="1:26" ht="15.75" customHeight="1" x14ac:dyDescent="0.25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spans="1:26" ht="15.75" customHeight="1" x14ac:dyDescent="0.25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spans="1:26" ht="15.75" customHeight="1" x14ac:dyDescent="0.25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spans="1:26" ht="15.75" customHeight="1" x14ac:dyDescent="0.25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spans="1:26" ht="15.75" customHeight="1" x14ac:dyDescent="0.2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spans="1:26" ht="15.75" customHeight="1" x14ac:dyDescent="0.25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spans="1:26" ht="15.75" customHeight="1" x14ac:dyDescent="0.25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spans="1:26" ht="15.75" customHeight="1" x14ac:dyDescent="0.25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spans="1:26" ht="15.75" customHeight="1" x14ac:dyDescent="0.25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spans="1:26" ht="15.75" customHeight="1" x14ac:dyDescent="0.25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spans="1:26" ht="15.75" customHeight="1" x14ac:dyDescent="0.25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spans="1:26" ht="15.75" customHeight="1" x14ac:dyDescent="0.25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spans="1:26" ht="15.75" customHeight="1" x14ac:dyDescent="0.25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spans="1:26" ht="15.75" customHeight="1" x14ac:dyDescent="0.25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spans="1:26" ht="15.75" customHeight="1" x14ac:dyDescent="0.2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spans="1:26" ht="15.75" customHeight="1" x14ac:dyDescent="0.25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spans="1:26" ht="15.75" customHeight="1" x14ac:dyDescent="0.25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spans="1:26" ht="15.75" customHeight="1" x14ac:dyDescent="0.25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spans="1:26" ht="15.75" customHeight="1" x14ac:dyDescent="0.25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spans="1:26" ht="15.75" customHeight="1" x14ac:dyDescent="0.25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spans="1:26" ht="15.75" customHeight="1" x14ac:dyDescent="0.25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spans="1:26" ht="15.75" customHeight="1" x14ac:dyDescent="0.25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spans="1:26" ht="15.75" customHeight="1" x14ac:dyDescent="0.25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spans="1:26" ht="15.75" customHeight="1" x14ac:dyDescent="0.25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spans="1:26" ht="15.75" customHeight="1" x14ac:dyDescent="0.2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spans="1:26" ht="15.75" customHeight="1" x14ac:dyDescent="0.25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spans="1:26" ht="15.75" customHeight="1" x14ac:dyDescent="0.25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spans="1:26" ht="15.75" customHeight="1" x14ac:dyDescent="0.25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spans="1:26" ht="15.75" customHeight="1" x14ac:dyDescent="0.25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spans="1:26" ht="15.75" customHeight="1" x14ac:dyDescent="0.25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spans="1:26" ht="15.75" customHeight="1" x14ac:dyDescent="0.25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spans="1:26" ht="15.75" customHeight="1" x14ac:dyDescent="0.25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spans="1:26" ht="15.75" customHeight="1" x14ac:dyDescent="0.25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spans="1:26" ht="15.75" customHeight="1" x14ac:dyDescent="0.25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spans="1:26" ht="15.75" customHeight="1" x14ac:dyDescent="0.2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spans="1:26" ht="15.75" customHeight="1" x14ac:dyDescent="0.25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spans="1:26" ht="15.75" customHeight="1" x14ac:dyDescent="0.25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spans="1:26" ht="15.75" customHeight="1" x14ac:dyDescent="0.25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spans="1:26" ht="15.75" customHeight="1" x14ac:dyDescent="0.25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spans="1:26" ht="15.75" customHeight="1" x14ac:dyDescent="0.25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spans="1:26" ht="15.75" customHeight="1" x14ac:dyDescent="0.25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spans="1:26" ht="15.75" customHeight="1" x14ac:dyDescent="0.25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spans="1:26" ht="15.75" customHeight="1" x14ac:dyDescent="0.25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spans="1:26" ht="15.75" customHeight="1" x14ac:dyDescent="0.25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spans="1:26" ht="15.75" customHeight="1" x14ac:dyDescent="0.2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spans="1:26" ht="15.75" customHeight="1" x14ac:dyDescent="0.25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spans="1:26" ht="15.75" customHeight="1" x14ac:dyDescent="0.25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spans="1:26" ht="15.75" customHeight="1" x14ac:dyDescent="0.25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spans="1:26" ht="15.75" customHeight="1" x14ac:dyDescent="0.25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spans="1:26" ht="15.75" customHeight="1" x14ac:dyDescent="0.25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spans="1:26" ht="15.75" customHeight="1" x14ac:dyDescent="0.25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spans="1:26" ht="15.75" customHeight="1" x14ac:dyDescent="0.25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spans="1:26" ht="15.75" customHeight="1" x14ac:dyDescent="0.25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spans="1:26" ht="15.75" customHeight="1" x14ac:dyDescent="0.25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spans="1:26" ht="15.75" customHeight="1" x14ac:dyDescent="0.2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spans="1:26" ht="15.75" customHeight="1" x14ac:dyDescent="0.25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spans="1:26" ht="15.75" customHeight="1" x14ac:dyDescent="0.25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spans="1:26" ht="15.75" customHeight="1" x14ac:dyDescent="0.25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spans="1:26" ht="15.75" customHeight="1" x14ac:dyDescent="0.25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spans="1:26" ht="15.75" customHeight="1" x14ac:dyDescent="0.25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spans="1:26" ht="15.75" customHeight="1" x14ac:dyDescent="0.25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spans="1:26" ht="15.75" customHeight="1" x14ac:dyDescent="0.25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spans="1:26" ht="15.75" customHeight="1" x14ac:dyDescent="0.25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spans="1:26" ht="15.75" customHeight="1" x14ac:dyDescent="0.25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spans="1:26" ht="15.75" customHeight="1" x14ac:dyDescent="0.2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spans="1:26" ht="15.75" customHeight="1" x14ac:dyDescent="0.25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spans="1:26" ht="15.75" customHeight="1" x14ac:dyDescent="0.25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spans="1:26" ht="15.75" customHeight="1" x14ac:dyDescent="0.25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spans="1:26" ht="15.75" customHeight="1" x14ac:dyDescent="0.25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spans="1:26" ht="15.75" customHeight="1" x14ac:dyDescent="0.25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spans="1:26" ht="15.75" customHeight="1" x14ac:dyDescent="0.25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spans="1:26" ht="15.75" customHeight="1" x14ac:dyDescent="0.25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spans="1:26" ht="15.75" customHeight="1" x14ac:dyDescent="0.25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spans="1:26" ht="15.75" customHeight="1" x14ac:dyDescent="0.25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spans="1:26" ht="15.75" customHeight="1" x14ac:dyDescent="0.2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spans="1:26" ht="15.75" customHeight="1" x14ac:dyDescent="0.25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spans="1:26" ht="15.75" customHeight="1" x14ac:dyDescent="0.25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spans="1:26" ht="15.75" customHeight="1" x14ac:dyDescent="0.25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spans="1:26" ht="15.75" customHeight="1" x14ac:dyDescent="0.25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spans="1:26" ht="15.75" customHeight="1" x14ac:dyDescent="0.25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spans="1:26" ht="15.75" customHeight="1" x14ac:dyDescent="0.25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spans="1:26" ht="15.75" customHeight="1" x14ac:dyDescent="0.25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spans="1:26" ht="15.75" customHeight="1" x14ac:dyDescent="0.25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spans="1:26" ht="15.75" customHeight="1" x14ac:dyDescent="0.25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spans="1:26" ht="15.75" customHeight="1" x14ac:dyDescent="0.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spans="1:26" ht="15.75" customHeight="1" x14ac:dyDescent="0.25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spans="1:26" ht="15.75" customHeight="1" x14ac:dyDescent="0.25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spans="1:26" ht="15.75" customHeight="1" x14ac:dyDescent="0.25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spans="1:26" ht="15.75" customHeight="1" x14ac:dyDescent="0.25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spans="1:26" ht="15.75" customHeight="1" x14ac:dyDescent="0.25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spans="1:26" ht="15.75" customHeight="1" x14ac:dyDescent="0.25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spans="1:26" ht="15.75" customHeight="1" x14ac:dyDescent="0.25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spans="1:26" ht="15.75" customHeight="1" x14ac:dyDescent="0.25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spans="1:26" ht="15.75" customHeight="1" x14ac:dyDescent="0.25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spans="1:26" ht="15.75" customHeight="1" x14ac:dyDescent="0.2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spans="1:26" ht="15.75" customHeight="1" x14ac:dyDescent="0.25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spans="1:26" ht="15.75" customHeight="1" x14ac:dyDescent="0.25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spans="1:26" ht="15.75" customHeight="1" x14ac:dyDescent="0.25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spans="1:26" ht="15.75" customHeight="1" x14ac:dyDescent="0.25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spans="1:26" ht="15.75" customHeight="1" x14ac:dyDescent="0.25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spans="1:26" ht="15.75" customHeight="1" x14ac:dyDescent="0.25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spans="1:26" ht="15.75" customHeight="1" x14ac:dyDescent="0.25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spans="1:26" ht="15.75" customHeight="1" x14ac:dyDescent="0.25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spans="1:26" ht="15.75" customHeight="1" x14ac:dyDescent="0.25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spans="1:26" ht="15.75" customHeight="1" x14ac:dyDescent="0.2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spans="1:26" ht="15.75" customHeight="1" x14ac:dyDescent="0.25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spans="1:26" ht="15.75" customHeight="1" x14ac:dyDescent="0.25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spans="1:26" ht="15.75" customHeight="1" x14ac:dyDescent="0.25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spans="1:26" ht="15.75" customHeight="1" x14ac:dyDescent="0.25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spans="1:26" ht="15.75" customHeight="1" x14ac:dyDescent="0.25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spans="1:26" ht="15.75" customHeight="1" x14ac:dyDescent="0.25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spans="1:26" ht="15.75" customHeight="1" x14ac:dyDescent="0.25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spans="1:26" ht="15.75" customHeight="1" x14ac:dyDescent="0.25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spans="1:26" ht="15.75" customHeight="1" x14ac:dyDescent="0.25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spans="1:26" ht="15.75" customHeight="1" x14ac:dyDescent="0.2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spans="1:26" ht="15.75" customHeight="1" x14ac:dyDescent="0.25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spans="1:26" ht="15.75" customHeight="1" x14ac:dyDescent="0.25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spans="1:26" ht="15.75" customHeight="1" x14ac:dyDescent="0.25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spans="1:26" ht="15.75" customHeight="1" x14ac:dyDescent="0.25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spans="1:26" ht="15.75" customHeight="1" x14ac:dyDescent="0.25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spans="1:26" ht="15.75" customHeight="1" x14ac:dyDescent="0.25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spans="1:26" ht="15.75" customHeight="1" x14ac:dyDescent="0.25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spans="1:26" ht="15.75" customHeight="1" x14ac:dyDescent="0.25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spans="1:26" ht="15.75" customHeight="1" x14ac:dyDescent="0.25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spans="1:26" ht="15.75" customHeight="1" x14ac:dyDescent="0.2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spans="1:26" ht="15.75" customHeight="1" x14ac:dyDescent="0.25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spans="1:26" ht="15.75" customHeight="1" x14ac:dyDescent="0.25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spans="1:26" ht="15.75" customHeight="1" x14ac:dyDescent="0.25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spans="1:26" ht="15.75" customHeight="1" x14ac:dyDescent="0.25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spans="1:26" ht="15.75" customHeight="1" x14ac:dyDescent="0.25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spans="1:26" ht="15.75" customHeight="1" x14ac:dyDescent="0.25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spans="1:26" ht="15.75" customHeight="1" x14ac:dyDescent="0.25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spans="1:26" ht="15.75" customHeight="1" x14ac:dyDescent="0.25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spans="1:26" ht="15.75" customHeight="1" x14ac:dyDescent="0.25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spans="1:26" ht="15.75" customHeight="1" x14ac:dyDescent="0.2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spans="1:26" ht="15.75" customHeight="1" x14ac:dyDescent="0.25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spans="1:26" ht="15.75" customHeight="1" x14ac:dyDescent="0.25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spans="1:26" ht="15.75" customHeight="1" x14ac:dyDescent="0.25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spans="1:26" ht="15.75" customHeight="1" x14ac:dyDescent="0.25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spans="1:26" ht="15.75" customHeight="1" x14ac:dyDescent="0.25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spans="1:26" ht="15.75" customHeight="1" x14ac:dyDescent="0.25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spans="1:26" ht="15.75" customHeight="1" x14ac:dyDescent="0.25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spans="1:26" ht="15.75" customHeight="1" x14ac:dyDescent="0.25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spans="1:26" ht="15.75" customHeight="1" x14ac:dyDescent="0.25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spans="1:26" ht="15.75" customHeight="1" x14ac:dyDescent="0.2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spans="1:26" ht="15.75" customHeight="1" x14ac:dyDescent="0.25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spans="1:26" ht="15.75" customHeight="1" x14ac:dyDescent="0.25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spans="1:26" ht="15.75" customHeight="1" x14ac:dyDescent="0.25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spans="1:26" ht="15.75" customHeight="1" x14ac:dyDescent="0.25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spans="1:26" ht="15.75" customHeight="1" x14ac:dyDescent="0.25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spans="1:26" ht="15.75" customHeight="1" x14ac:dyDescent="0.25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spans="1:26" ht="15.75" customHeight="1" x14ac:dyDescent="0.25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spans="1:26" ht="15.75" customHeight="1" x14ac:dyDescent="0.25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spans="1:26" ht="15.75" customHeight="1" x14ac:dyDescent="0.25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spans="1:26" ht="15.75" customHeight="1" x14ac:dyDescent="0.25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spans="1:26" ht="15.75" customHeight="1" x14ac:dyDescent="0.25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spans="1:26" ht="15.75" customHeight="1" x14ac:dyDescent="0.25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spans="1:26" ht="15.75" customHeight="1" x14ac:dyDescent="0.25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spans="1:26" ht="15.75" customHeight="1" x14ac:dyDescent="0.25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spans="1:26" x14ac:dyDescent="0.25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conditionalFormatting sqref="H3:H4">
    <cfRule type="containsText" dxfId="575" priority="113" operator="containsText" text="AL DIA">
      <formula>NOT(ISERROR(SEARCH(("AL DIA"),(H3))))</formula>
    </cfRule>
  </conditionalFormatting>
  <conditionalFormatting sqref="H3:H4">
    <cfRule type="containsText" dxfId="574" priority="114" operator="containsText" text="PENDIENTE">
      <formula>NOT(ISERROR(SEARCH(("PENDIENTE"),(H3))))</formula>
    </cfRule>
  </conditionalFormatting>
  <conditionalFormatting sqref="I2">
    <cfRule type="containsText" dxfId="573" priority="115" operator="containsText" text="AL DIA">
      <formula>NOT(ISERROR(SEARCH(("AL DIA"),(I2))))</formula>
    </cfRule>
  </conditionalFormatting>
  <conditionalFormatting sqref="I2">
    <cfRule type="containsText" dxfId="572" priority="116" operator="containsText" text="PENDIENTE">
      <formula>NOT(ISERROR(SEARCH(("PENDIENTE"),(I2))))</formula>
    </cfRule>
  </conditionalFormatting>
  <conditionalFormatting sqref="I5:I7">
    <cfRule type="containsText" dxfId="571" priority="117" operator="containsText" text="AL DIA">
      <formula>NOT(ISERROR(SEARCH(("AL DIA"),(I5))))</formula>
    </cfRule>
  </conditionalFormatting>
  <conditionalFormatting sqref="I5:I7">
    <cfRule type="containsText" dxfId="570" priority="118" operator="containsText" text="PENDIENTE">
      <formula>NOT(ISERROR(SEARCH(("PENDIENTE"),(I5))))</formula>
    </cfRule>
  </conditionalFormatting>
  <conditionalFormatting sqref="J9:J15">
    <cfRule type="containsText" dxfId="569" priority="119" operator="containsText" text="AL DIA">
      <formula>NOT(ISERROR(SEARCH(("AL DIA"),(J9))))</formula>
    </cfRule>
  </conditionalFormatting>
  <conditionalFormatting sqref="J9:J15">
    <cfRule type="containsText" dxfId="568" priority="120" operator="containsText" text="PENDIENTE">
      <formula>NOT(ISERROR(SEARCH(("PENDIENTE"),(J9))))</formula>
    </cfRule>
  </conditionalFormatting>
  <conditionalFormatting sqref="M3:M4">
    <cfRule type="containsText" dxfId="567" priority="121" operator="containsText" text="RETIRADO">
      <formula>NOT(ISERROR(SEARCH(("RETIRADO"),(M3))))</formula>
    </cfRule>
  </conditionalFormatting>
  <conditionalFormatting sqref="M3:M4">
    <cfRule type="containsText" dxfId="566" priority="122" operator="containsText" text="ACTIVO">
      <formula>NOT(ISERROR(SEARCH(("ACTIVO"),(M3))))</formula>
    </cfRule>
  </conditionalFormatting>
  <conditionalFormatting sqref="N2">
    <cfRule type="containsText" dxfId="565" priority="123" operator="containsText" text="RETIRADO">
      <formula>NOT(ISERROR(SEARCH(("RETIRADO"),(N2))))</formula>
    </cfRule>
  </conditionalFormatting>
  <conditionalFormatting sqref="N2">
    <cfRule type="containsText" dxfId="564" priority="124" operator="containsText" text="ACTIVO">
      <formula>NOT(ISERROR(SEARCH(("ACTIVO"),(N2))))</formula>
    </cfRule>
  </conditionalFormatting>
  <conditionalFormatting sqref="N5:N6">
    <cfRule type="containsText" dxfId="563" priority="125" operator="containsText" text="RETIRADO">
      <formula>NOT(ISERROR(SEARCH(("RETIRADO"),(N5))))</formula>
    </cfRule>
  </conditionalFormatting>
  <conditionalFormatting sqref="N5:N6">
    <cfRule type="containsText" dxfId="562" priority="126" operator="containsText" text="ACTIVO">
      <formula>NOT(ISERROR(SEARCH(("ACTIVO"),(N5))))</formula>
    </cfRule>
  </conditionalFormatting>
  <conditionalFormatting sqref="O9:O10">
    <cfRule type="containsText" dxfId="561" priority="127" operator="containsText" text="RETIRADO">
      <formula>NOT(ISERROR(SEARCH(("RETIRADO"),(O9))))</formula>
    </cfRule>
  </conditionalFormatting>
  <conditionalFormatting sqref="O9:O10">
    <cfRule type="containsText" dxfId="560" priority="128" operator="containsText" text="ACTIVO">
      <formula>NOT(ISERROR(SEARCH(("ACTIVO"),(O9))))</formula>
    </cfRule>
  </conditionalFormatting>
  <conditionalFormatting sqref="O13:O15">
    <cfRule type="containsText" dxfId="559" priority="129" operator="containsText" text="RETIRADO">
      <formula>NOT(ISERROR(SEARCH(("RETIRADO"),(O13))))</formula>
    </cfRule>
  </conditionalFormatting>
  <conditionalFormatting sqref="O13:O15">
    <cfRule type="containsText" dxfId="558" priority="130" operator="containsText" text="ACTIVO">
      <formula>NOT(ISERROR(SEARCH(("ACTIVO"),(O13))))</formula>
    </cfRule>
  </conditionalFormatting>
  <conditionalFormatting sqref="F18">
    <cfRule type="containsText" dxfId="557" priority="131" operator="containsText" text="AL DIA">
      <formula>NOT(ISERROR(SEARCH(("AL DIA"),(F18))))</formula>
    </cfRule>
  </conditionalFormatting>
  <conditionalFormatting sqref="F18">
    <cfRule type="containsText" dxfId="556" priority="132" operator="containsText" text="PENDIENTE">
      <formula>NOT(ISERROR(SEARCH(("PENDIENTE"),(F18))))</formula>
    </cfRule>
  </conditionalFormatting>
  <conditionalFormatting sqref="K18">
    <cfRule type="containsText" dxfId="555" priority="133" operator="containsText" text="RETIRADO">
      <formula>NOT(ISERROR(SEARCH(("RETIRADO"),(K18))))</formula>
    </cfRule>
  </conditionalFormatting>
  <conditionalFormatting sqref="K18">
    <cfRule type="containsText" dxfId="554" priority="134" operator="containsText" text="ACTIVO">
      <formula>NOT(ISERROR(SEARCH(("ACTIVO"),(K18))))</formula>
    </cfRule>
  </conditionalFormatting>
  <conditionalFormatting sqref="F19">
    <cfRule type="containsText" dxfId="553" priority="135" operator="containsText" text="AL DIA">
      <formula>NOT(ISERROR(SEARCH(("AL DIA"),(F19))))</formula>
    </cfRule>
  </conditionalFormatting>
  <conditionalFormatting sqref="F19">
    <cfRule type="containsText" dxfId="552" priority="136" operator="containsText" text="PENDIENTE">
      <formula>NOT(ISERROR(SEARCH(("PENDIENTE"),(F19))))</formula>
    </cfRule>
  </conditionalFormatting>
  <conditionalFormatting sqref="K19">
    <cfRule type="containsText" dxfId="551" priority="137" operator="containsText" text="RETIRADO">
      <formula>NOT(ISERROR(SEARCH(("RETIRADO"),(K19))))</formula>
    </cfRule>
  </conditionalFormatting>
  <conditionalFormatting sqref="K19">
    <cfRule type="containsText" dxfId="550" priority="138" operator="containsText" text="ACTIVO">
      <formula>NOT(ISERROR(SEARCH(("ACTIVO"),(K19))))</formula>
    </cfRule>
  </conditionalFormatting>
  <conditionalFormatting sqref="F20:F21">
    <cfRule type="containsText" dxfId="549" priority="139" operator="containsText" text="AL DIA">
      <formula>NOT(ISERROR(SEARCH(("AL DIA"),(F20))))</formula>
    </cfRule>
  </conditionalFormatting>
  <conditionalFormatting sqref="F20:F21">
    <cfRule type="containsText" dxfId="548" priority="140" operator="containsText" text="PENDIENTE">
      <formula>NOT(ISERROR(SEARCH(("PENDIENTE"),(F20))))</formula>
    </cfRule>
  </conditionalFormatting>
  <conditionalFormatting sqref="F22">
    <cfRule type="containsText" dxfId="547" priority="141" operator="containsText" text="AL DIA">
      <formula>NOT(ISERROR(SEARCH(("AL DIA"),(F22))))</formula>
    </cfRule>
  </conditionalFormatting>
  <conditionalFormatting sqref="F22">
    <cfRule type="containsText" dxfId="546" priority="142" operator="containsText" text="PENDIENTE">
      <formula>NOT(ISERROR(SEARCH(("PENDIENTE"),(F22))))</formula>
    </cfRule>
  </conditionalFormatting>
  <conditionalFormatting sqref="F23">
    <cfRule type="containsText" dxfId="545" priority="143" operator="containsText" text="AL DIA">
      <formula>NOT(ISERROR(SEARCH(("AL DIA"),(F23))))</formula>
    </cfRule>
  </conditionalFormatting>
  <conditionalFormatting sqref="F23">
    <cfRule type="containsText" dxfId="544" priority="144" operator="containsText" text="PENDIENTE">
      <formula>NOT(ISERROR(SEARCH(("PENDIENTE"),(F23))))</formula>
    </cfRule>
  </conditionalFormatting>
  <conditionalFormatting sqref="F24">
    <cfRule type="containsText" dxfId="543" priority="145" operator="containsText" text="AL DIA">
      <formula>NOT(ISERROR(SEARCH(("AL DIA"),(F24))))</formula>
    </cfRule>
  </conditionalFormatting>
  <conditionalFormatting sqref="F24">
    <cfRule type="containsText" dxfId="542" priority="146" operator="containsText" text="PENDIENTE">
      <formula>NOT(ISERROR(SEARCH(("PENDIENTE"),(F24))))</formula>
    </cfRule>
  </conditionalFormatting>
  <conditionalFormatting sqref="J25">
    <cfRule type="containsText" dxfId="541" priority="147" operator="containsText" text="AL DIA">
      <formula>NOT(ISERROR(SEARCH(("AL DIA"),(J25))))</formula>
    </cfRule>
  </conditionalFormatting>
  <conditionalFormatting sqref="J25">
    <cfRule type="containsText" dxfId="540" priority="148" operator="containsText" text="PENDIENTE">
      <formula>NOT(ISERROR(SEARCH(("PENDIENTE"),(J25))))</formula>
    </cfRule>
  </conditionalFormatting>
  <conditionalFormatting sqref="O25">
    <cfRule type="containsText" dxfId="539" priority="149" operator="containsText" text="RETIRADO">
      <formula>NOT(ISERROR(SEARCH(("RETIRADO"),(O25))))</formula>
    </cfRule>
  </conditionalFormatting>
  <conditionalFormatting sqref="O25">
    <cfRule type="containsText" dxfId="538" priority="150" operator="containsText" text="ACTIVO">
      <formula>NOT(ISERROR(SEARCH(("ACTIVO"),(O25))))</formula>
    </cfRule>
  </conditionalFormatting>
  <conditionalFormatting sqref="K26">
    <cfRule type="containsText" dxfId="537" priority="151" operator="containsText" text="AL DIA">
      <formula>NOT(ISERROR(SEARCH(("AL DIA"),(K26))))</formula>
    </cfRule>
  </conditionalFormatting>
  <conditionalFormatting sqref="K26">
    <cfRule type="containsText" dxfId="536" priority="152" operator="containsText" text="PENDIENTE">
      <formula>NOT(ISERROR(SEARCH(("PENDIENTE"),(K26))))</formula>
    </cfRule>
  </conditionalFormatting>
  <conditionalFormatting sqref="P26">
    <cfRule type="containsText" dxfId="535" priority="153" operator="containsText" text="RETIRADO">
      <formula>NOT(ISERROR(SEARCH(("RETIRADO"),(P26))))</formula>
    </cfRule>
  </conditionalFormatting>
  <conditionalFormatting sqref="P26">
    <cfRule type="containsText" dxfId="534" priority="154" operator="containsText" text="ACTIVO">
      <formula>NOT(ISERROR(SEARCH(("ACTIVO"),(P26))))</formula>
    </cfRule>
  </conditionalFormatting>
  <conditionalFormatting sqref="K27:K28">
    <cfRule type="containsText" dxfId="533" priority="155" operator="containsText" text="AL DIA">
      <formula>NOT(ISERROR(SEARCH(("AL DIA"),(K27))))</formula>
    </cfRule>
  </conditionalFormatting>
  <conditionalFormatting sqref="K27:K28">
    <cfRule type="containsText" dxfId="532" priority="156" operator="containsText" text="PENDIENTE">
      <formula>NOT(ISERROR(SEARCH(("PENDIENTE"),(K27))))</formula>
    </cfRule>
  </conditionalFormatting>
  <conditionalFormatting sqref="P27:P28">
    <cfRule type="containsText" dxfId="531" priority="157" operator="containsText" text="RETIRADO">
      <formula>NOT(ISERROR(SEARCH(("RETIRADO"),(P27))))</formula>
    </cfRule>
  </conditionalFormatting>
  <conditionalFormatting sqref="P27:P28">
    <cfRule type="containsText" dxfId="530" priority="158" operator="containsText" text="ACTIVO">
      <formula>NOT(ISERROR(SEARCH(("ACTIVO"),(P27))))</formula>
    </cfRule>
  </conditionalFormatting>
  <conditionalFormatting sqref="G29 O29">
    <cfRule type="containsText" dxfId="529" priority="159" operator="containsText" text="AL DIA">
      <formula>NOT(ISERROR(SEARCH(("AL DIA"),(G29))))</formula>
    </cfRule>
  </conditionalFormatting>
  <conditionalFormatting sqref="G29 O29">
    <cfRule type="containsText" dxfId="528" priority="160" operator="containsText" text="PENDIENTE">
      <formula>NOT(ISERROR(SEARCH(("PENDIENTE"),(G29))))</formula>
    </cfRule>
  </conditionalFormatting>
  <conditionalFormatting sqref="L29">
    <cfRule type="containsText" dxfId="527" priority="161" operator="containsText" text="RETIRADO">
      <formula>NOT(ISERROR(SEARCH(("RETIRADO"),(L29))))</formula>
    </cfRule>
  </conditionalFormatting>
  <conditionalFormatting sqref="L29">
    <cfRule type="containsText" dxfId="526" priority="162" operator="containsText" text="ACTIVO">
      <formula>NOT(ISERROR(SEARCH(("ACTIVO"),(L29))))</formula>
    </cfRule>
  </conditionalFormatting>
  <conditionalFormatting sqref="H30">
    <cfRule type="containsText" dxfId="525" priority="163" operator="containsText" text="AL DIA">
      <formula>NOT(ISERROR(SEARCH(("AL DIA"),(H30))))</formula>
    </cfRule>
  </conditionalFormatting>
  <conditionalFormatting sqref="H30">
    <cfRule type="containsText" dxfId="524" priority="164" operator="containsText" text="PENDIENTE">
      <formula>NOT(ISERROR(SEARCH(("PENDIENTE"),(H30))))</formula>
    </cfRule>
  </conditionalFormatting>
  <conditionalFormatting sqref="M30">
    <cfRule type="containsText" dxfId="523" priority="165" operator="containsText" text="RETIRADO">
      <formula>NOT(ISERROR(SEARCH(("RETIRADO"),(M30))))</formula>
    </cfRule>
  </conditionalFormatting>
  <conditionalFormatting sqref="M30">
    <cfRule type="containsText" dxfId="522" priority="166" operator="containsText" text="ACTIVO">
      <formula>NOT(ISERROR(SEARCH(("ACTIVO"),(M30))))</formula>
    </cfRule>
  </conditionalFormatting>
  <conditionalFormatting sqref="D31">
    <cfRule type="containsText" dxfId="521" priority="167" operator="containsText" text="AL DIA">
      <formula>NOT(ISERROR(SEARCH(("AL DIA"),(D31))))</formula>
    </cfRule>
  </conditionalFormatting>
  <conditionalFormatting sqref="D31">
    <cfRule type="containsText" dxfId="520" priority="168" operator="containsText" text="PENDIENTE">
      <formula>NOT(ISERROR(SEARCH(("PENDIENTE"),(D31))))</formula>
    </cfRule>
  </conditionalFormatting>
  <conditionalFormatting sqref="J32">
    <cfRule type="containsText" dxfId="519" priority="169" operator="containsText" text="AL DIA">
      <formula>NOT(ISERROR(SEARCH(("AL DIA"),(J32))))</formula>
    </cfRule>
  </conditionalFormatting>
  <conditionalFormatting sqref="J32">
    <cfRule type="containsText" dxfId="518" priority="170" operator="containsText" text="PENDIENTE">
      <formula>NOT(ISERROR(SEARCH(("PENDIENTE"),(J32))))</formula>
    </cfRule>
  </conditionalFormatting>
  <conditionalFormatting sqref="O32">
    <cfRule type="containsText" dxfId="517" priority="171" operator="containsText" text="RETIRADO">
      <formula>NOT(ISERROR(SEARCH(("RETIRADO"),(O32))))</formula>
    </cfRule>
  </conditionalFormatting>
  <conditionalFormatting sqref="O32">
    <cfRule type="containsText" dxfId="516" priority="172" operator="containsText" text="ACTIVO">
      <formula>NOT(ISERROR(SEARCH(("ACTIVO"),(O32))))</formula>
    </cfRule>
  </conditionalFormatting>
  <conditionalFormatting sqref="J33">
    <cfRule type="containsText" dxfId="515" priority="173" operator="containsText" text="AL DIA">
      <formula>NOT(ISERROR(SEARCH(("AL DIA"),(J33))))</formula>
    </cfRule>
  </conditionalFormatting>
  <conditionalFormatting sqref="J33">
    <cfRule type="containsText" dxfId="514" priority="174" operator="containsText" text="PENDIENTE">
      <formula>NOT(ISERROR(SEARCH(("PENDIENTE"),(J33))))</formula>
    </cfRule>
  </conditionalFormatting>
  <conditionalFormatting sqref="J34">
    <cfRule type="containsText" dxfId="513" priority="175" operator="containsText" text="AL DIA">
      <formula>NOT(ISERROR(SEARCH(("AL DIA"),(J34))))</formula>
    </cfRule>
  </conditionalFormatting>
  <conditionalFormatting sqref="J34">
    <cfRule type="containsText" dxfId="512" priority="176" operator="containsText" text="PENDIENTE">
      <formula>NOT(ISERROR(SEARCH(("PENDIENTE"),(J34))))</formula>
    </cfRule>
  </conditionalFormatting>
  <conditionalFormatting sqref="O34">
    <cfRule type="containsText" dxfId="511" priority="177" operator="containsText" text="RETIRADO">
      <formula>NOT(ISERROR(SEARCH(("RETIRADO"),(O34))))</formula>
    </cfRule>
  </conditionalFormatting>
  <conditionalFormatting sqref="O34">
    <cfRule type="containsText" dxfId="510" priority="178" operator="containsText" text="ACTIVO">
      <formula>NOT(ISERROR(SEARCH(("ACTIVO"),(O34))))</formula>
    </cfRule>
  </conditionalFormatting>
  <conditionalFormatting sqref="G35">
    <cfRule type="containsText" dxfId="509" priority="179" operator="containsText" text="AL DIA">
      <formula>NOT(ISERROR(SEARCH(("AL DIA"),(G35))))</formula>
    </cfRule>
  </conditionalFormatting>
  <conditionalFormatting sqref="G35">
    <cfRule type="containsText" dxfId="508" priority="180" operator="containsText" text="PENDIENTE">
      <formula>NOT(ISERROR(SEARCH(("PENDIENTE"),(G35))))</formula>
    </cfRule>
  </conditionalFormatting>
  <conditionalFormatting sqref="J36">
    <cfRule type="containsText" dxfId="507" priority="181" operator="containsText" text="AL DIA">
      <formula>NOT(ISERROR(SEARCH(("AL DIA"),(J36))))</formula>
    </cfRule>
  </conditionalFormatting>
  <conditionalFormatting sqref="J36">
    <cfRule type="containsText" dxfId="506" priority="182" operator="containsText" text="PENDIENTE">
      <formula>NOT(ISERROR(SEARCH(("PENDIENTE"),(J36))))</formula>
    </cfRule>
  </conditionalFormatting>
  <conditionalFormatting sqref="J37">
    <cfRule type="containsText" dxfId="505" priority="183" operator="containsText" text="AL DIA">
      <formula>NOT(ISERROR(SEARCH(("AL DIA"),(J37))))</formula>
    </cfRule>
  </conditionalFormatting>
  <conditionalFormatting sqref="J37">
    <cfRule type="containsText" dxfId="504" priority="184" operator="containsText" text="PENDIENTE">
      <formula>NOT(ISERROR(SEARCH(("PENDIENTE"),(J37))))</formula>
    </cfRule>
  </conditionalFormatting>
  <conditionalFormatting sqref="F38">
    <cfRule type="containsText" dxfId="503" priority="185" operator="containsText" text="AL DIA">
      <formula>NOT(ISERROR(SEARCH(("AL DIA"),(F38))))</formula>
    </cfRule>
  </conditionalFormatting>
  <conditionalFormatting sqref="F38">
    <cfRule type="containsText" dxfId="502" priority="186" operator="containsText" text="PENDIENTE">
      <formula>NOT(ISERROR(SEARCH(("PENDIENTE"),(F38))))</formula>
    </cfRule>
  </conditionalFormatting>
  <conditionalFormatting sqref="J39">
    <cfRule type="containsText" dxfId="501" priority="187" operator="containsText" text="AL DIA">
      <formula>NOT(ISERROR(SEARCH(("AL DIA"),(J39))))</formula>
    </cfRule>
  </conditionalFormatting>
  <conditionalFormatting sqref="J39">
    <cfRule type="containsText" dxfId="500" priority="188" operator="containsText" text="PENDIENTE">
      <formula>NOT(ISERROR(SEARCH(("PENDIENTE"),(J39))))</formula>
    </cfRule>
  </conditionalFormatting>
  <conditionalFormatting sqref="J40">
    <cfRule type="containsText" dxfId="499" priority="189" operator="containsText" text="AL DIA">
      <formula>NOT(ISERROR(SEARCH(("AL DIA"),(J40))))</formula>
    </cfRule>
  </conditionalFormatting>
  <conditionalFormatting sqref="J40">
    <cfRule type="containsText" dxfId="498" priority="190" operator="containsText" text="PENDIENTE">
      <formula>NOT(ISERROR(SEARCH(("PENDIENTE"),(J40))))</formula>
    </cfRule>
  </conditionalFormatting>
  <conditionalFormatting sqref="J41">
    <cfRule type="containsText" dxfId="497" priority="191" operator="containsText" text="AL DIA">
      <formula>NOT(ISERROR(SEARCH(("AL DIA"),(J41))))</formula>
    </cfRule>
  </conditionalFormatting>
  <conditionalFormatting sqref="J41">
    <cfRule type="containsText" dxfId="496" priority="192" operator="containsText" text="PENDIENTE">
      <formula>NOT(ISERROR(SEARCH(("PENDIENTE"),(J41))))</formula>
    </cfRule>
  </conditionalFormatting>
  <conditionalFormatting sqref="G44">
    <cfRule type="containsText" dxfId="495" priority="193" operator="containsText" text="AL DIA">
      <formula>NOT(ISERROR(SEARCH(("AL DIA"),(G44))))</formula>
    </cfRule>
  </conditionalFormatting>
  <conditionalFormatting sqref="G44">
    <cfRule type="containsText" dxfId="494" priority="194" operator="containsText" text="PENDIENTE">
      <formula>NOT(ISERROR(SEARCH(("PENDIENTE"),(G44))))</formula>
    </cfRule>
  </conditionalFormatting>
  <conditionalFormatting sqref="G45">
    <cfRule type="containsText" dxfId="493" priority="195" operator="containsText" text="AL DIA">
      <formula>NOT(ISERROR(SEARCH(("AL DIA"),(G45))))</formula>
    </cfRule>
  </conditionalFormatting>
  <conditionalFormatting sqref="G45">
    <cfRule type="containsText" dxfId="492" priority="196" operator="containsText" text="PENDIENTE">
      <formula>NOT(ISERROR(SEARCH(("PENDIENTE"),(G45))))</formula>
    </cfRule>
  </conditionalFormatting>
  <conditionalFormatting sqref="L45">
    <cfRule type="containsText" dxfId="491" priority="197" operator="containsText" text="RETIRADO">
      <formula>NOT(ISERROR(SEARCH(("RETIRADO"),(L45))))</formula>
    </cfRule>
  </conditionalFormatting>
  <conditionalFormatting sqref="L45">
    <cfRule type="containsText" dxfId="490" priority="198" operator="containsText" text="ACTIVO">
      <formula>NOT(ISERROR(SEARCH(("ACTIVO"),(L45))))</formula>
    </cfRule>
  </conditionalFormatting>
  <conditionalFormatting sqref="G46">
    <cfRule type="containsText" dxfId="489" priority="199" operator="containsText" text="AL DIA">
      <formula>NOT(ISERROR(SEARCH(("AL DIA"),(G46))))</formula>
    </cfRule>
  </conditionalFormatting>
  <conditionalFormatting sqref="G46">
    <cfRule type="containsText" dxfId="488" priority="200" operator="containsText" text="PENDIENTE">
      <formula>NOT(ISERROR(SEARCH(("PENDIENTE"),(G46))))</formula>
    </cfRule>
  </conditionalFormatting>
  <conditionalFormatting sqref="L46">
    <cfRule type="containsText" dxfId="487" priority="201" operator="containsText" text="RETIRADO">
      <formula>NOT(ISERROR(SEARCH(("RETIRADO"),(L46))))</formula>
    </cfRule>
  </conditionalFormatting>
  <conditionalFormatting sqref="L46">
    <cfRule type="containsText" dxfId="486" priority="202" operator="containsText" text="ACTIVO">
      <formula>NOT(ISERROR(SEARCH(("ACTIVO"),(L46))))</formula>
    </cfRule>
  </conditionalFormatting>
  <conditionalFormatting sqref="G47">
    <cfRule type="containsText" dxfId="485" priority="203" operator="containsText" text="AL DIA">
      <formula>NOT(ISERROR(SEARCH(("AL DIA"),(G47))))</formula>
    </cfRule>
  </conditionalFormatting>
  <conditionalFormatting sqref="G47">
    <cfRule type="containsText" dxfId="484" priority="204" operator="containsText" text="PENDIENTE">
      <formula>NOT(ISERROR(SEARCH(("PENDIENTE"),(G47))))</formula>
    </cfRule>
  </conditionalFormatting>
  <conditionalFormatting sqref="L47">
    <cfRule type="containsText" dxfId="483" priority="205" operator="containsText" text="RETIRADO">
      <formula>NOT(ISERROR(SEARCH(("RETIRADO"),(L47))))</formula>
    </cfRule>
  </conditionalFormatting>
  <conditionalFormatting sqref="L47">
    <cfRule type="containsText" dxfId="482" priority="206" operator="containsText" text="ACTIVO">
      <formula>NOT(ISERROR(SEARCH(("ACTIVO"),(L47))))</formula>
    </cfRule>
  </conditionalFormatting>
  <conditionalFormatting sqref="G48">
    <cfRule type="containsText" dxfId="481" priority="207" operator="containsText" text="AL DIA">
      <formula>NOT(ISERROR(SEARCH(("AL DIA"),(G48))))</formula>
    </cfRule>
  </conditionalFormatting>
  <conditionalFormatting sqref="G48">
    <cfRule type="containsText" dxfId="480" priority="208" operator="containsText" text="PENDIENTE">
      <formula>NOT(ISERROR(SEARCH(("PENDIENTE"),(G48))))</formula>
    </cfRule>
  </conditionalFormatting>
  <conditionalFormatting sqref="G49">
    <cfRule type="containsText" dxfId="479" priority="209" operator="containsText" text="AL DIA">
      <formula>NOT(ISERROR(SEARCH(("AL DIA"),(G49))))</formula>
    </cfRule>
  </conditionalFormatting>
  <conditionalFormatting sqref="G49">
    <cfRule type="containsText" dxfId="478" priority="210" operator="containsText" text="PENDIENTE">
      <formula>NOT(ISERROR(SEARCH(("PENDIENTE"),(G49))))</formula>
    </cfRule>
  </conditionalFormatting>
  <conditionalFormatting sqref="G50">
    <cfRule type="containsText" dxfId="477" priority="211" operator="containsText" text="AL DIA">
      <formula>NOT(ISERROR(SEARCH(("AL DIA"),(G50))))</formula>
    </cfRule>
  </conditionalFormatting>
  <conditionalFormatting sqref="G50">
    <cfRule type="containsText" dxfId="476" priority="212" operator="containsText" text="PENDIENTE">
      <formula>NOT(ISERROR(SEARCH(("PENDIENTE"),(G50))))</formula>
    </cfRule>
  </conditionalFormatting>
  <conditionalFormatting sqref="L50">
    <cfRule type="containsText" dxfId="475" priority="213" operator="containsText" text="RETIRADO">
      <formula>NOT(ISERROR(SEARCH(("RETIRADO"),(L50))))</formula>
    </cfRule>
  </conditionalFormatting>
  <conditionalFormatting sqref="L50">
    <cfRule type="containsText" dxfId="474" priority="214" operator="containsText" text="ACTIVO">
      <formula>NOT(ISERROR(SEARCH(("ACTIVO"),(L50))))</formula>
    </cfRule>
  </conditionalFormatting>
  <conditionalFormatting sqref="G51">
    <cfRule type="containsText" dxfId="473" priority="215" operator="containsText" text="AL DIA">
      <formula>NOT(ISERROR(SEARCH(("AL DIA"),(G51))))</formula>
    </cfRule>
  </conditionalFormatting>
  <conditionalFormatting sqref="G51">
    <cfRule type="containsText" dxfId="472" priority="216" operator="containsText" text="PENDIENTE">
      <formula>NOT(ISERROR(SEARCH(("PENDIENTE"),(G51))))</formula>
    </cfRule>
  </conditionalFormatting>
  <conditionalFormatting sqref="G52">
    <cfRule type="containsText" dxfId="471" priority="217" operator="containsText" text="AL DIA">
      <formula>NOT(ISERROR(SEARCH(("AL DIA"),(G52))))</formula>
    </cfRule>
  </conditionalFormatting>
  <conditionalFormatting sqref="G52">
    <cfRule type="containsText" dxfId="470" priority="218" operator="containsText" text="PENDIENTE">
      <formula>NOT(ISERROR(SEARCH(("PENDIENTE"),(G52))))</formula>
    </cfRule>
  </conditionalFormatting>
  <conditionalFormatting sqref="H53">
    <cfRule type="containsText" dxfId="469" priority="219" operator="containsText" text="AL DIA">
      <formula>NOT(ISERROR(SEARCH(("AL DIA"),(H53))))</formula>
    </cfRule>
  </conditionalFormatting>
  <conditionalFormatting sqref="H53">
    <cfRule type="containsText" dxfId="468" priority="220" operator="containsText" text="PENDIENTE">
      <formula>NOT(ISERROR(SEARCH(("PENDIENTE"),(H53))))</formula>
    </cfRule>
  </conditionalFormatting>
  <conditionalFormatting sqref="M53">
    <cfRule type="containsText" dxfId="467" priority="221" operator="containsText" text="RETIRADO">
      <formula>NOT(ISERROR(SEARCH(("RETIRADO"),(M53))))</formula>
    </cfRule>
  </conditionalFormatting>
  <conditionalFormatting sqref="M53">
    <cfRule type="containsText" dxfId="466" priority="222" operator="containsText" text="ACTIVO">
      <formula>NOT(ISERROR(SEARCH(("ACTIVO"),(M53))))</formula>
    </cfRule>
  </conditionalFormatting>
  <conditionalFormatting sqref="J54">
    <cfRule type="containsText" dxfId="465" priority="223" operator="containsText" text="AL DIA">
      <formula>NOT(ISERROR(SEARCH(("AL DIA"),(J54))))</formula>
    </cfRule>
  </conditionalFormatting>
  <conditionalFormatting sqref="J54">
    <cfRule type="containsText" dxfId="464" priority="224" operator="containsText" text="PENDIENTE">
      <formula>NOT(ISERROR(SEARCH(("PENDIENTE"),(J54))))</formula>
    </cfRule>
  </conditionalFormatting>
  <conditionalFormatting sqref="H55">
    <cfRule type="containsText" dxfId="463" priority="225" operator="containsText" text="AL DIA">
      <formula>NOT(ISERROR(SEARCH(("AL DIA"),(H55))))</formula>
    </cfRule>
  </conditionalFormatting>
  <conditionalFormatting sqref="H55">
    <cfRule type="containsText" dxfId="462" priority="226" operator="containsText" text="PENDIENTE">
      <formula>NOT(ISERROR(SEARCH(("PENDIENTE"),(H55))))</formula>
    </cfRule>
  </conditionalFormatting>
  <conditionalFormatting sqref="G56">
    <cfRule type="containsText" dxfId="461" priority="227" operator="containsText" text="AL DIA">
      <formula>NOT(ISERROR(SEARCH(("AL DIA"),(G56))))</formula>
    </cfRule>
  </conditionalFormatting>
  <conditionalFormatting sqref="G56">
    <cfRule type="containsText" dxfId="460" priority="228" operator="containsText" text="PENDIENTE">
      <formula>NOT(ISERROR(SEARCH(("PENDIENTE"),(G56))))</formula>
    </cfRule>
  </conditionalFormatting>
  <conditionalFormatting sqref="L56">
    <cfRule type="containsText" dxfId="459" priority="229" operator="containsText" text="RETIRADO">
      <formula>NOT(ISERROR(SEARCH(("RETIRADO"),(L56))))</formula>
    </cfRule>
  </conditionalFormatting>
  <conditionalFormatting sqref="L56">
    <cfRule type="containsText" dxfId="458" priority="230" operator="containsText" text="ACTIVO">
      <formula>NOT(ISERROR(SEARCH(("ACTIVO"),(L56))))</formula>
    </cfRule>
  </conditionalFormatting>
  <conditionalFormatting sqref="G57">
    <cfRule type="containsText" dxfId="457" priority="231" operator="containsText" text="AL DIA">
      <formula>NOT(ISERROR(SEARCH(("AL DIA"),(G57))))</formula>
    </cfRule>
  </conditionalFormatting>
  <conditionalFormatting sqref="G57">
    <cfRule type="containsText" dxfId="456" priority="232" operator="containsText" text="PENDIENTE">
      <formula>NOT(ISERROR(SEARCH(("PENDIENTE"),(G57))))</formula>
    </cfRule>
  </conditionalFormatting>
  <conditionalFormatting sqref="J58">
    <cfRule type="containsText" dxfId="455" priority="233" operator="containsText" text="AL DIA">
      <formula>NOT(ISERROR(SEARCH(("AL DIA"),(J58))))</formula>
    </cfRule>
  </conditionalFormatting>
  <conditionalFormatting sqref="J58">
    <cfRule type="containsText" dxfId="454" priority="234" operator="containsText" text="PENDIENTE">
      <formula>NOT(ISERROR(SEARCH(("PENDIENTE"),(J58))))</formula>
    </cfRule>
  </conditionalFormatting>
  <conditionalFormatting sqref="J59">
    <cfRule type="containsText" dxfId="453" priority="235" operator="containsText" text="AL DIA">
      <formula>NOT(ISERROR(SEARCH(("AL DIA"),(J59))))</formula>
    </cfRule>
  </conditionalFormatting>
  <conditionalFormatting sqref="J59">
    <cfRule type="containsText" dxfId="452" priority="236" operator="containsText" text="PENDIENTE">
      <formula>NOT(ISERROR(SEARCH(("PENDIENTE"),(J59))))</formula>
    </cfRule>
  </conditionalFormatting>
  <conditionalFormatting sqref="J60">
    <cfRule type="containsText" dxfId="451" priority="237" operator="containsText" text="AL DIA">
      <formula>NOT(ISERROR(SEARCH(("AL DIA"),(J60))))</formula>
    </cfRule>
  </conditionalFormatting>
  <conditionalFormatting sqref="J60">
    <cfRule type="containsText" dxfId="450" priority="238" operator="containsText" text="PENDIENTE">
      <formula>NOT(ISERROR(SEARCH(("PENDIENTE"),(J60))))</formula>
    </cfRule>
  </conditionalFormatting>
  <conditionalFormatting sqref="H61">
    <cfRule type="containsText" dxfId="449" priority="239" operator="containsText" text="AL DIA">
      <formula>NOT(ISERROR(SEARCH(("AL DIA"),(H61))))</formula>
    </cfRule>
  </conditionalFormatting>
  <conditionalFormatting sqref="H61">
    <cfRule type="containsText" dxfId="448" priority="240" operator="containsText" text="PENDIENTE">
      <formula>NOT(ISERROR(SEARCH(("PENDIENTE"),(H61))))</formula>
    </cfRule>
  </conditionalFormatting>
  <conditionalFormatting sqref="J62">
    <cfRule type="containsText" dxfId="447" priority="241" operator="containsText" text="AL DIA">
      <formula>NOT(ISERROR(SEARCH(("AL DIA"),(J62))))</formula>
    </cfRule>
  </conditionalFormatting>
  <conditionalFormatting sqref="J62">
    <cfRule type="containsText" dxfId="446" priority="242" operator="containsText" text="PENDIENTE">
      <formula>NOT(ISERROR(SEARCH(("PENDIENTE"),(J62))))</formula>
    </cfRule>
  </conditionalFormatting>
  <conditionalFormatting sqref="O62">
    <cfRule type="containsText" dxfId="445" priority="243" operator="containsText" text="RETIRADO">
      <formula>NOT(ISERROR(SEARCH(("RETIRADO"),(O62))))</formula>
    </cfRule>
  </conditionalFormatting>
  <conditionalFormatting sqref="O62">
    <cfRule type="containsText" dxfId="444" priority="244" operator="containsText" text="ACTIVO">
      <formula>NOT(ISERROR(SEARCH(("ACTIVO"),(O62))))</formula>
    </cfRule>
  </conditionalFormatting>
  <conditionalFormatting sqref="J63">
    <cfRule type="containsText" dxfId="443" priority="245" operator="containsText" text="AL DIA">
      <formula>NOT(ISERROR(SEARCH(("AL DIA"),(J63))))</formula>
    </cfRule>
  </conditionalFormatting>
  <conditionalFormatting sqref="J63">
    <cfRule type="containsText" dxfId="442" priority="246" operator="containsText" text="PENDIENTE">
      <formula>NOT(ISERROR(SEARCH(("PENDIENTE"),(J63))))</formula>
    </cfRule>
  </conditionalFormatting>
  <conditionalFormatting sqref="J64">
    <cfRule type="containsText" dxfId="441" priority="247" operator="containsText" text="AL DIA">
      <formula>NOT(ISERROR(SEARCH(("AL DIA"),(J64))))</formula>
    </cfRule>
  </conditionalFormatting>
  <conditionalFormatting sqref="J64">
    <cfRule type="containsText" dxfId="440" priority="248" operator="containsText" text="PENDIENTE">
      <formula>NOT(ISERROR(SEARCH(("PENDIENTE"),(J64))))</formula>
    </cfRule>
  </conditionalFormatting>
  <conditionalFormatting sqref="J65">
    <cfRule type="containsText" dxfId="439" priority="249" operator="containsText" text="AL DIA">
      <formula>NOT(ISERROR(SEARCH(("AL DIA"),(J65))))</formula>
    </cfRule>
  </conditionalFormatting>
  <conditionalFormatting sqref="J65">
    <cfRule type="containsText" dxfId="438" priority="250" operator="containsText" text="PENDIENTE">
      <formula>NOT(ISERROR(SEARCH(("PENDIENTE"),(J65))))</formula>
    </cfRule>
  </conditionalFormatting>
  <conditionalFormatting sqref="O65">
    <cfRule type="containsText" dxfId="437" priority="251" operator="containsText" text="RETIRADO">
      <formula>NOT(ISERROR(SEARCH(("RETIRADO"),(O65))))</formula>
    </cfRule>
  </conditionalFormatting>
  <conditionalFormatting sqref="O65">
    <cfRule type="containsText" dxfId="436" priority="252" operator="containsText" text="ACTIVO">
      <formula>NOT(ISERROR(SEARCH(("ACTIVO"),(O65))))</formula>
    </cfRule>
  </conditionalFormatting>
  <conditionalFormatting sqref="J66">
    <cfRule type="containsText" dxfId="435" priority="253" operator="containsText" text="AL DIA">
      <formula>NOT(ISERROR(SEARCH(("AL DIA"),(J66))))</formula>
    </cfRule>
  </conditionalFormatting>
  <conditionalFormatting sqref="J66">
    <cfRule type="containsText" dxfId="434" priority="254" operator="containsText" text="PENDIENTE">
      <formula>NOT(ISERROR(SEARCH(("PENDIENTE"),(J66))))</formula>
    </cfRule>
  </conditionalFormatting>
  <conditionalFormatting sqref="O66">
    <cfRule type="containsText" dxfId="433" priority="255" operator="containsText" text="RETIRADO">
      <formula>NOT(ISERROR(SEARCH(("RETIRADO"),(O66))))</formula>
    </cfRule>
  </conditionalFormatting>
  <conditionalFormatting sqref="O66">
    <cfRule type="containsText" dxfId="432" priority="256" operator="containsText" text="ACTIVO">
      <formula>NOT(ISERROR(SEARCH(("ACTIVO"),(O66))))</formula>
    </cfRule>
  </conditionalFormatting>
  <conditionalFormatting sqref="J67">
    <cfRule type="containsText" dxfId="431" priority="257" operator="containsText" text="AL DIA">
      <formula>NOT(ISERROR(SEARCH(("AL DIA"),(J67))))</formula>
    </cfRule>
  </conditionalFormatting>
  <conditionalFormatting sqref="J67">
    <cfRule type="containsText" dxfId="430" priority="258" operator="containsText" text="PENDIENTE">
      <formula>NOT(ISERROR(SEARCH(("PENDIENTE"),(J67))))</formula>
    </cfRule>
  </conditionalFormatting>
  <conditionalFormatting sqref="O67">
    <cfRule type="containsText" dxfId="429" priority="259" operator="containsText" text="RETIRADO">
      <formula>NOT(ISERROR(SEARCH(("RETIRADO"),(O67))))</formula>
    </cfRule>
  </conditionalFormatting>
  <conditionalFormatting sqref="O67">
    <cfRule type="containsText" dxfId="428" priority="260" operator="containsText" text="ACTIVO">
      <formula>NOT(ISERROR(SEARCH(("ACTIVO"),(O67))))</formula>
    </cfRule>
  </conditionalFormatting>
  <conditionalFormatting sqref="F71">
    <cfRule type="containsText" dxfId="427" priority="261" operator="containsText" text="AL DIA">
      <formula>NOT(ISERROR(SEARCH(("AL DIA"),(F71))))</formula>
    </cfRule>
  </conditionalFormatting>
  <conditionalFormatting sqref="F71">
    <cfRule type="containsText" dxfId="426" priority="262" operator="containsText" text="PENDIENTE">
      <formula>NOT(ISERROR(SEARCH(("PENDIENTE"),(F71))))</formula>
    </cfRule>
  </conditionalFormatting>
  <conditionalFormatting sqref="F72">
    <cfRule type="containsText" dxfId="425" priority="263" operator="containsText" text="AL DIA">
      <formula>NOT(ISERROR(SEARCH(("AL DIA"),(F72))))</formula>
    </cfRule>
  </conditionalFormatting>
  <conditionalFormatting sqref="F72">
    <cfRule type="containsText" dxfId="424" priority="264" operator="containsText" text="PENDIENTE">
      <formula>NOT(ISERROR(SEARCH(("PENDIENTE"),(F72))))</formula>
    </cfRule>
  </conditionalFormatting>
  <conditionalFormatting sqref="F73">
    <cfRule type="containsText" dxfId="423" priority="265" operator="containsText" text="AL DIA">
      <formula>NOT(ISERROR(SEARCH(("AL DIA"),(F73))))</formula>
    </cfRule>
  </conditionalFormatting>
  <conditionalFormatting sqref="F73">
    <cfRule type="containsText" dxfId="422" priority="266" operator="containsText" text="PENDIENTE">
      <formula>NOT(ISERROR(SEARCH(("PENDIENTE"),(F73))))</formula>
    </cfRule>
  </conditionalFormatting>
  <conditionalFormatting sqref="K73">
    <cfRule type="containsText" dxfId="421" priority="267" operator="containsText" text="RETIRADO">
      <formula>NOT(ISERROR(SEARCH(("RETIRADO"),(K73))))</formula>
    </cfRule>
  </conditionalFormatting>
  <conditionalFormatting sqref="K73">
    <cfRule type="containsText" dxfId="420" priority="268" operator="containsText" text="ACTIVO">
      <formula>NOT(ISERROR(SEARCH(("ACTIVO"),(K73))))</formula>
    </cfRule>
  </conditionalFormatting>
  <conditionalFormatting sqref="F74">
    <cfRule type="containsText" dxfId="419" priority="269" operator="containsText" text="AL DIA">
      <formula>NOT(ISERROR(SEARCH(("AL DIA"),(F74))))</formula>
    </cfRule>
  </conditionalFormatting>
  <conditionalFormatting sqref="F74">
    <cfRule type="containsText" dxfId="418" priority="270" operator="containsText" text="PENDIENTE">
      <formula>NOT(ISERROR(SEARCH(("PENDIENTE"),(F74))))</formula>
    </cfRule>
  </conditionalFormatting>
  <conditionalFormatting sqref="K74">
    <cfRule type="containsText" dxfId="417" priority="271" operator="containsText" text="RETIRADO">
      <formula>NOT(ISERROR(SEARCH(("RETIRADO"),(K74))))</formula>
    </cfRule>
  </conditionalFormatting>
  <conditionalFormatting sqref="K74">
    <cfRule type="containsText" dxfId="416" priority="272" operator="containsText" text="ACTIVO">
      <formula>NOT(ISERROR(SEARCH(("ACTIVO"),(K74))))</formula>
    </cfRule>
  </conditionalFormatting>
  <conditionalFormatting sqref="F75">
    <cfRule type="containsText" dxfId="415" priority="273" operator="containsText" text="AL DIA">
      <formula>NOT(ISERROR(SEARCH(("AL DIA"),(F75))))</formula>
    </cfRule>
  </conditionalFormatting>
  <conditionalFormatting sqref="F75">
    <cfRule type="containsText" dxfId="414" priority="274" operator="containsText" text="PENDIENTE">
      <formula>NOT(ISERROR(SEARCH(("PENDIENTE"),(F75))))</formula>
    </cfRule>
  </conditionalFormatting>
  <conditionalFormatting sqref="K75">
    <cfRule type="containsText" dxfId="413" priority="275" operator="containsText" text="RETIRADO">
      <formula>NOT(ISERROR(SEARCH(("RETIRADO"),(K75))))</formula>
    </cfRule>
  </conditionalFormatting>
  <conditionalFormatting sqref="K75">
    <cfRule type="containsText" dxfId="412" priority="276" operator="containsText" text="ACTIVO">
      <formula>NOT(ISERROR(SEARCH(("ACTIVO"),(K75))))</formula>
    </cfRule>
  </conditionalFormatting>
  <conditionalFormatting sqref="G76">
    <cfRule type="containsText" dxfId="411" priority="277" operator="containsText" text="AL DIA">
      <formula>NOT(ISERROR(SEARCH(("AL DIA"),(G76))))</formula>
    </cfRule>
  </conditionalFormatting>
  <conditionalFormatting sqref="G76">
    <cfRule type="containsText" dxfId="410" priority="278" operator="containsText" text="PENDIENTE">
      <formula>NOT(ISERROR(SEARCH(("PENDIENTE"),(G76))))</formula>
    </cfRule>
  </conditionalFormatting>
  <conditionalFormatting sqref="F77">
    <cfRule type="containsText" dxfId="409" priority="279" operator="containsText" text="AL DIA">
      <formula>NOT(ISERROR(SEARCH(("AL DIA"),(F77))))</formula>
    </cfRule>
  </conditionalFormatting>
  <conditionalFormatting sqref="F77">
    <cfRule type="containsText" dxfId="408" priority="280" operator="containsText" text="PENDIENTE">
      <formula>NOT(ISERROR(SEARCH(("PENDIENTE"),(F77))))</formula>
    </cfRule>
  </conditionalFormatting>
  <conditionalFormatting sqref="K77">
    <cfRule type="containsText" dxfId="407" priority="281" operator="containsText" text="RETIRADO">
      <formula>NOT(ISERROR(SEARCH(("RETIRADO"),(K77))))</formula>
    </cfRule>
  </conditionalFormatting>
  <conditionalFormatting sqref="K77">
    <cfRule type="containsText" dxfId="406" priority="282" operator="containsText" text="ACTIVO">
      <formula>NOT(ISERROR(SEARCH(("ACTIVO"),(K77))))</formula>
    </cfRule>
  </conditionalFormatting>
  <conditionalFormatting sqref="N77">
    <cfRule type="containsText" dxfId="405" priority="283" operator="containsText" text="AL DIA">
      <formula>NOT(ISERROR(SEARCH(("AL DIA"),(N77))))</formula>
    </cfRule>
  </conditionalFormatting>
  <conditionalFormatting sqref="N77">
    <cfRule type="containsText" dxfId="404" priority="284" operator="containsText" text="PENDIENTE">
      <formula>NOT(ISERROR(SEARCH(("PENDIENTE"),(N77))))</formula>
    </cfRule>
  </conditionalFormatting>
  <conditionalFormatting sqref="F78">
    <cfRule type="containsText" dxfId="403" priority="285" operator="containsText" text="AL DIA">
      <formula>NOT(ISERROR(SEARCH(("AL DIA"),(F78))))</formula>
    </cfRule>
  </conditionalFormatting>
  <conditionalFormatting sqref="F78">
    <cfRule type="containsText" dxfId="402" priority="286" operator="containsText" text="PENDIENTE">
      <formula>NOT(ISERROR(SEARCH(("PENDIENTE"),(F78))))</formula>
    </cfRule>
  </conditionalFormatting>
  <conditionalFormatting sqref="K78">
    <cfRule type="containsText" dxfId="401" priority="287" operator="containsText" text="RETIRADO">
      <formula>NOT(ISERROR(SEARCH(("RETIRADO"),(K78))))</formula>
    </cfRule>
  </conditionalFormatting>
  <conditionalFormatting sqref="K78">
    <cfRule type="containsText" dxfId="400" priority="288" operator="containsText" text="ACTIVO">
      <formula>NOT(ISERROR(SEARCH(("ACTIVO"),(K78))))</formula>
    </cfRule>
  </conditionalFormatting>
  <conditionalFormatting sqref="F79">
    <cfRule type="containsText" dxfId="399" priority="289" operator="containsText" text="AL DIA">
      <formula>NOT(ISERROR(SEARCH(("AL DIA"),(F79))))</formula>
    </cfRule>
  </conditionalFormatting>
  <conditionalFormatting sqref="F79">
    <cfRule type="containsText" dxfId="398" priority="290" operator="containsText" text="PENDIENTE">
      <formula>NOT(ISERROR(SEARCH(("PENDIENTE"),(F79))))</formula>
    </cfRule>
  </conditionalFormatting>
  <conditionalFormatting sqref="K79">
    <cfRule type="containsText" dxfId="397" priority="291" operator="containsText" text="RETIRADO">
      <formula>NOT(ISERROR(SEARCH(("RETIRADO"),(K79))))</formula>
    </cfRule>
  </conditionalFormatting>
  <conditionalFormatting sqref="K79">
    <cfRule type="containsText" dxfId="396" priority="292" operator="containsText" text="ACTIVO">
      <formula>NOT(ISERROR(SEARCH(("ACTIVO"),(K79))))</formula>
    </cfRule>
  </conditionalFormatting>
  <conditionalFormatting sqref="J80">
    <cfRule type="containsText" dxfId="395" priority="293" operator="containsText" text="AL DIA">
      <formula>NOT(ISERROR(SEARCH(("AL DIA"),(J80))))</formula>
    </cfRule>
  </conditionalFormatting>
  <conditionalFormatting sqref="J80">
    <cfRule type="containsText" dxfId="394" priority="294" operator="containsText" text="PENDIENTE">
      <formula>NOT(ISERROR(SEARCH(("PENDIENTE"),(J80))))</formula>
    </cfRule>
  </conditionalFormatting>
  <conditionalFormatting sqref="O80">
    <cfRule type="containsText" dxfId="393" priority="295" operator="containsText" text="RETIRADO">
      <formula>NOT(ISERROR(SEARCH(("RETIRADO"),(O80))))</formula>
    </cfRule>
  </conditionalFormatting>
  <conditionalFormatting sqref="O80">
    <cfRule type="containsText" dxfId="392" priority="296" operator="containsText" text="ACTIVO">
      <formula>NOT(ISERROR(SEARCH(("ACTIVO"),(O80))))</formula>
    </cfRule>
  </conditionalFormatting>
  <conditionalFormatting sqref="J81">
    <cfRule type="containsText" dxfId="391" priority="297" operator="containsText" text="AL DIA">
      <formula>NOT(ISERROR(SEARCH(("AL DIA"),(J81))))</formula>
    </cfRule>
  </conditionalFormatting>
  <conditionalFormatting sqref="J81">
    <cfRule type="containsText" dxfId="390" priority="298" operator="containsText" text="PENDIENTE">
      <formula>NOT(ISERROR(SEARCH(("PENDIENTE"),(J81))))</formula>
    </cfRule>
  </conditionalFormatting>
  <conditionalFormatting sqref="F82">
    <cfRule type="containsText" dxfId="389" priority="299" operator="containsText" text="AL DIA">
      <formula>NOT(ISERROR(SEARCH(("AL DIA"),(F82))))</formula>
    </cfRule>
  </conditionalFormatting>
  <conditionalFormatting sqref="F82">
    <cfRule type="containsText" dxfId="388" priority="300" operator="containsText" text="PENDIENTE">
      <formula>NOT(ISERROR(SEARCH(("PENDIENTE"),(F82))))</formula>
    </cfRule>
  </conditionalFormatting>
  <conditionalFormatting sqref="K82">
    <cfRule type="containsText" dxfId="387" priority="301" operator="containsText" text="RETIRADO">
      <formula>NOT(ISERROR(SEARCH(("RETIRADO"),(K82))))</formula>
    </cfRule>
  </conditionalFormatting>
  <conditionalFormatting sqref="K82">
    <cfRule type="containsText" dxfId="386" priority="302" operator="containsText" text="ACTIVO">
      <formula>NOT(ISERROR(SEARCH(("ACTIVO"),(K82))))</formula>
    </cfRule>
  </conditionalFormatting>
  <conditionalFormatting sqref="F83">
    <cfRule type="containsText" dxfId="385" priority="303" operator="containsText" text="AL DIA">
      <formula>NOT(ISERROR(SEARCH(("AL DIA"),(F83))))</formula>
    </cfRule>
  </conditionalFormatting>
  <conditionalFormatting sqref="F83">
    <cfRule type="containsText" dxfId="384" priority="304" operator="containsText" text="PENDIENTE">
      <formula>NOT(ISERROR(SEARCH(("PENDIENTE"),(F83))))</formula>
    </cfRule>
  </conditionalFormatting>
  <conditionalFormatting sqref="K83">
    <cfRule type="containsText" dxfId="383" priority="305" operator="containsText" text="RETIRADO">
      <formula>NOT(ISERROR(SEARCH(("RETIRADO"),(K83))))</formula>
    </cfRule>
  </conditionalFormatting>
  <conditionalFormatting sqref="K83">
    <cfRule type="containsText" dxfId="382" priority="306" operator="containsText" text="ACTIVO">
      <formula>NOT(ISERROR(SEARCH(("ACTIVO"),(K83))))</formula>
    </cfRule>
  </conditionalFormatting>
  <conditionalFormatting sqref="F84">
    <cfRule type="containsText" dxfId="381" priority="307" operator="containsText" text="AL DIA">
      <formula>NOT(ISERROR(SEARCH(("AL DIA"),(F84))))</formula>
    </cfRule>
  </conditionalFormatting>
  <conditionalFormatting sqref="F84">
    <cfRule type="containsText" dxfId="380" priority="308" operator="containsText" text="PENDIENTE">
      <formula>NOT(ISERROR(SEARCH(("PENDIENTE"),(F84))))</formula>
    </cfRule>
  </conditionalFormatting>
  <conditionalFormatting sqref="K84">
    <cfRule type="containsText" dxfId="379" priority="309" operator="containsText" text="RETIRADO">
      <formula>NOT(ISERROR(SEARCH(("RETIRADO"),(K84))))</formula>
    </cfRule>
  </conditionalFormatting>
  <conditionalFormatting sqref="K84">
    <cfRule type="containsText" dxfId="378" priority="310" operator="containsText" text="ACTIVO">
      <formula>NOT(ISERROR(SEARCH(("ACTIVO"),(K84))))</formula>
    </cfRule>
  </conditionalFormatting>
  <conditionalFormatting sqref="F85">
    <cfRule type="containsText" dxfId="377" priority="311" operator="containsText" text="AL DIA">
      <formula>NOT(ISERROR(SEARCH(("AL DIA"),(F85))))</formula>
    </cfRule>
  </conditionalFormatting>
  <conditionalFormatting sqref="F85">
    <cfRule type="containsText" dxfId="376" priority="312" operator="containsText" text="PENDIENTE">
      <formula>NOT(ISERROR(SEARCH(("PENDIENTE"),(F85))))</formula>
    </cfRule>
  </conditionalFormatting>
  <conditionalFormatting sqref="K85">
    <cfRule type="containsText" dxfId="375" priority="313" operator="containsText" text="RETIRADO">
      <formula>NOT(ISERROR(SEARCH(("RETIRADO"),(K85))))</formula>
    </cfRule>
  </conditionalFormatting>
  <conditionalFormatting sqref="K85">
    <cfRule type="containsText" dxfId="374" priority="314" operator="containsText" text="ACTIVO">
      <formula>NOT(ISERROR(SEARCH(("ACTIVO"),(K85))))</formula>
    </cfRule>
  </conditionalFormatting>
  <conditionalFormatting sqref="F86">
    <cfRule type="containsText" dxfId="373" priority="315" operator="containsText" text="AL DIA">
      <formula>NOT(ISERROR(SEARCH(("AL DIA"),(F86))))</formula>
    </cfRule>
  </conditionalFormatting>
  <conditionalFormatting sqref="F86">
    <cfRule type="containsText" dxfId="372" priority="316" operator="containsText" text="PENDIENTE">
      <formula>NOT(ISERROR(SEARCH(("PENDIENTE"),(F86))))</formula>
    </cfRule>
  </conditionalFormatting>
  <conditionalFormatting sqref="K86">
    <cfRule type="containsText" dxfId="371" priority="317" operator="containsText" text="RETIRADO">
      <formula>NOT(ISERROR(SEARCH(("RETIRADO"),(K86))))</formula>
    </cfRule>
  </conditionalFormatting>
  <conditionalFormatting sqref="K86">
    <cfRule type="containsText" dxfId="370" priority="318" operator="containsText" text="ACTIVO">
      <formula>NOT(ISERROR(SEARCH(("ACTIVO"),(K86))))</formula>
    </cfRule>
  </conditionalFormatting>
  <conditionalFormatting sqref="J87">
    <cfRule type="containsText" dxfId="369" priority="319" operator="containsText" text="AL DIA">
      <formula>NOT(ISERROR(SEARCH(("AL DIA"),(J87))))</formula>
    </cfRule>
  </conditionalFormatting>
  <conditionalFormatting sqref="J87">
    <cfRule type="containsText" dxfId="368" priority="320" operator="containsText" text="PENDIENTE">
      <formula>NOT(ISERROR(SEARCH(("PENDIENTE"),(J87))))</formula>
    </cfRule>
  </conditionalFormatting>
  <conditionalFormatting sqref="O87">
    <cfRule type="containsText" dxfId="367" priority="321" operator="containsText" text="RETIRADO">
      <formula>NOT(ISERROR(SEARCH(("RETIRADO"),(O87))))</formula>
    </cfRule>
  </conditionalFormatting>
  <conditionalFormatting sqref="O87">
    <cfRule type="containsText" dxfId="366" priority="322" operator="containsText" text="ACTIVO">
      <formula>NOT(ISERROR(SEARCH(("ACTIVO"),(O87))))</formula>
    </cfRule>
  </conditionalFormatting>
  <conditionalFormatting sqref="G88">
    <cfRule type="containsText" dxfId="365" priority="323" operator="containsText" text="AL DIA">
      <formula>NOT(ISERROR(SEARCH(("AL DIA"),(G88))))</formula>
    </cfRule>
  </conditionalFormatting>
  <conditionalFormatting sqref="G88">
    <cfRule type="containsText" dxfId="364" priority="324" operator="containsText" text="PENDIENTE">
      <formula>NOT(ISERROR(SEARCH(("PENDIENTE"),(G88))))</formula>
    </cfRule>
  </conditionalFormatting>
  <conditionalFormatting sqref="G89">
    <cfRule type="containsText" dxfId="363" priority="325" operator="containsText" text="AL DIA">
      <formula>NOT(ISERROR(SEARCH(("AL DIA"),(G89))))</formula>
    </cfRule>
  </conditionalFormatting>
  <conditionalFormatting sqref="G89">
    <cfRule type="containsText" dxfId="362" priority="326" operator="containsText" text="PENDIENTE">
      <formula>NOT(ISERROR(SEARCH(("PENDIENTE"),(G89))))</formula>
    </cfRule>
  </conditionalFormatting>
  <conditionalFormatting sqref="E90">
    <cfRule type="containsText" dxfId="361" priority="327" operator="containsText" text="AL DIA">
      <formula>NOT(ISERROR(SEARCH(("AL DIA"),(E90))))</formula>
    </cfRule>
  </conditionalFormatting>
  <conditionalFormatting sqref="E90">
    <cfRule type="containsText" dxfId="360" priority="328" operator="containsText" text="PENDIENTE">
      <formula>NOT(ISERROR(SEARCH(("PENDIENTE"),(E90))))</formula>
    </cfRule>
  </conditionalFormatting>
  <conditionalFormatting sqref="J91">
    <cfRule type="containsText" dxfId="359" priority="329" operator="containsText" text="AL DIA">
      <formula>NOT(ISERROR(SEARCH(("AL DIA"),(J91))))</formula>
    </cfRule>
  </conditionalFormatting>
  <conditionalFormatting sqref="J91">
    <cfRule type="containsText" dxfId="358" priority="330" operator="containsText" text="PENDIENTE">
      <formula>NOT(ISERROR(SEARCH(("PENDIENTE"),(J91))))</formula>
    </cfRule>
  </conditionalFormatting>
  <conditionalFormatting sqref="J92">
    <cfRule type="containsText" dxfId="357" priority="331" operator="containsText" text="AL DIA">
      <formula>NOT(ISERROR(SEARCH(("AL DIA"),(J92))))</formula>
    </cfRule>
  </conditionalFormatting>
  <conditionalFormatting sqref="J92">
    <cfRule type="containsText" dxfId="356" priority="332" operator="containsText" text="PENDIENTE">
      <formula>NOT(ISERROR(SEARCH(("PENDIENTE"),(J92))))</formula>
    </cfRule>
  </conditionalFormatting>
  <conditionalFormatting sqref="J93">
    <cfRule type="containsText" dxfId="355" priority="333" operator="containsText" text="AL DIA">
      <formula>NOT(ISERROR(SEARCH(("AL DIA"),(J93))))</formula>
    </cfRule>
  </conditionalFormatting>
  <conditionalFormatting sqref="J93">
    <cfRule type="containsText" dxfId="354" priority="334" operator="containsText" text="PENDIENTE">
      <formula>NOT(ISERROR(SEARCH(("PENDIENTE"),(J93))))</formula>
    </cfRule>
  </conditionalFormatting>
  <conditionalFormatting sqref="J94">
    <cfRule type="containsText" dxfId="353" priority="335" operator="containsText" text="AL DIA">
      <formula>NOT(ISERROR(SEARCH(("AL DIA"),(J94))))</formula>
    </cfRule>
  </conditionalFormatting>
  <conditionalFormatting sqref="J94">
    <cfRule type="containsText" dxfId="352" priority="336" operator="containsText" text="PENDIENTE">
      <formula>NOT(ISERROR(SEARCH(("PENDIENTE"),(J94))))</formula>
    </cfRule>
  </conditionalFormatting>
  <conditionalFormatting sqref="K95">
    <cfRule type="containsText" dxfId="351" priority="337" operator="containsText" text="AL DIA">
      <formula>NOT(ISERROR(SEARCH(("AL DIA"),(K95))))</formula>
    </cfRule>
  </conditionalFormatting>
  <conditionalFormatting sqref="K95">
    <cfRule type="containsText" dxfId="350" priority="338" operator="containsText" text="PENDIENTE">
      <formula>NOT(ISERROR(SEARCH(("PENDIENTE"),(K95))))</formula>
    </cfRule>
  </conditionalFormatting>
  <conditionalFormatting sqref="P95">
    <cfRule type="containsText" dxfId="349" priority="339" operator="containsText" text="RETIRADO">
      <formula>NOT(ISERROR(SEARCH(("RETIRADO"),(P95))))</formula>
    </cfRule>
  </conditionalFormatting>
  <conditionalFormatting sqref="P95">
    <cfRule type="containsText" dxfId="348" priority="340" operator="containsText" text="ACTIVO">
      <formula>NOT(ISERROR(SEARCH(("ACTIVO"),(P95))))</formula>
    </cfRule>
  </conditionalFormatting>
  <conditionalFormatting sqref="K96">
    <cfRule type="containsText" dxfId="347" priority="341" operator="containsText" text="AL DIA">
      <formula>NOT(ISERROR(SEARCH(("AL DIA"),(K96))))</formula>
    </cfRule>
  </conditionalFormatting>
  <conditionalFormatting sqref="K96">
    <cfRule type="containsText" dxfId="346" priority="342" operator="containsText" text="PENDIENTE">
      <formula>NOT(ISERROR(SEARCH(("PENDIENTE"),(K96))))</formula>
    </cfRule>
  </conditionalFormatting>
  <conditionalFormatting sqref="P96">
    <cfRule type="containsText" dxfId="345" priority="343" operator="containsText" text="RETIRADO">
      <formula>NOT(ISERROR(SEARCH(("RETIRADO"),(P96))))</formula>
    </cfRule>
  </conditionalFormatting>
  <conditionalFormatting sqref="P96">
    <cfRule type="containsText" dxfId="344" priority="344" operator="containsText" text="ACTIVO">
      <formula>NOT(ISERROR(SEARCH(("ACTIVO"),(P96))))</formula>
    </cfRule>
  </conditionalFormatting>
  <conditionalFormatting sqref="K101">
    <cfRule type="containsText" dxfId="343" priority="345" operator="containsText" text="AL DIA">
      <formula>NOT(ISERROR(SEARCH(("AL DIA"),(K101))))</formula>
    </cfRule>
  </conditionalFormatting>
  <conditionalFormatting sqref="K101">
    <cfRule type="containsText" dxfId="342" priority="346" operator="containsText" text="PENDIENTE">
      <formula>NOT(ISERROR(SEARCH(("PENDIENTE"),(K101))))</formula>
    </cfRule>
  </conditionalFormatting>
  <conditionalFormatting sqref="K102">
    <cfRule type="containsText" dxfId="341" priority="347" operator="containsText" text="AL DIA">
      <formula>NOT(ISERROR(SEARCH(("AL DIA"),(K102))))</formula>
    </cfRule>
  </conditionalFormatting>
  <conditionalFormatting sqref="K102">
    <cfRule type="containsText" dxfId="340" priority="348" operator="containsText" text="PENDIENTE">
      <formula>NOT(ISERROR(SEARCH(("PENDIENTE"),(K102))))</formula>
    </cfRule>
  </conditionalFormatting>
  <conditionalFormatting sqref="K103">
    <cfRule type="containsText" dxfId="339" priority="349" operator="containsText" text="AL DIA">
      <formula>NOT(ISERROR(SEARCH(("AL DIA"),(K103))))</formula>
    </cfRule>
  </conditionalFormatting>
  <conditionalFormatting sqref="K103">
    <cfRule type="containsText" dxfId="338" priority="350" operator="containsText" text="PENDIENTE">
      <formula>NOT(ISERROR(SEARCH(("PENDIENTE"),(K103))))</formula>
    </cfRule>
  </conditionalFormatting>
  <conditionalFormatting sqref="P103">
    <cfRule type="containsText" dxfId="337" priority="351" operator="containsText" text="RETIRADO">
      <formula>NOT(ISERROR(SEARCH(("RETIRADO"),(P103))))</formula>
    </cfRule>
  </conditionalFormatting>
  <conditionalFormatting sqref="P103">
    <cfRule type="containsText" dxfId="336" priority="352" operator="containsText" text="ACTIVO">
      <formula>NOT(ISERROR(SEARCH(("ACTIVO"),(P103))))</formula>
    </cfRule>
  </conditionalFormatting>
  <conditionalFormatting sqref="K104">
    <cfRule type="containsText" dxfId="335" priority="353" operator="containsText" text="AL DIA">
      <formula>NOT(ISERROR(SEARCH(("AL DIA"),(K104))))</formula>
    </cfRule>
  </conditionalFormatting>
  <conditionalFormatting sqref="K104">
    <cfRule type="containsText" dxfId="334" priority="354" operator="containsText" text="PENDIENTE">
      <formula>NOT(ISERROR(SEARCH(("PENDIENTE"),(K104))))</formula>
    </cfRule>
  </conditionalFormatting>
  <conditionalFormatting sqref="P104">
    <cfRule type="containsText" dxfId="333" priority="355" operator="containsText" text="RETIRADO">
      <formula>NOT(ISERROR(SEARCH(("RETIRADO"),(P104))))</formula>
    </cfRule>
  </conditionalFormatting>
  <conditionalFormatting sqref="P104">
    <cfRule type="containsText" dxfId="332" priority="356" operator="containsText" text="ACTIVO">
      <formula>NOT(ISERROR(SEARCH(("ACTIVO"),(P104))))</formula>
    </cfRule>
  </conditionalFormatting>
  <conditionalFormatting sqref="K105">
    <cfRule type="containsText" dxfId="331" priority="357" operator="containsText" text="AL DIA">
      <formula>NOT(ISERROR(SEARCH(("AL DIA"),(K105))))</formula>
    </cfRule>
  </conditionalFormatting>
  <conditionalFormatting sqref="K105">
    <cfRule type="containsText" dxfId="330" priority="358" operator="containsText" text="PENDIENTE">
      <formula>NOT(ISERROR(SEARCH(("PENDIENTE"),(K105))))</formula>
    </cfRule>
  </conditionalFormatting>
  <conditionalFormatting sqref="P105">
    <cfRule type="containsText" dxfId="329" priority="359" operator="containsText" text="RETIRADO">
      <formula>NOT(ISERROR(SEARCH(("RETIRADO"),(P105))))</formula>
    </cfRule>
  </conditionalFormatting>
  <conditionalFormatting sqref="P105">
    <cfRule type="containsText" dxfId="328" priority="360" operator="containsText" text="ACTIVO">
      <formula>NOT(ISERROR(SEARCH(("ACTIVO"),(P105))))</formula>
    </cfRule>
  </conditionalFormatting>
  <conditionalFormatting sqref="K106">
    <cfRule type="containsText" dxfId="327" priority="361" operator="containsText" text="AL DIA">
      <formula>NOT(ISERROR(SEARCH(("AL DIA"),(K106))))</formula>
    </cfRule>
  </conditionalFormatting>
  <conditionalFormatting sqref="K106">
    <cfRule type="containsText" dxfId="326" priority="362" operator="containsText" text="PENDIENTE">
      <formula>NOT(ISERROR(SEARCH(("PENDIENTE"),(K106))))</formula>
    </cfRule>
  </conditionalFormatting>
  <conditionalFormatting sqref="P106">
    <cfRule type="containsText" dxfId="325" priority="363" operator="containsText" text="RETIRADO">
      <formula>NOT(ISERROR(SEARCH(("RETIRADO"),(P106))))</formula>
    </cfRule>
  </conditionalFormatting>
  <conditionalFormatting sqref="P106">
    <cfRule type="containsText" dxfId="324" priority="364" operator="containsText" text="ACTIVO">
      <formula>NOT(ISERROR(SEARCH(("ACTIVO"),(P106))))</formula>
    </cfRule>
  </conditionalFormatting>
  <conditionalFormatting sqref="K107">
    <cfRule type="containsText" dxfId="323" priority="365" operator="containsText" text="AL DIA">
      <formula>NOT(ISERROR(SEARCH(("AL DIA"),(K107))))</formula>
    </cfRule>
  </conditionalFormatting>
  <conditionalFormatting sqref="K107">
    <cfRule type="containsText" dxfId="322" priority="366" operator="containsText" text="PENDIENTE">
      <formula>NOT(ISERROR(SEARCH(("PENDIENTE"),(K107))))</formula>
    </cfRule>
  </conditionalFormatting>
  <conditionalFormatting sqref="P107">
    <cfRule type="containsText" dxfId="321" priority="367" operator="containsText" text="RETIRADO">
      <formula>NOT(ISERROR(SEARCH(("RETIRADO"),(P107))))</formula>
    </cfRule>
  </conditionalFormatting>
  <conditionalFormatting sqref="P107">
    <cfRule type="containsText" dxfId="320" priority="368" operator="containsText" text="ACTIVO">
      <formula>NOT(ISERROR(SEARCH(("ACTIVO"),(P107))))</formula>
    </cfRule>
  </conditionalFormatting>
  <conditionalFormatting sqref="K108">
    <cfRule type="containsText" dxfId="319" priority="369" operator="containsText" text="AL DIA">
      <formula>NOT(ISERROR(SEARCH(("AL DIA"),(K108))))</formula>
    </cfRule>
  </conditionalFormatting>
  <conditionalFormatting sqref="K108">
    <cfRule type="containsText" dxfId="318" priority="370" operator="containsText" text="PENDIENTE">
      <formula>NOT(ISERROR(SEARCH(("PENDIENTE"),(K108))))</formula>
    </cfRule>
  </conditionalFormatting>
  <conditionalFormatting sqref="J109">
    <cfRule type="containsText" dxfId="317" priority="371" operator="containsText" text="AL DIA">
      <formula>NOT(ISERROR(SEARCH(("AL DIA"),(J109))))</formula>
    </cfRule>
  </conditionalFormatting>
  <conditionalFormatting sqref="J109">
    <cfRule type="containsText" dxfId="316" priority="372" operator="containsText" text="PENDIENTE">
      <formula>NOT(ISERROR(SEARCH(("PENDIENTE"),(J109))))</formula>
    </cfRule>
  </conditionalFormatting>
  <conditionalFormatting sqref="J110">
    <cfRule type="containsText" dxfId="315" priority="373" operator="containsText" text="AL DIA">
      <formula>NOT(ISERROR(SEARCH(("AL DIA"),(J110))))</formula>
    </cfRule>
  </conditionalFormatting>
  <conditionalFormatting sqref="J110">
    <cfRule type="containsText" dxfId="314" priority="374" operator="containsText" text="PENDIENTE">
      <formula>NOT(ISERROR(SEARCH(("PENDIENTE"),(J110))))</formula>
    </cfRule>
  </conditionalFormatting>
  <conditionalFormatting sqref="O110">
    <cfRule type="containsText" dxfId="313" priority="375" operator="containsText" text="RETIRADO">
      <formula>NOT(ISERROR(SEARCH(("RETIRADO"),(O110))))</formula>
    </cfRule>
  </conditionalFormatting>
  <conditionalFormatting sqref="O110">
    <cfRule type="containsText" dxfId="312" priority="376" operator="containsText" text="ACTIVO">
      <formula>NOT(ISERROR(SEARCH(("ACTIVO"),(O110))))</formula>
    </cfRule>
  </conditionalFormatting>
  <conditionalFormatting sqref="J111">
    <cfRule type="containsText" dxfId="311" priority="377" operator="containsText" text="AL DIA">
      <formula>NOT(ISERROR(SEARCH(("AL DIA"),(J111))))</formula>
    </cfRule>
  </conditionalFormatting>
  <conditionalFormatting sqref="J111">
    <cfRule type="containsText" dxfId="310" priority="378" operator="containsText" text="PENDIENTE">
      <formula>NOT(ISERROR(SEARCH(("PENDIENTE"),(J111))))</formula>
    </cfRule>
  </conditionalFormatting>
  <conditionalFormatting sqref="O111">
    <cfRule type="containsText" dxfId="309" priority="379" operator="containsText" text="RETIRADO">
      <formula>NOT(ISERROR(SEARCH(("RETIRADO"),(O111))))</formula>
    </cfRule>
  </conditionalFormatting>
  <conditionalFormatting sqref="O111">
    <cfRule type="containsText" dxfId="308" priority="380" operator="containsText" text="ACTIVO">
      <formula>NOT(ISERROR(SEARCH(("ACTIVO"),(O111))))</formula>
    </cfRule>
  </conditionalFormatting>
  <conditionalFormatting sqref="J112">
    <cfRule type="containsText" dxfId="307" priority="381" operator="containsText" text="AL DIA">
      <formula>NOT(ISERROR(SEARCH(("AL DIA"),(J112))))</formula>
    </cfRule>
  </conditionalFormatting>
  <conditionalFormatting sqref="J112">
    <cfRule type="containsText" dxfId="306" priority="382" operator="containsText" text="PENDIENTE">
      <formula>NOT(ISERROR(SEARCH(("PENDIENTE"),(J112))))</formula>
    </cfRule>
  </conditionalFormatting>
  <conditionalFormatting sqref="O112">
    <cfRule type="containsText" dxfId="305" priority="383" operator="containsText" text="RETIRADO">
      <formula>NOT(ISERROR(SEARCH(("RETIRADO"),(O112))))</formula>
    </cfRule>
  </conditionalFormatting>
  <conditionalFormatting sqref="O112">
    <cfRule type="containsText" dxfId="304" priority="384" operator="containsText" text="ACTIVO">
      <formula>NOT(ISERROR(SEARCH(("ACTIVO"),(O112))))</formula>
    </cfRule>
  </conditionalFormatting>
  <conditionalFormatting sqref="O113">
    <cfRule type="containsText" dxfId="303" priority="385" operator="containsText" text="RETIRADO">
      <formula>NOT(ISERROR(SEARCH(("RETIRADO"),(O113))))</formula>
    </cfRule>
  </conditionalFormatting>
  <conditionalFormatting sqref="O113">
    <cfRule type="containsText" dxfId="302" priority="386" operator="containsText" text="ACTIVO">
      <formula>NOT(ISERROR(SEARCH(("ACTIVO"),(O113))))</formula>
    </cfRule>
  </conditionalFormatting>
  <conditionalFormatting sqref="J113">
    <cfRule type="containsText" dxfId="301" priority="387" operator="containsText" text="AL DIA">
      <formula>NOT(ISERROR(SEARCH(("AL DIA"),(J113))))</formula>
    </cfRule>
  </conditionalFormatting>
  <conditionalFormatting sqref="J113">
    <cfRule type="containsText" dxfId="300" priority="388" operator="containsText" text="PENDIENTE">
      <formula>NOT(ISERROR(SEARCH(("PENDIENTE"),(J113))))</formula>
    </cfRule>
  </conditionalFormatting>
  <conditionalFormatting sqref="O114">
    <cfRule type="containsText" dxfId="299" priority="389" operator="containsText" text="RETIRADO">
      <formula>NOT(ISERROR(SEARCH(("RETIRADO"),(O114))))</formula>
    </cfRule>
  </conditionalFormatting>
  <conditionalFormatting sqref="O114">
    <cfRule type="containsText" dxfId="298" priority="390" operator="containsText" text="ACTIVO">
      <formula>NOT(ISERROR(SEARCH(("ACTIVO"),(O114))))</formula>
    </cfRule>
  </conditionalFormatting>
  <conditionalFormatting sqref="J114">
    <cfRule type="containsText" dxfId="297" priority="391" operator="containsText" text="AL DIA">
      <formula>NOT(ISERROR(SEARCH(("AL DIA"),(J114))))</formula>
    </cfRule>
  </conditionalFormatting>
  <conditionalFormatting sqref="J114">
    <cfRule type="containsText" dxfId="296" priority="392" operator="containsText" text="PENDIENTE">
      <formula>NOT(ISERROR(SEARCH(("PENDIENTE"),(J114))))</formula>
    </cfRule>
  </conditionalFormatting>
  <conditionalFormatting sqref="O115">
    <cfRule type="containsText" dxfId="295" priority="393" operator="containsText" text="RETIRADO">
      <formula>NOT(ISERROR(SEARCH(("RETIRADO"),(O115))))</formula>
    </cfRule>
  </conditionalFormatting>
  <conditionalFormatting sqref="O115">
    <cfRule type="containsText" dxfId="294" priority="394" operator="containsText" text="ACTIVO">
      <formula>NOT(ISERROR(SEARCH(("ACTIVO"),(O115))))</formula>
    </cfRule>
  </conditionalFormatting>
  <conditionalFormatting sqref="J115">
    <cfRule type="containsText" dxfId="293" priority="395" operator="containsText" text="AL DIA">
      <formula>NOT(ISERROR(SEARCH(("AL DIA"),(J115))))</formula>
    </cfRule>
  </conditionalFormatting>
  <conditionalFormatting sqref="J115">
    <cfRule type="containsText" dxfId="292" priority="396" operator="containsText" text="PENDIENTE">
      <formula>NOT(ISERROR(SEARCH(("PENDIENTE"),(J115))))</formula>
    </cfRule>
  </conditionalFormatting>
  <conditionalFormatting sqref="O116">
    <cfRule type="containsText" dxfId="291" priority="397" operator="containsText" text="RETIRADO">
      <formula>NOT(ISERROR(SEARCH(("RETIRADO"),(O116))))</formula>
    </cfRule>
  </conditionalFormatting>
  <conditionalFormatting sqref="O116">
    <cfRule type="containsText" dxfId="290" priority="398" operator="containsText" text="ACTIVO">
      <formula>NOT(ISERROR(SEARCH(("ACTIVO"),(O116))))</formula>
    </cfRule>
  </conditionalFormatting>
  <conditionalFormatting sqref="J116">
    <cfRule type="containsText" dxfId="289" priority="399" operator="containsText" text="AL DIA">
      <formula>NOT(ISERROR(SEARCH(("AL DIA"),(J116))))</formula>
    </cfRule>
  </conditionalFormatting>
  <conditionalFormatting sqref="J116">
    <cfRule type="containsText" dxfId="288" priority="400" operator="containsText" text="PENDIENTE">
      <formula>NOT(ISERROR(SEARCH(("PENDIENTE"),(J116))))</formula>
    </cfRule>
  </conditionalFormatting>
  <conditionalFormatting sqref="O117">
    <cfRule type="containsText" dxfId="287" priority="401" operator="containsText" text="RETIRADO">
      <formula>NOT(ISERROR(SEARCH(("RETIRADO"),(O117))))</formula>
    </cfRule>
  </conditionalFormatting>
  <conditionalFormatting sqref="O117">
    <cfRule type="containsText" dxfId="286" priority="402" operator="containsText" text="ACTIVO">
      <formula>NOT(ISERROR(SEARCH(("ACTIVO"),(O117))))</formula>
    </cfRule>
  </conditionalFormatting>
  <conditionalFormatting sqref="J117">
    <cfRule type="containsText" dxfId="285" priority="403" operator="containsText" text="AL DIA">
      <formula>NOT(ISERROR(SEARCH(("AL DIA"),(J117))))</formula>
    </cfRule>
  </conditionalFormatting>
  <conditionalFormatting sqref="J117">
    <cfRule type="containsText" dxfId="284" priority="404" operator="containsText" text="PENDIENTE">
      <formula>NOT(ISERROR(SEARCH(("PENDIENTE"),(J117))))</formula>
    </cfRule>
  </conditionalFormatting>
  <conditionalFormatting sqref="O118">
    <cfRule type="containsText" dxfId="283" priority="405" operator="containsText" text="RETIRADO">
      <formula>NOT(ISERROR(SEARCH(("RETIRADO"),(O118))))</formula>
    </cfRule>
  </conditionalFormatting>
  <conditionalFormatting sqref="O118">
    <cfRule type="containsText" dxfId="282" priority="406" operator="containsText" text="ACTIVO">
      <formula>NOT(ISERROR(SEARCH(("ACTIVO"),(O118))))</formula>
    </cfRule>
  </conditionalFormatting>
  <conditionalFormatting sqref="J118">
    <cfRule type="containsText" dxfId="281" priority="407" operator="containsText" text="AL DIA">
      <formula>NOT(ISERROR(SEARCH(("AL DIA"),(J118))))</formula>
    </cfRule>
  </conditionalFormatting>
  <conditionalFormatting sqref="J118">
    <cfRule type="containsText" dxfId="280" priority="408" operator="containsText" text="PENDIENTE">
      <formula>NOT(ISERROR(SEARCH(("PENDIENTE"),(J118))))</formula>
    </cfRule>
  </conditionalFormatting>
  <conditionalFormatting sqref="O119">
    <cfRule type="containsText" dxfId="279" priority="409" operator="containsText" text="RETIRADO">
      <formula>NOT(ISERROR(SEARCH(("RETIRADO"),(O119))))</formula>
    </cfRule>
  </conditionalFormatting>
  <conditionalFormatting sqref="O119">
    <cfRule type="containsText" dxfId="278" priority="410" operator="containsText" text="ACTIVO">
      <formula>NOT(ISERROR(SEARCH(("ACTIVO"),(O119))))</formula>
    </cfRule>
  </conditionalFormatting>
  <conditionalFormatting sqref="J119">
    <cfRule type="containsText" dxfId="277" priority="411" operator="containsText" text="AL DIA">
      <formula>NOT(ISERROR(SEARCH(("AL DIA"),(J119))))</formula>
    </cfRule>
  </conditionalFormatting>
  <conditionalFormatting sqref="J119">
    <cfRule type="containsText" dxfId="276" priority="412" operator="containsText" text="PENDIENTE">
      <formula>NOT(ISERROR(SEARCH(("PENDIENTE"),(J119))))</formula>
    </cfRule>
  </conditionalFormatting>
  <conditionalFormatting sqref="K122:K123">
    <cfRule type="containsText" dxfId="275" priority="109" operator="containsText" text="AL DIA">
      <formula>NOT(ISERROR(SEARCH(("AL DIA"),(K122))))</formula>
    </cfRule>
  </conditionalFormatting>
  <conditionalFormatting sqref="K122:K123">
    <cfRule type="containsText" dxfId="274" priority="110" operator="containsText" text="PENDIENTE">
      <formula>NOT(ISERROR(SEARCH(("PENDIENTE"),(K122))))</formula>
    </cfRule>
  </conditionalFormatting>
  <conditionalFormatting sqref="P122:P123">
    <cfRule type="containsText" dxfId="273" priority="111" operator="containsText" text="RETIRADO">
      <formula>NOT(ISERROR(SEARCH(("RETIRADO"),(P122))))</formula>
    </cfRule>
  </conditionalFormatting>
  <conditionalFormatting sqref="P122:P123">
    <cfRule type="containsText" dxfId="272" priority="112" operator="containsText" text="ACTIVO">
      <formula>NOT(ISERROR(SEARCH(("ACTIVO"),(P122))))</formula>
    </cfRule>
  </conditionalFormatting>
  <conditionalFormatting sqref="K124">
    <cfRule type="containsText" dxfId="271" priority="105" operator="containsText" text="AL DIA">
      <formula>NOT(ISERROR(SEARCH(("AL DIA"),(K124))))</formula>
    </cfRule>
  </conditionalFormatting>
  <conditionalFormatting sqref="K124">
    <cfRule type="containsText" dxfId="270" priority="106" operator="containsText" text="PENDIENTE">
      <formula>NOT(ISERROR(SEARCH(("PENDIENTE"),(K124))))</formula>
    </cfRule>
  </conditionalFormatting>
  <conditionalFormatting sqref="P124">
    <cfRule type="containsText" dxfId="269" priority="107" operator="containsText" text="RETIRADO">
      <formula>NOT(ISERROR(SEARCH(("RETIRADO"),(P124))))</formula>
    </cfRule>
  </conditionalFormatting>
  <conditionalFormatting sqref="P124">
    <cfRule type="containsText" dxfId="268" priority="108" operator="containsText" text="ACTIVO">
      <formula>NOT(ISERROR(SEARCH(("ACTIVO"),(P124))))</formula>
    </cfRule>
  </conditionalFormatting>
  <conditionalFormatting sqref="K125:K130">
    <cfRule type="containsText" dxfId="267" priority="101" operator="containsText" text="AL DIA">
      <formula>NOT(ISERROR(SEARCH(("AL DIA"),(K125))))</formula>
    </cfRule>
  </conditionalFormatting>
  <conditionalFormatting sqref="K125:K130">
    <cfRule type="containsText" dxfId="266" priority="102" operator="containsText" text="PENDIENTE">
      <formula>NOT(ISERROR(SEARCH(("PENDIENTE"),(K125))))</formula>
    </cfRule>
  </conditionalFormatting>
  <conditionalFormatting sqref="P125:P130">
    <cfRule type="containsText" dxfId="265" priority="103" operator="containsText" text="RETIRADO">
      <formula>NOT(ISERROR(SEARCH(("RETIRADO"),(P125))))</formula>
    </cfRule>
  </conditionalFormatting>
  <conditionalFormatting sqref="P125:P130">
    <cfRule type="containsText" dxfId="264" priority="104" operator="containsText" text="ACTIVO">
      <formula>NOT(ISERROR(SEARCH(("ACTIVO"),(P125))))</formula>
    </cfRule>
  </conditionalFormatting>
  <conditionalFormatting sqref="K131">
    <cfRule type="containsText" dxfId="263" priority="99" operator="containsText" text="AL DIA">
      <formula>NOT(ISERROR(SEARCH(("AL DIA"),(K131))))</formula>
    </cfRule>
  </conditionalFormatting>
  <conditionalFormatting sqref="K131">
    <cfRule type="containsText" dxfId="262" priority="100" operator="containsText" text="PENDIENTE">
      <formula>NOT(ISERROR(SEARCH(("PENDIENTE"),(K131))))</formula>
    </cfRule>
  </conditionalFormatting>
  <conditionalFormatting sqref="K132">
    <cfRule type="containsText" dxfId="261" priority="97" operator="containsText" text="AL DIA">
      <formula>NOT(ISERROR(SEARCH(("AL DIA"),(K132))))</formula>
    </cfRule>
  </conditionalFormatting>
  <conditionalFormatting sqref="K132">
    <cfRule type="containsText" dxfId="260" priority="98" operator="containsText" text="PENDIENTE">
      <formula>NOT(ISERROR(SEARCH(("PENDIENTE"),(K132))))</formula>
    </cfRule>
  </conditionalFormatting>
  <conditionalFormatting sqref="K133:K134">
    <cfRule type="containsText" dxfId="259" priority="95" operator="containsText" text="AL DIA">
      <formula>NOT(ISERROR(SEARCH(("AL DIA"),(K133))))</formula>
    </cfRule>
  </conditionalFormatting>
  <conditionalFormatting sqref="K133:K134">
    <cfRule type="containsText" dxfId="258" priority="96" operator="containsText" text="PENDIENTE">
      <formula>NOT(ISERROR(SEARCH(("PENDIENTE"),(K133))))</formula>
    </cfRule>
  </conditionalFormatting>
  <conditionalFormatting sqref="K135">
    <cfRule type="containsText" dxfId="257" priority="93" operator="containsText" text="AL DIA">
      <formula>NOT(ISERROR(SEARCH(("AL DIA"),(K135))))</formula>
    </cfRule>
  </conditionalFormatting>
  <conditionalFormatting sqref="K135">
    <cfRule type="containsText" dxfId="256" priority="94" operator="containsText" text="PENDIENTE">
      <formula>NOT(ISERROR(SEARCH(("PENDIENTE"),(K135))))</formula>
    </cfRule>
  </conditionalFormatting>
  <conditionalFormatting sqref="K136">
    <cfRule type="containsText" dxfId="255" priority="91" operator="containsText" text="AL DIA">
      <formula>NOT(ISERROR(SEARCH(("AL DIA"),(K136))))</formula>
    </cfRule>
  </conditionalFormatting>
  <conditionalFormatting sqref="K136">
    <cfRule type="containsText" dxfId="254" priority="92" operator="containsText" text="PENDIENTE">
      <formula>NOT(ISERROR(SEARCH(("PENDIENTE"),(K136))))</formula>
    </cfRule>
  </conditionalFormatting>
  <conditionalFormatting sqref="K137">
    <cfRule type="containsText" dxfId="253" priority="89" operator="containsText" text="AL DIA">
      <formula>NOT(ISERROR(SEARCH(("AL DIA"),(K137))))</formula>
    </cfRule>
  </conditionalFormatting>
  <conditionalFormatting sqref="K137">
    <cfRule type="containsText" dxfId="252" priority="90" operator="containsText" text="PENDIENTE">
      <formula>NOT(ISERROR(SEARCH(("PENDIENTE"),(K137))))</formula>
    </cfRule>
  </conditionalFormatting>
  <conditionalFormatting sqref="K138">
    <cfRule type="containsText" dxfId="251" priority="85" operator="containsText" text="AL DIA">
      <formula>NOT(ISERROR(SEARCH(("AL DIA"),(K138))))</formula>
    </cfRule>
  </conditionalFormatting>
  <conditionalFormatting sqref="K138">
    <cfRule type="containsText" dxfId="250" priority="86" operator="containsText" text="PENDIENTE">
      <formula>NOT(ISERROR(SEARCH(("PENDIENTE"),(K138))))</formula>
    </cfRule>
  </conditionalFormatting>
  <conditionalFormatting sqref="P138">
    <cfRule type="containsText" dxfId="249" priority="87" operator="containsText" text="RETIRADO">
      <formula>NOT(ISERROR(SEARCH(("RETIRADO"),(P138))))</formula>
    </cfRule>
  </conditionalFormatting>
  <conditionalFormatting sqref="P138">
    <cfRule type="containsText" dxfId="248" priority="88" operator="containsText" text="ACTIVO">
      <formula>NOT(ISERROR(SEARCH(("ACTIVO"),(P138))))</formula>
    </cfRule>
  </conditionalFormatting>
  <conditionalFormatting sqref="K139">
    <cfRule type="containsText" dxfId="247" priority="81" operator="containsText" text="AL DIA">
      <formula>NOT(ISERROR(SEARCH(("AL DIA"),(K139))))</formula>
    </cfRule>
  </conditionalFormatting>
  <conditionalFormatting sqref="K139">
    <cfRule type="containsText" dxfId="246" priority="82" operator="containsText" text="PENDIENTE">
      <formula>NOT(ISERROR(SEARCH(("PENDIENTE"),(K139))))</formula>
    </cfRule>
  </conditionalFormatting>
  <conditionalFormatting sqref="P139">
    <cfRule type="containsText" dxfId="245" priority="83" operator="containsText" text="RETIRADO">
      <formula>NOT(ISERROR(SEARCH(("RETIRADO"),(P139))))</formula>
    </cfRule>
  </conditionalFormatting>
  <conditionalFormatting sqref="P139">
    <cfRule type="containsText" dxfId="244" priority="84" operator="containsText" text="ACTIVO">
      <formula>NOT(ISERROR(SEARCH(("ACTIVO"),(P139))))</formula>
    </cfRule>
  </conditionalFormatting>
  <conditionalFormatting sqref="K140">
    <cfRule type="containsText" dxfId="243" priority="79" operator="containsText" text="AL DIA">
      <formula>NOT(ISERROR(SEARCH(("AL DIA"),(K140))))</formula>
    </cfRule>
  </conditionalFormatting>
  <conditionalFormatting sqref="K140">
    <cfRule type="containsText" dxfId="242" priority="80" operator="containsText" text="PENDIENTE">
      <formula>NOT(ISERROR(SEARCH(("PENDIENTE"),(K140))))</formula>
    </cfRule>
  </conditionalFormatting>
  <conditionalFormatting sqref="J141">
    <cfRule type="containsText" dxfId="241" priority="75" operator="containsText" text="AL DIA">
      <formula>NOT(ISERROR(SEARCH(("AL DIA"),(J141))))</formula>
    </cfRule>
  </conditionalFormatting>
  <conditionalFormatting sqref="J141">
    <cfRule type="containsText" dxfId="240" priority="76" operator="containsText" text="PENDIENTE">
      <formula>NOT(ISERROR(SEARCH(("PENDIENTE"),(J141))))</formula>
    </cfRule>
  </conditionalFormatting>
  <conditionalFormatting sqref="O141">
    <cfRule type="containsText" dxfId="239" priority="77" operator="containsText" text="RETIRADO">
      <formula>NOT(ISERROR(SEARCH(("RETIRADO"),(O141))))</formula>
    </cfRule>
  </conditionalFormatting>
  <conditionalFormatting sqref="O141">
    <cfRule type="containsText" dxfId="238" priority="78" operator="containsText" text="ACTIVO">
      <formula>NOT(ISERROR(SEARCH(("ACTIVO"),(O141))))</formula>
    </cfRule>
  </conditionalFormatting>
  <conditionalFormatting sqref="J142">
    <cfRule type="containsText" dxfId="237" priority="71" operator="containsText" text="AL DIA">
      <formula>NOT(ISERROR(SEARCH(("AL DIA"),(J142))))</formula>
    </cfRule>
  </conditionalFormatting>
  <conditionalFormatting sqref="J142">
    <cfRule type="containsText" dxfId="236" priority="72" operator="containsText" text="PENDIENTE">
      <formula>NOT(ISERROR(SEARCH(("PENDIENTE"),(J142))))</formula>
    </cfRule>
  </conditionalFormatting>
  <conditionalFormatting sqref="O142">
    <cfRule type="containsText" dxfId="235" priority="73" operator="containsText" text="RETIRADO">
      <formula>NOT(ISERROR(SEARCH(("RETIRADO"),(O142))))</formula>
    </cfRule>
  </conditionalFormatting>
  <conditionalFormatting sqref="O142">
    <cfRule type="containsText" dxfId="234" priority="74" operator="containsText" text="ACTIVO">
      <formula>NOT(ISERROR(SEARCH(("ACTIVO"),(O142))))</formula>
    </cfRule>
  </conditionalFormatting>
  <conditionalFormatting sqref="J143">
    <cfRule type="containsText" dxfId="233" priority="67" operator="containsText" text="AL DIA">
      <formula>NOT(ISERROR(SEARCH(("AL DIA"),(J143))))</formula>
    </cfRule>
  </conditionalFormatting>
  <conditionalFormatting sqref="J143">
    <cfRule type="containsText" dxfId="232" priority="68" operator="containsText" text="PENDIENTE">
      <formula>NOT(ISERROR(SEARCH(("PENDIENTE"),(J143))))</formula>
    </cfRule>
  </conditionalFormatting>
  <conditionalFormatting sqref="O143">
    <cfRule type="containsText" dxfId="231" priority="69" operator="containsText" text="RETIRADO">
      <formula>NOT(ISERROR(SEARCH(("RETIRADO"),(O143))))</formula>
    </cfRule>
  </conditionalFormatting>
  <conditionalFormatting sqref="O143">
    <cfRule type="containsText" dxfId="230" priority="70" operator="containsText" text="ACTIVO">
      <formula>NOT(ISERROR(SEARCH(("ACTIVO"),(O143))))</formula>
    </cfRule>
  </conditionalFormatting>
  <conditionalFormatting sqref="O144">
    <cfRule type="containsText" dxfId="229" priority="63" operator="containsText" text="RETIRADO">
      <formula>NOT(ISERROR(SEARCH(("RETIRADO"),(O144))))</formula>
    </cfRule>
  </conditionalFormatting>
  <conditionalFormatting sqref="O144">
    <cfRule type="containsText" dxfId="228" priority="64" operator="containsText" text="ACTIVO">
      <formula>NOT(ISERROR(SEARCH(("ACTIVO"),(O144))))</formula>
    </cfRule>
  </conditionalFormatting>
  <conditionalFormatting sqref="J144">
    <cfRule type="containsText" dxfId="227" priority="65" operator="containsText" text="AL DIA">
      <formula>NOT(ISERROR(SEARCH(("AL DIA"),(J144))))</formula>
    </cfRule>
  </conditionalFormatting>
  <conditionalFormatting sqref="J144">
    <cfRule type="containsText" dxfId="226" priority="66" operator="containsText" text="PENDIENTE">
      <formula>NOT(ISERROR(SEARCH(("PENDIENTE"),(J144))))</formula>
    </cfRule>
  </conditionalFormatting>
  <conditionalFormatting sqref="O145">
    <cfRule type="containsText" dxfId="225" priority="59" operator="containsText" text="RETIRADO">
      <formula>NOT(ISERROR(SEARCH(("RETIRADO"),(O145))))</formula>
    </cfRule>
  </conditionalFormatting>
  <conditionalFormatting sqref="O145">
    <cfRule type="containsText" dxfId="224" priority="60" operator="containsText" text="ACTIVO">
      <formula>NOT(ISERROR(SEARCH(("ACTIVO"),(O145))))</formula>
    </cfRule>
  </conditionalFormatting>
  <conditionalFormatting sqref="J145">
    <cfRule type="containsText" dxfId="223" priority="61" operator="containsText" text="AL DIA">
      <formula>NOT(ISERROR(SEARCH(("AL DIA"),(J145))))</formula>
    </cfRule>
  </conditionalFormatting>
  <conditionalFormatting sqref="J145">
    <cfRule type="containsText" dxfId="222" priority="62" operator="containsText" text="PENDIENTE">
      <formula>NOT(ISERROR(SEARCH(("PENDIENTE"),(J145))))</formula>
    </cfRule>
  </conditionalFormatting>
  <conditionalFormatting sqref="O146">
    <cfRule type="containsText" dxfId="221" priority="55" operator="containsText" text="RETIRADO">
      <formula>NOT(ISERROR(SEARCH(("RETIRADO"),(O146))))</formula>
    </cfRule>
  </conditionalFormatting>
  <conditionalFormatting sqref="O146">
    <cfRule type="containsText" dxfId="220" priority="56" operator="containsText" text="ACTIVO">
      <formula>NOT(ISERROR(SEARCH(("ACTIVO"),(O146))))</formula>
    </cfRule>
  </conditionalFormatting>
  <conditionalFormatting sqref="J146">
    <cfRule type="containsText" dxfId="219" priority="57" operator="containsText" text="AL DIA">
      <formula>NOT(ISERROR(SEARCH(("AL DIA"),(J146))))</formula>
    </cfRule>
  </conditionalFormatting>
  <conditionalFormatting sqref="J146">
    <cfRule type="containsText" dxfId="218" priority="58" operator="containsText" text="PENDIENTE">
      <formula>NOT(ISERROR(SEARCH(("PENDIENTE"),(J146))))</formula>
    </cfRule>
  </conditionalFormatting>
  <conditionalFormatting sqref="R147">
    <cfRule type="containsText" dxfId="217" priority="49" operator="containsText" text="AL DIA">
      <formula>NOT(ISERROR(SEARCH(("AL DIA"),(R184))))</formula>
    </cfRule>
  </conditionalFormatting>
  <conditionalFormatting sqref="R147">
    <cfRule type="containsText" dxfId="216" priority="50" operator="containsText" text="PENDIENTE">
      <formula>NOT(ISERROR(SEARCH(("PENDIENTE"),(R184))))</formula>
    </cfRule>
  </conditionalFormatting>
  <conditionalFormatting sqref="O147">
    <cfRule type="containsText" dxfId="215" priority="51" operator="containsText" text="RETIRADO">
      <formula>NOT(ISERROR(SEARCH(("RETIRADO"),(O147))))</formula>
    </cfRule>
  </conditionalFormatting>
  <conditionalFormatting sqref="O147">
    <cfRule type="containsText" dxfId="214" priority="52" operator="containsText" text="ACTIVO">
      <formula>NOT(ISERROR(SEARCH(("ACTIVO"),(O147))))</formula>
    </cfRule>
  </conditionalFormatting>
  <conditionalFormatting sqref="J147">
    <cfRule type="containsText" dxfId="213" priority="53" operator="containsText" text="AL DIA">
      <formula>NOT(ISERROR(SEARCH(("AL DIA"),(J147))))</formula>
    </cfRule>
  </conditionalFormatting>
  <conditionalFormatting sqref="J147">
    <cfRule type="containsText" dxfId="212" priority="54" operator="containsText" text="PENDIENTE">
      <formula>NOT(ISERROR(SEARCH(("PENDIENTE"),(J147))))</formula>
    </cfRule>
  </conditionalFormatting>
  <conditionalFormatting sqref="O148">
    <cfRule type="containsText" dxfId="211" priority="45" operator="containsText" text="RETIRADO">
      <formula>NOT(ISERROR(SEARCH(("RETIRADO"),(O148))))</formula>
    </cfRule>
  </conditionalFormatting>
  <conditionalFormatting sqref="O148">
    <cfRule type="containsText" dxfId="210" priority="46" operator="containsText" text="ACTIVO">
      <formula>NOT(ISERROR(SEARCH(("ACTIVO"),(O148))))</formula>
    </cfRule>
  </conditionalFormatting>
  <conditionalFormatting sqref="J148">
    <cfRule type="containsText" dxfId="209" priority="47" operator="containsText" text="AL DIA">
      <formula>NOT(ISERROR(SEARCH(("AL DIA"),(J148))))</formula>
    </cfRule>
  </conditionalFormatting>
  <conditionalFormatting sqref="J148">
    <cfRule type="containsText" dxfId="208" priority="48" operator="containsText" text="PENDIENTE">
      <formula>NOT(ISERROR(SEARCH(("PENDIENTE"),(J148))))</formula>
    </cfRule>
  </conditionalFormatting>
  <conditionalFormatting sqref="J149">
    <cfRule type="containsText" dxfId="207" priority="41" operator="containsText" text="AL DIA">
      <formula>NOT(ISERROR(SEARCH(("AL DIA"),(J149))))</formula>
    </cfRule>
  </conditionalFormatting>
  <conditionalFormatting sqref="J149">
    <cfRule type="containsText" dxfId="206" priority="42" operator="containsText" text="PENDIENTE">
      <formula>NOT(ISERROR(SEARCH(("PENDIENTE"),(J149))))</formula>
    </cfRule>
  </conditionalFormatting>
  <conditionalFormatting sqref="O149">
    <cfRule type="containsText" dxfId="205" priority="43" operator="containsText" text="RETIRADO">
      <formula>NOT(ISERROR(SEARCH(("RETIRADO"),(O149))))</formula>
    </cfRule>
  </conditionalFormatting>
  <conditionalFormatting sqref="O149">
    <cfRule type="containsText" dxfId="204" priority="44" operator="containsText" text="ACTIVO">
      <formula>NOT(ISERROR(SEARCH(("ACTIVO"),(O149))))</formula>
    </cfRule>
  </conditionalFormatting>
  <conditionalFormatting sqref="J150">
    <cfRule type="containsText" dxfId="203" priority="37" operator="containsText" text="AL DIA">
      <formula>NOT(ISERROR(SEARCH(("AL DIA"),(J150))))</formula>
    </cfRule>
  </conditionalFormatting>
  <conditionalFormatting sqref="J150">
    <cfRule type="containsText" dxfId="202" priority="38" operator="containsText" text="PENDIENTE">
      <formula>NOT(ISERROR(SEARCH(("PENDIENTE"),(J150))))</formula>
    </cfRule>
  </conditionalFormatting>
  <conditionalFormatting sqref="O150">
    <cfRule type="containsText" dxfId="201" priority="39" operator="containsText" text="RETIRADO">
      <formula>NOT(ISERROR(SEARCH(("RETIRADO"),(O150))))</formula>
    </cfRule>
  </conditionalFormatting>
  <conditionalFormatting sqref="O150">
    <cfRule type="containsText" dxfId="200" priority="40" operator="containsText" text="ACTIVO">
      <formula>NOT(ISERROR(SEARCH(("ACTIVO"),(O150))))</formula>
    </cfRule>
  </conditionalFormatting>
  <conditionalFormatting sqref="I151">
    <cfRule type="containsText" dxfId="199" priority="33" operator="containsText" text="AL DIA">
      <formula>NOT(ISERROR(SEARCH(("AL DIA"),(I151))))</formula>
    </cfRule>
  </conditionalFormatting>
  <conditionalFormatting sqref="I151">
    <cfRule type="containsText" dxfId="198" priority="34" operator="containsText" text="PENDIENTE">
      <formula>NOT(ISERROR(SEARCH(("PENDIENTE"),(I151))))</formula>
    </cfRule>
  </conditionalFormatting>
  <conditionalFormatting sqref="N151">
    <cfRule type="containsText" dxfId="197" priority="35" operator="containsText" text="RETIRADO">
      <formula>NOT(ISERROR(SEARCH(("RETIRADO"),(N151))))</formula>
    </cfRule>
  </conditionalFormatting>
  <conditionalFormatting sqref="N151">
    <cfRule type="containsText" dxfId="196" priority="36" operator="containsText" text="ACTIVO">
      <formula>NOT(ISERROR(SEARCH(("ACTIVO"),(N151))))</formula>
    </cfRule>
  </conditionalFormatting>
  <conditionalFormatting sqref="J154:J166">
    <cfRule type="containsText" dxfId="195" priority="29" operator="containsText" text="AL DIA">
      <formula>NOT(ISERROR(SEARCH(("AL DIA"),(J154))))</formula>
    </cfRule>
  </conditionalFormatting>
  <conditionalFormatting sqref="J154:J166">
    <cfRule type="containsText" dxfId="194" priority="30" operator="containsText" text="PENDIENTE">
      <formula>NOT(ISERROR(SEARCH(("PENDIENTE"),(J154))))</formula>
    </cfRule>
  </conditionalFormatting>
  <conditionalFormatting sqref="O154:O163">
    <cfRule type="containsText" dxfId="193" priority="31" operator="containsText" text="RETIRADO">
      <formula>NOT(ISERROR(SEARCH(("RETIRADO"),(O154))))</formula>
    </cfRule>
  </conditionalFormatting>
  <conditionalFormatting sqref="O154:O163">
    <cfRule type="containsText" dxfId="192" priority="32" operator="containsText" text="ACTIVO">
      <formula>NOT(ISERROR(SEARCH(("ACTIVO"),(O154))))</formula>
    </cfRule>
  </conditionalFormatting>
  <conditionalFormatting sqref="L167">
    <cfRule type="containsText" dxfId="191" priority="25" operator="containsText" text="AL DIA">
      <formula>NOT(ISERROR(SEARCH(("AL DIA"),(L167))))</formula>
    </cfRule>
  </conditionalFormatting>
  <conditionalFormatting sqref="L167">
    <cfRule type="containsText" dxfId="190" priority="26" operator="containsText" text="PENDIENTE">
      <formula>NOT(ISERROR(SEARCH(("PENDIENTE"),(L167))))</formula>
    </cfRule>
  </conditionalFormatting>
  <conditionalFormatting sqref="Q167">
    <cfRule type="containsText" dxfId="189" priority="27" operator="containsText" text="RETIRADO">
      <formula>NOT(ISERROR(SEARCH(("RETIRADO"),(Q167))))</formula>
    </cfRule>
  </conditionalFormatting>
  <conditionalFormatting sqref="Q167">
    <cfRule type="containsText" dxfId="188" priority="28" operator="containsText" text="ACTIVO">
      <formula>NOT(ISERROR(SEARCH(("ACTIVO"),(Q167))))</formula>
    </cfRule>
  </conditionalFormatting>
  <conditionalFormatting sqref="S168 K168">
    <cfRule type="containsText" dxfId="187" priority="21" operator="containsText" text="AL DIA">
      <formula>NOT(ISERROR(SEARCH(("AL DIA"),(K168))))</formula>
    </cfRule>
  </conditionalFormatting>
  <conditionalFormatting sqref="S168 K168">
    <cfRule type="containsText" dxfId="186" priority="22" operator="containsText" text="PENDIENTE">
      <formula>NOT(ISERROR(SEARCH(("PENDIENTE"),(K168))))</formula>
    </cfRule>
  </conditionalFormatting>
  <conditionalFormatting sqref="P168">
    <cfRule type="containsText" dxfId="185" priority="23" operator="containsText" text="RETIRADO">
      <formula>NOT(ISERROR(SEARCH(("RETIRADO"),(P168))))</formula>
    </cfRule>
  </conditionalFormatting>
  <conditionalFormatting sqref="P168">
    <cfRule type="containsText" dxfId="184" priority="24" operator="containsText" text="ACTIVO">
      <formula>NOT(ISERROR(SEARCH(("ACTIVO"),(P168))))</formula>
    </cfRule>
  </conditionalFormatting>
  <conditionalFormatting sqref="K169:K172">
    <cfRule type="containsText" dxfId="183" priority="17" operator="containsText" text="AL DIA">
      <formula>NOT(ISERROR(SEARCH(("AL DIA"),(K169))))</formula>
    </cfRule>
  </conditionalFormatting>
  <conditionalFormatting sqref="K169:K172">
    <cfRule type="containsText" dxfId="182" priority="18" operator="containsText" text="PENDIENTE">
      <formula>NOT(ISERROR(SEARCH(("PENDIENTE"),(K169))))</formula>
    </cfRule>
  </conditionalFormatting>
  <conditionalFormatting sqref="P169:P172">
    <cfRule type="containsText" dxfId="181" priority="19" operator="containsText" text="RETIRADO">
      <formula>NOT(ISERROR(SEARCH(("RETIRADO"),(P169))))</formula>
    </cfRule>
  </conditionalFormatting>
  <conditionalFormatting sqref="P169:P172">
    <cfRule type="containsText" dxfId="180" priority="20" operator="containsText" text="ACTIVO">
      <formula>NOT(ISERROR(SEARCH(("ACTIVO"),(P169))))</formula>
    </cfRule>
  </conditionalFormatting>
  <conditionalFormatting sqref="K173:K175">
    <cfRule type="containsText" dxfId="179" priority="13" operator="containsText" text="AL DIA">
      <formula>NOT(ISERROR(SEARCH(("AL DIA"),(K173))))</formula>
    </cfRule>
  </conditionalFormatting>
  <conditionalFormatting sqref="K173:K175">
    <cfRule type="containsText" dxfId="178" priority="14" operator="containsText" text="PENDIENTE">
      <formula>NOT(ISERROR(SEARCH(("PENDIENTE"),(K173))))</formula>
    </cfRule>
  </conditionalFormatting>
  <conditionalFormatting sqref="P173:P175">
    <cfRule type="containsText" dxfId="177" priority="15" operator="containsText" text="RETIRADO">
      <formula>NOT(ISERROR(SEARCH(("RETIRADO"),(P173))))</formula>
    </cfRule>
  </conditionalFormatting>
  <conditionalFormatting sqref="P173:P175">
    <cfRule type="containsText" dxfId="176" priority="16" operator="containsText" text="ACTIVO">
      <formula>NOT(ISERROR(SEARCH(("ACTIVO"),(P173))))</formula>
    </cfRule>
  </conditionalFormatting>
  <conditionalFormatting sqref="L176">
    <cfRule type="containsText" dxfId="175" priority="9" operator="containsText" text="AL DIA">
      <formula>NOT(ISERROR(SEARCH(("AL DIA"),(L176))))</formula>
    </cfRule>
  </conditionalFormatting>
  <conditionalFormatting sqref="L176">
    <cfRule type="containsText" dxfId="174" priority="10" operator="containsText" text="PENDIENTE">
      <formula>NOT(ISERROR(SEARCH(("PENDIENTE"),(L176))))</formula>
    </cfRule>
  </conditionalFormatting>
  <conditionalFormatting sqref="Q176">
    <cfRule type="containsText" dxfId="173" priority="11" operator="containsText" text="RETIRADO">
      <formula>NOT(ISERROR(SEARCH(("RETIRADO"),(Q176))))</formula>
    </cfRule>
  </conditionalFormatting>
  <conditionalFormatting sqref="Q176">
    <cfRule type="containsText" dxfId="172" priority="12" operator="containsText" text="ACTIVO">
      <formula>NOT(ISERROR(SEARCH(("ACTIVO"),(Q176))))</formula>
    </cfRule>
  </conditionalFormatting>
  <conditionalFormatting sqref="P177">
    <cfRule type="containsText" dxfId="171" priority="5" operator="containsText" text="RETIRADO">
      <formula>NOT(ISERROR(SEARCH(("RETIRADO"),(P177))))</formula>
    </cfRule>
  </conditionalFormatting>
  <conditionalFormatting sqref="P177">
    <cfRule type="containsText" dxfId="170" priority="6" operator="containsText" text="ACTIVO">
      <formula>NOT(ISERROR(SEARCH(("ACTIVO"),(P177))))</formula>
    </cfRule>
  </conditionalFormatting>
  <conditionalFormatting sqref="K177">
    <cfRule type="containsText" dxfId="169" priority="7" operator="containsText" text="AL DIA">
      <formula>NOT(ISERROR(SEARCH(("AL DIA"),(K177))))</formula>
    </cfRule>
  </conditionalFormatting>
  <conditionalFormatting sqref="K177">
    <cfRule type="containsText" dxfId="168" priority="8" operator="containsText" text="PENDIENTE">
      <formula>NOT(ISERROR(SEARCH(("PENDIENTE"),(K177))))</formula>
    </cfRule>
  </conditionalFormatting>
  <conditionalFormatting sqref="P178">
    <cfRule type="containsText" dxfId="167" priority="1" operator="containsText" text="RETIRADO">
      <formula>NOT(ISERROR(SEARCH(("RETIRADO"),(P178))))</formula>
    </cfRule>
  </conditionalFormatting>
  <conditionalFormatting sqref="P178">
    <cfRule type="containsText" dxfId="166" priority="2" operator="containsText" text="ACTIVO">
      <formula>NOT(ISERROR(SEARCH(("ACTIVO"),(P178))))</formula>
    </cfRule>
  </conditionalFormatting>
  <conditionalFormatting sqref="K178">
    <cfRule type="containsText" dxfId="165" priority="3" operator="containsText" text="AL DIA">
      <formula>NOT(ISERROR(SEARCH(("AL DIA"),(K178))))</formula>
    </cfRule>
  </conditionalFormatting>
  <conditionalFormatting sqref="K178">
    <cfRule type="containsText" dxfId="164" priority="4" operator="containsText" text="PENDIENTE">
      <formula>NOT(ISERROR(SEARCH(("PENDIENTE"),(K178))))</formula>
    </cfRule>
  </conditionalFormatting>
  <dataValidations count="14">
    <dataValidation type="list" allowBlank="1" showErrorMessage="1" sqref="O25 P26:P28 L47 P96 S168" xr:uid="{00000000-0002-0000-0600-000000000000}">
      <formula1>$Y$1:$Y$2</formula1>
    </dataValidation>
    <dataValidation type="list" allowBlank="1" showErrorMessage="1" sqref="G88:G89 J91" xr:uid="{00000000-0002-0000-0600-000001000000}">
      <formula1>$Y$2:$Y$3</formula1>
    </dataValidation>
    <dataValidation type="list" allowBlank="1" showErrorMessage="1" sqref="G44:G46 G48:G52 H53" xr:uid="{00000000-0002-0000-0600-000002000000}">
      <formula1>$V$2:$V$3</formula1>
    </dataValidation>
    <dataValidation type="list" allowBlank="1" showErrorMessage="1" sqref="N2 N5:N6 O9 O13:O15 K18:K19 O32 O62 O65 K73 K78 O80 K84" xr:uid="{00000000-0002-0000-0600-000003000000}">
      <formula1>$U$1:$U$2</formula1>
    </dataValidation>
    <dataValidation type="list" allowBlank="1" showErrorMessage="1" sqref="H3:H4 J10 G29 J34 J36:J37 G56 J66 F74:F75 F77 F79 F82:F83 F85:F86 J87 J119 J144:J148" xr:uid="{00000000-0002-0000-0600-000004000000}">
      <formula1>$W$2</formula1>
    </dataValidation>
    <dataValidation type="list" allowBlank="1" showErrorMessage="1" sqref="O66:O67 K74 K82:K83 K86 O111 O113 O115 O119 O142:O146 O150 P169:P175" xr:uid="{00000000-0002-0000-0600-000005000000}">
      <formula1>$X$1:$X$2</formula1>
    </dataValidation>
    <dataValidation type="list" allowBlank="1" showErrorMessage="1" sqref="I2 I5:I7 J9 J11:J15 F18:F24 H30 D31 J32:J33 G35 F38 J39:J41 H55 G57 J58:J60 H61 J62:J65 J67 F71:F73 G76 F78 J80:J81 F84 E90 J92:J94 J109:J118 J141:J143 J149:J150 K168:K175" xr:uid="{00000000-0002-0000-0600-000006000000}">
      <formula1>$W$2:$W$3</formula1>
    </dataValidation>
    <dataValidation type="list" allowBlank="1" showErrorMessage="1" sqref="O29 N77 O141 P177:P178" xr:uid="{00000000-0002-0000-0600-000007000000}">
      <formula1>$W$1:$W$2</formula1>
    </dataValidation>
    <dataValidation type="list" allowBlank="1" showErrorMessage="1" sqref="K101:K107 K122:K140 I151 J154:J166" xr:uid="{00000000-0002-0000-0600-000008000000}">
      <formula1>"PENDIENTE,AL DIA"</formula1>
    </dataValidation>
    <dataValidation type="list" allowBlank="1" showErrorMessage="1" sqref="J25 K26:K28 G47 J54 K95:K96 K108 L167 L176" xr:uid="{00000000-0002-0000-0600-000009000000}">
      <formula1>$X$2:$X$3</formula1>
    </dataValidation>
    <dataValidation type="list" allowBlank="1" showErrorMessage="1" sqref="P95 P103:P107 O112 P122:P123 P125:P126 P128:P130 P133 P138:P140 O149 Q167 Q176" xr:uid="{00000000-0002-0000-0600-00000A000000}">
      <formula1>$V$1:$V$2</formula1>
    </dataValidation>
    <dataValidation type="list" allowBlank="1" showErrorMessage="1" sqref="O110 P168" xr:uid="{00000000-0002-0000-0600-00000B000000}">
      <formula1>$Z$1:$Z$2</formula1>
    </dataValidation>
    <dataValidation type="list" allowBlank="1" showErrorMessage="1" sqref="M30 L45:L46 L50 M53 N151 O154:O159 O161 O163 O166" xr:uid="{00000000-0002-0000-0600-00000C000000}">
      <formula1>$T$1:$T$2</formula1>
    </dataValidation>
    <dataValidation type="list" allowBlank="1" showErrorMessage="1" sqref="K177:K178" xr:uid="{EE049162-7D04-4DEA-917D-84CC3849419C}">
      <formula1>$V$2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Z1000"/>
  <sheetViews>
    <sheetView workbookViewId="0"/>
  </sheetViews>
  <sheetFormatPr baseColWidth="10" defaultColWidth="14.42578125" defaultRowHeight="15" customHeight="1" x14ac:dyDescent="0.25"/>
  <cols>
    <col min="1" max="1" width="41.5703125" customWidth="1"/>
    <col min="2" max="2" width="12.42578125" customWidth="1"/>
    <col min="3" max="3" width="26" customWidth="1"/>
    <col min="4" max="4" width="18" customWidth="1"/>
    <col min="5" max="5" width="14.7109375" customWidth="1"/>
    <col min="6" max="8" width="10.7109375" customWidth="1"/>
    <col min="9" max="9" width="14.28515625" customWidth="1"/>
    <col min="10" max="16" width="10.7109375" customWidth="1"/>
    <col min="17" max="17" width="40.42578125" customWidth="1"/>
    <col min="18" max="18" width="48.5703125" customWidth="1"/>
    <col min="19" max="26" width="10.7109375" customWidth="1"/>
  </cols>
  <sheetData>
    <row r="2" spans="1:18" x14ac:dyDescent="0.25">
      <c r="A2" s="183" t="s">
        <v>4889</v>
      </c>
      <c r="B2" s="183">
        <v>1105615382</v>
      </c>
      <c r="C2" s="183">
        <v>3228232758</v>
      </c>
      <c r="D2" s="183" t="s">
        <v>714</v>
      </c>
      <c r="E2" s="183">
        <v>34</v>
      </c>
      <c r="F2" s="183" t="s">
        <v>3653</v>
      </c>
      <c r="G2" s="184">
        <v>42000</v>
      </c>
      <c r="H2" s="185"/>
      <c r="I2" s="184">
        <v>42000</v>
      </c>
      <c r="J2" s="185" t="s">
        <v>234</v>
      </c>
      <c r="K2" s="183"/>
      <c r="L2" s="184"/>
      <c r="M2" s="186"/>
      <c r="N2" s="187" t="s">
        <v>28</v>
      </c>
      <c r="O2" s="187" t="s">
        <v>20</v>
      </c>
      <c r="P2" s="187"/>
      <c r="Q2" s="183" t="s">
        <v>4890</v>
      </c>
      <c r="R2" s="183" t="s">
        <v>30</v>
      </c>
    </row>
    <row r="3" spans="1:18" x14ac:dyDescent="0.25">
      <c r="A3" s="183" t="s">
        <v>4891</v>
      </c>
      <c r="B3" s="183">
        <v>9800841</v>
      </c>
      <c r="C3" s="188" t="s">
        <v>4892</v>
      </c>
      <c r="D3" s="183" t="s">
        <v>90</v>
      </c>
      <c r="E3" s="188" t="s">
        <v>4893</v>
      </c>
      <c r="F3" s="183" t="s">
        <v>3653</v>
      </c>
      <c r="G3" s="184">
        <v>42000</v>
      </c>
      <c r="H3" s="183"/>
      <c r="I3" s="184">
        <v>42000</v>
      </c>
      <c r="J3" s="185" t="s">
        <v>234</v>
      </c>
      <c r="K3" s="183"/>
      <c r="L3" s="184"/>
      <c r="M3" s="186"/>
      <c r="N3" s="187" t="s">
        <v>28</v>
      </c>
      <c r="O3" s="187" t="s">
        <v>20</v>
      </c>
      <c r="P3" s="187"/>
      <c r="Q3" s="183" t="s">
        <v>4894</v>
      </c>
      <c r="R3" s="183" t="s">
        <v>30</v>
      </c>
    </row>
    <row r="4" spans="1:18" x14ac:dyDescent="0.25">
      <c r="A4" s="183" t="s">
        <v>4895</v>
      </c>
      <c r="B4" s="183">
        <v>1005319200</v>
      </c>
      <c r="C4" s="183">
        <v>3107269520</v>
      </c>
      <c r="D4" s="183" t="s">
        <v>932</v>
      </c>
      <c r="E4" s="183"/>
      <c r="F4" s="183" t="s">
        <v>3653</v>
      </c>
      <c r="G4" s="184">
        <v>42000</v>
      </c>
      <c r="H4" s="185"/>
      <c r="I4" s="184">
        <v>42000</v>
      </c>
      <c r="J4" s="185" t="s">
        <v>234</v>
      </c>
      <c r="K4" s="183"/>
      <c r="L4" s="184"/>
      <c r="M4" s="186"/>
      <c r="N4" s="187" t="s">
        <v>28</v>
      </c>
      <c r="O4" s="187" t="s">
        <v>20</v>
      </c>
      <c r="P4" s="187"/>
      <c r="Q4" s="187" t="s">
        <v>4896</v>
      </c>
      <c r="R4" s="187" t="s">
        <v>67</v>
      </c>
    </row>
    <row r="5" spans="1:18" x14ac:dyDescent="0.25">
      <c r="A5" s="183" t="s">
        <v>4897</v>
      </c>
      <c r="B5" s="183">
        <v>1038339191</v>
      </c>
      <c r="C5" s="188">
        <v>3218830478</v>
      </c>
      <c r="D5" s="183" t="s">
        <v>84</v>
      </c>
      <c r="E5" s="188" t="s">
        <v>303</v>
      </c>
      <c r="F5" s="183" t="s">
        <v>2731</v>
      </c>
      <c r="G5" s="184">
        <v>42000</v>
      </c>
      <c r="H5" s="185"/>
      <c r="I5" s="184">
        <v>42000</v>
      </c>
      <c r="J5" s="185" t="s">
        <v>234</v>
      </c>
      <c r="K5" s="183" t="s">
        <v>4898</v>
      </c>
      <c r="L5" s="184" t="s">
        <v>4898</v>
      </c>
      <c r="M5" s="186" t="s">
        <v>4898</v>
      </c>
      <c r="N5" s="187" t="s">
        <v>28</v>
      </c>
      <c r="O5" s="187" t="s">
        <v>20</v>
      </c>
      <c r="P5" s="187"/>
      <c r="Q5" s="187" t="s">
        <v>4899</v>
      </c>
      <c r="R5" s="187" t="s">
        <v>30</v>
      </c>
    </row>
    <row r="6" spans="1:18" x14ac:dyDescent="0.25">
      <c r="A6" s="189" t="s">
        <v>4900</v>
      </c>
      <c r="B6" s="189">
        <v>24675979</v>
      </c>
      <c r="C6" s="189">
        <v>3218084428</v>
      </c>
      <c r="D6" s="189" t="s">
        <v>78</v>
      </c>
      <c r="E6" s="189" t="s">
        <v>4901</v>
      </c>
      <c r="F6" s="189" t="s">
        <v>2731</v>
      </c>
      <c r="G6" s="184">
        <v>42000</v>
      </c>
      <c r="H6" s="185"/>
      <c r="I6" s="184">
        <v>42000</v>
      </c>
      <c r="J6" s="185" t="s">
        <v>234</v>
      </c>
      <c r="K6" s="189"/>
      <c r="L6" s="184"/>
      <c r="M6" s="186"/>
      <c r="N6" s="187" t="s">
        <v>28</v>
      </c>
      <c r="O6" s="187" t="s">
        <v>20</v>
      </c>
      <c r="P6" s="187"/>
      <c r="Q6" s="187" t="s">
        <v>4902</v>
      </c>
      <c r="R6" s="187" t="s">
        <v>4903</v>
      </c>
    </row>
    <row r="7" spans="1:18" x14ac:dyDescent="0.25">
      <c r="A7" s="189" t="s">
        <v>4904</v>
      </c>
      <c r="B7" s="189">
        <v>24675227</v>
      </c>
      <c r="C7" s="190">
        <v>3332392746</v>
      </c>
      <c r="D7" s="190" t="s">
        <v>65</v>
      </c>
      <c r="E7" s="190"/>
      <c r="F7" s="189" t="s">
        <v>2731</v>
      </c>
      <c r="G7" s="184">
        <v>42000</v>
      </c>
      <c r="H7" s="185"/>
      <c r="I7" s="184">
        <v>42000</v>
      </c>
      <c r="J7" s="185" t="s">
        <v>234</v>
      </c>
      <c r="K7" s="189"/>
      <c r="L7" s="184"/>
      <c r="M7" s="186"/>
      <c r="N7" s="187" t="s">
        <v>28</v>
      </c>
      <c r="O7" s="187" t="s">
        <v>20</v>
      </c>
      <c r="P7" s="187"/>
      <c r="Q7" s="187" t="s">
        <v>2031</v>
      </c>
      <c r="R7" s="187" t="s">
        <v>67</v>
      </c>
    </row>
    <row r="8" spans="1:18" x14ac:dyDescent="0.25">
      <c r="A8" s="183" t="s">
        <v>4905</v>
      </c>
      <c r="B8" s="183">
        <v>41925367</v>
      </c>
      <c r="C8" s="183" t="s">
        <v>4906</v>
      </c>
      <c r="D8" s="183" t="s">
        <v>142</v>
      </c>
      <c r="E8" s="183" t="s">
        <v>4907</v>
      </c>
      <c r="F8" s="183" t="s">
        <v>2731</v>
      </c>
      <c r="G8" s="184">
        <v>42000</v>
      </c>
      <c r="H8" s="185"/>
      <c r="I8" s="184">
        <v>42000</v>
      </c>
      <c r="J8" s="185" t="s">
        <v>234</v>
      </c>
      <c r="K8" s="183"/>
      <c r="L8" s="184"/>
      <c r="M8" s="186"/>
      <c r="N8" s="187" t="s">
        <v>28</v>
      </c>
      <c r="O8" s="187" t="s">
        <v>20</v>
      </c>
      <c r="P8" s="187"/>
      <c r="Q8" s="187" t="s">
        <v>4908</v>
      </c>
      <c r="R8" s="187" t="s">
        <v>107</v>
      </c>
    </row>
    <row r="9" spans="1:18" x14ac:dyDescent="0.25">
      <c r="A9" s="183" t="s">
        <v>4909</v>
      </c>
      <c r="B9" s="183">
        <v>1005367357</v>
      </c>
      <c r="C9" s="183" t="s">
        <v>4910</v>
      </c>
      <c r="D9" s="183" t="s">
        <v>444</v>
      </c>
      <c r="E9" s="183"/>
      <c r="F9" s="183" t="s">
        <v>2731</v>
      </c>
      <c r="G9" s="184">
        <v>42000</v>
      </c>
      <c r="H9" s="185"/>
      <c r="I9" s="184">
        <v>42000</v>
      </c>
      <c r="J9" s="185" t="s">
        <v>234</v>
      </c>
      <c r="K9" s="183"/>
      <c r="L9" s="184"/>
      <c r="M9" s="186"/>
      <c r="N9" s="187" t="s">
        <v>28</v>
      </c>
      <c r="O9" s="187" t="s">
        <v>20</v>
      </c>
      <c r="P9" s="187"/>
      <c r="Q9" s="187" t="s">
        <v>4911</v>
      </c>
      <c r="R9" s="187" t="s">
        <v>198</v>
      </c>
    </row>
    <row r="10" spans="1:18" x14ac:dyDescent="0.25">
      <c r="A10" s="183" t="s">
        <v>4912</v>
      </c>
      <c r="B10" s="183">
        <v>1005367113</v>
      </c>
      <c r="C10" s="183" t="s">
        <v>4913</v>
      </c>
      <c r="D10" s="183" t="s">
        <v>136</v>
      </c>
      <c r="E10" s="183"/>
      <c r="F10" s="183" t="s">
        <v>2731</v>
      </c>
      <c r="G10" s="184">
        <v>42000</v>
      </c>
      <c r="H10" s="185"/>
      <c r="I10" s="184">
        <v>42000</v>
      </c>
      <c r="J10" s="185" t="s">
        <v>234</v>
      </c>
      <c r="K10" s="183"/>
      <c r="L10" s="184"/>
      <c r="M10" s="186"/>
      <c r="N10" s="187" t="s">
        <v>28</v>
      </c>
      <c r="O10" s="187" t="s">
        <v>20</v>
      </c>
      <c r="P10" s="187"/>
      <c r="Q10" s="187" t="s">
        <v>4914</v>
      </c>
      <c r="R10" s="187" t="s">
        <v>286</v>
      </c>
    </row>
    <row r="11" spans="1:18" x14ac:dyDescent="0.25">
      <c r="A11" s="183" t="s">
        <v>4915</v>
      </c>
      <c r="B11" s="183">
        <v>1094943242</v>
      </c>
      <c r="C11" s="183" t="s">
        <v>4916</v>
      </c>
      <c r="D11" s="183" t="s">
        <v>148</v>
      </c>
      <c r="E11" s="183" t="s">
        <v>4917</v>
      </c>
      <c r="F11" s="183" t="s">
        <v>2731</v>
      </c>
      <c r="G11" s="184">
        <v>42000</v>
      </c>
      <c r="H11" s="185"/>
      <c r="I11" s="184">
        <v>42000</v>
      </c>
      <c r="J11" s="185" t="s">
        <v>234</v>
      </c>
      <c r="K11" s="183"/>
      <c r="L11" s="184"/>
      <c r="M11" s="186"/>
      <c r="N11" s="187" t="s">
        <v>28</v>
      </c>
      <c r="O11" s="187" t="s">
        <v>20</v>
      </c>
      <c r="P11" s="187"/>
      <c r="Q11" s="187" t="s">
        <v>4918</v>
      </c>
      <c r="R11" s="187" t="s">
        <v>30</v>
      </c>
    </row>
    <row r="12" spans="1:18" x14ac:dyDescent="0.25">
      <c r="A12" s="187" t="s">
        <v>4919</v>
      </c>
      <c r="B12" s="191">
        <v>23031888</v>
      </c>
      <c r="C12" s="187" t="s">
        <v>4920</v>
      </c>
      <c r="D12" s="187" t="s">
        <v>123</v>
      </c>
      <c r="E12" s="187" t="s">
        <v>4921</v>
      </c>
      <c r="F12" s="187" t="s">
        <v>2731</v>
      </c>
      <c r="G12" s="192">
        <v>42000</v>
      </c>
      <c r="H12" s="187"/>
      <c r="I12" s="192">
        <v>42000</v>
      </c>
      <c r="J12" s="185" t="s">
        <v>234</v>
      </c>
      <c r="K12" s="187"/>
      <c r="L12" s="192"/>
      <c r="M12" s="193"/>
      <c r="N12" s="187" t="s">
        <v>28</v>
      </c>
      <c r="O12" s="187" t="s">
        <v>20</v>
      </c>
      <c r="P12" s="187"/>
      <c r="Q12" s="187" t="s">
        <v>4922</v>
      </c>
      <c r="R12" s="187" t="s">
        <v>61</v>
      </c>
    </row>
    <row r="13" spans="1:18" x14ac:dyDescent="0.25">
      <c r="A13" s="187" t="s">
        <v>4923</v>
      </c>
      <c r="B13" s="191">
        <v>1006292147</v>
      </c>
      <c r="C13" s="187" t="s">
        <v>4924</v>
      </c>
      <c r="D13" s="187" t="s">
        <v>4691</v>
      </c>
      <c r="E13" s="187" t="s">
        <v>4925</v>
      </c>
      <c r="F13" s="187" t="s">
        <v>2944</v>
      </c>
      <c r="G13" s="192">
        <v>57000</v>
      </c>
      <c r="H13" s="187"/>
      <c r="I13" s="192">
        <v>57000</v>
      </c>
      <c r="J13" s="185" t="s">
        <v>234</v>
      </c>
      <c r="K13" s="187"/>
      <c r="L13" s="192"/>
      <c r="M13" s="193"/>
      <c r="N13" s="187" t="s">
        <v>28</v>
      </c>
      <c r="O13" s="187" t="s">
        <v>20</v>
      </c>
      <c r="P13" s="187"/>
      <c r="Q13" s="187" t="s">
        <v>4926</v>
      </c>
      <c r="R13" s="187" t="s">
        <v>286</v>
      </c>
    </row>
    <row r="14" spans="1:18" x14ac:dyDescent="0.25">
      <c r="A14" s="194" t="s">
        <v>4927</v>
      </c>
      <c r="B14" s="183">
        <v>29331656</v>
      </c>
      <c r="C14" s="183">
        <v>3135587139</v>
      </c>
      <c r="D14" s="183" t="s">
        <v>4928</v>
      </c>
      <c r="E14" s="183" t="s">
        <v>2730</v>
      </c>
      <c r="F14" s="183" t="s">
        <v>4929</v>
      </c>
      <c r="G14" s="184">
        <v>82000</v>
      </c>
      <c r="H14" s="185"/>
      <c r="I14" s="184">
        <f t="shared" ref="I14:I16" si="0">G14+H14</f>
        <v>82000</v>
      </c>
      <c r="J14" s="195" t="s">
        <v>234</v>
      </c>
      <c r="K14" s="196"/>
      <c r="L14" s="184"/>
      <c r="M14" s="186"/>
      <c r="N14" s="187" t="s">
        <v>3353</v>
      </c>
      <c r="O14" s="187" t="s">
        <v>20</v>
      </c>
      <c r="P14" s="197"/>
      <c r="Q14" s="183" t="s">
        <v>4930</v>
      </c>
      <c r="R14" s="183" t="s">
        <v>3462</v>
      </c>
    </row>
    <row r="15" spans="1:18" x14ac:dyDescent="0.25">
      <c r="A15" s="194" t="s">
        <v>4931</v>
      </c>
      <c r="B15" s="183">
        <v>6212011</v>
      </c>
      <c r="C15" s="183">
        <v>3143641842</v>
      </c>
      <c r="D15" s="183" t="s">
        <v>4932</v>
      </c>
      <c r="E15" s="183" t="s">
        <v>2730</v>
      </c>
      <c r="F15" s="183" t="s">
        <v>4929</v>
      </c>
      <c r="G15" s="184">
        <v>82000</v>
      </c>
      <c r="H15" s="185"/>
      <c r="I15" s="184">
        <f t="shared" si="0"/>
        <v>82000</v>
      </c>
      <c r="J15" s="195" t="s">
        <v>234</v>
      </c>
      <c r="K15" s="196"/>
      <c r="L15" s="184"/>
      <c r="M15" s="186"/>
      <c r="N15" s="187" t="s">
        <v>3353</v>
      </c>
      <c r="O15" s="187" t="s">
        <v>20</v>
      </c>
      <c r="P15" s="197"/>
      <c r="Q15" s="183" t="s">
        <v>3471</v>
      </c>
      <c r="R15" s="183" t="s">
        <v>4933</v>
      </c>
    </row>
    <row r="16" spans="1:18" x14ac:dyDescent="0.25">
      <c r="A16" s="194" t="s">
        <v>4934</v>
      </c>
      <c r="B16" s="183">
        <v>6635313</v>
      </c>
      <c r="C16" s="183">
        <v>3117972756</v>
      </c>
      <c r="D16" s="183" t="s">
        <v>4935</v>
      </c>
      <c r="E16" s="183" t="s">
        <v>3141</v>
      </c>
      <c r="F16" s="183" t="s">
        <v>4929</v>
      </c>
      <c r="G16" s="184">
        <v>82000</v>
      </c>
      <c r="H16" s="185"/>
      <c r="I16" s="184">
        <f t="shared" si="0"/>
        <v>82000</v>
      </c>
      <c r="J16" s="195" t="s">
        <v>234</v>
      </c>
      <c r="K16" s="196"/>
      <c r="L16" s="184"/>
      <c r="M16" s="186"/>
      <c r="N16" s="187" t="s">
        <v>3353</v>
      </c>
      <c r="O16" s="187" t="s">
        <v>20</v>
      </c>
      <c r="P16" s="197"/>
      <c r="Q16" s="183" t="s">
        <v>3361</v>
      </c>
      <c r="R16" s="183" t="s">
        <v>4936</v>
      </c>
    </row>
    <row r="17" spans="1:19" x14ac:dyDescent="0.25">
      <c r="A17" s="194" t="s">
        <v>4937</v>
      </c>
      <c r="B17" s="194">
        <v>29757743</v>
      </c>
      <c r="C17" s="183">
        <v>3126409085</v>
      </c>
      <c r="D17" s="183" t="s">
        <v>3129</v>
      </c>
      <c r="E17" s="183" t="s">
        <v>3141</v>
      </c>
      <c r="F17" s="183" t="s">
        <v>1783</v>
      </c>
      <c r="G17" s="184">
        <v>82000</v>
      </c>
      <c r="H17" s="185"/>
      <c r="I17" s="184">
        <v>82000</v>
      </c>
      <c r="J17" s="195" t="s">
        <v>234</v>
      </c>
      <c r="K17" s="196"/>
      <c r="L17" s="184"/>
      <c r="M17" s="186"/>
      <c r="N17" s="187" t="s">
        <v>3353</v>
      </c>
      <c r="O17" s="187" t="s">
        <v>20</v>
      </c>
      <c r="P17" s="197"/>
      <c r="Q17" s="183" t="s">
        <v>3397</v>
      </c>
      <c r="R17" s="196" t="s">
        <v>4938</v>
      </c>
    </row>
    <row r="18" spans="1:19" x14ac:dyDescent="0.25">
      <c r="A18" s="183" t="s">
        <v>4939</v>
      </c>
      <c r="B18" s="183">
        <v>115193045</v>
      </c>
      <c r="C18" s="183" t="s">
        <v>4940</v>
      </c>
      <c r="D18" s="183" t="s">
        <v>4941</v>
      </c>
      <c r="E18" s="183" t="s">
        <v>4942</v>
      </c>
      <c r="F18" s="183" t="s">
        <v>2731</v>
      </c>
      <c r="G18" s="185">
        <v>57000</v>
      </c>
      <c r="H18" s="185"/>
      <c r="I18" s="185">
        <v>57000</v>
      </c>
      <c r="J18" s="198" t="s">
        <v>234</v>
      </c>
      <c r="K18" s="183"/>
      <c r="L18" s="184"/>
      <c r="M18" s="186"/>
      <c r="N18" s="187" t="s">
        <v>3354</v>
      </c>
      <c r="O18" s="187" t="s">
        <v>20</v>
      </c>
      <c r="P18" s="187"/>
      <c r="Q18" s="183" t="s">
        <v>4943</v>
      </c>
      <c r="R18" s="183"/>
    </row>
    <row r="19" spans="1:19" x14ac:dyDescent="0.25">
      <c r="A19" s="199" t="s">
        <v>4944</v>
      </c>
      <c r="B19" s="199">
        <v>24674431</v>
      </c>
      <c r="C19" s="199">
        <v>3103471003</v>
      </c>
      <c r="D19" s="199" t="s">
        <v>162</v>
      </c>
      <c r="E19" s="199">
        <v>88</v>
      </c>
      <c r="F19" s="199" t="s">
        <v>3653</v>
      </c>
      <c r="G19" s="200">
        <v>42000</v>
      </c>
      <c r="H19" s="201"/>
      <c r="I19" s="200">
        <f>G19</f>
        <v>42000</v>
      </c>
      <c r="J19" s="201" t="s">
        <v>26</v>
      </c>
      <c r="K19" s="199" t="s">
        <v>85</v>
      </c>
      <c r="L19" s="200">
        <v>42000</v>
      </c>
      <c r="M19" s="202">
        <v>45567</v>
      </c>
      <c r="N19" s="203" t="s">
        <v>28</v>
      </c>
      <c r="O19" s="203" t="s">
        <v>20</v>
      </c>
      <c r="P19" s="203"/>
      <c r="Q19" s="199" t="s">
        <v>4945</v>
      </c>
      <c r="R19" s="199" t="s">
        <v>30</v>
      </c>
    </row>
    <row r="21" spans="1:19" ht="15.75" customHeight="1" x14ac:dyDescent="0.25"/>
    <row r="22" spans="1:19" ht="15.75" customHeight="1" x14ac:dyDescent="0.25"/>
    <row r="23" spans="1:19" ht="15.75" customHeight="1" x14ac:dyDescent="0.25">
      <c r="A23" s="183" t="s">
        <v>4946</v>
      </c>
      <c r="B23" s="183">
        <v>24675115</v>
      </c>
      <c r="C23" s="183">
        <v>3148227676</v>
      </c>
      <c r="D23" s="183" t="s">
        <v>1494</v>
      </c>
      <c r="E23" s="183">
        <v>94</v>
      </c>
      <c r="F23" s="183" t="s">
        <v>2731</v>
      </c>
      <c r="G23" s="184">
        <v>42000</v>
      </c>
      <c r="H23" s="185"/>
      <c r="I23" s="184">
        <f t="shared" ref="I23:I24" si="1">G23</f>
        <v>42000</v>
      </c>
      <c r="J23" s="185" t="s">
        <v>234</v>
      </c>
      <c r="K23" s="183"/>
      <c r="L23" s="184"/>
      <c r="M23" s="186"/>
      <c r="N23" s="187" t="s">
        <v>28</v>
      </c>
      <c r="O23" s="187" t="s">
        <v>20</v>
      </c>
      <c r="P23" s="187"/>
      <c r="Q23" s="183" t="s">
        <v>4947</v>
      </c>
      <c r="R23" s="183" t="s">
        <v>224</v>
      </c>
    </row>
    <row r="24" spans="1:19" ht="15.75" customHeight="1" x14ac:dyDescent="0.25">
      <c r="A24" s="183" t="s">
        <v>4891</v>
      </c>
      <c r="B24" s="183">
        <v>9800841</v>
      </c>
      <c r="C24" s="188" t="s">
        <v>4948</v>
      </c>
      <c r="D24" s="183" t="s">
        <v>168</v>
      </c>
      <c r="E24" s="188">
        <v>187</v>
      </c>
      <c r="F24" s="183" t="s">
        <v>2731</v>
      </c>
      <c r="G24" s="184">
        <v>42000</v>
      </c>
      <c r="H24" s="183"/>
      <c r="I24" s="184">
        <f t="shared" si="1"/>
        <v>42000</v>
      </c>
      <c r="J24" s="185" t="s">
        <v>234</v>
      </c>
      <c r="K24" s="183"/>
      <c r="L24" s="184"/>
      <c r="M24" s="186"/>
      <c r="N24" s="187" t="s">
        <v>28</v>
      </c>
      <c r="O24" s="187" t="s">
        <v>20</v>
      </c>
      <c r="P24" s="193">
        <v>45597</v>
      </c>
      <c r="Q24" s="183" t="s">
        <v>4949</v>
      </c>
      <c r="R24" s="183" t="s">
        <v>30</v>
      </c>
    </row>
    <row r="25" spans="1:19" ht="15.75" customHeight="1" x14ac:dyDescent="0.25">
      <c r="A25" s="189" t="s">
        <v>4950</v>
      </c>
      <c r="B25" s="189">
        <v>94524026</v>
      </c>
      <c r="C25" s="190" t="s">
        <v>4951</v>
      </c>
      <c r="D25" s="189" t="s">
        <v>181</v>
      </c>
      <c r="E25" s="190" t="s">
        <v>4952</v>
      </c>
      <c r="F25" s="183" t="s">
        <v>2731</v>
      </c>
      <c r="G25" s="184">
        <v>42000</v>
      </c>
      <c r="H25" s="185"/>
      <c r="I25" s="184">
        <v>42000</v>
      </c>
      <c r="J25" s="185" t="s">
        <v>234</v>
      </c>
      <c r="K25" s="189"/>
      <c r="L25" s="184"/>
      <c r="M25" s="186"/>
      <c r="N25" s="187" t="s">
        <v>28</v>
      </c>
      <c r="O25" s="187" t="s">
        <v>20</v>
      </c>
      <c r="P25" s="193">
        <v>45603</v>
      </c>
      <c r="Q25" s="187" t="s">
        <v>1740</v>
      </c>
      <c r="R25" s="187" t="s">
        <v>819</v>
      </c>
    </row>
    <row r="26" spans="1:19" ht="15.75" customHeight="1" x14ac:dyDescent="0.25">
      <c r="A26" s="183" t="s">
        <v>4953</v>
      </c>
      <c r="B26" s="183">
        <v>24675544</v>
      </c>
      <c r="C26" s="188" t="s">
        <v>4954</v>
      </c>
      <c r="D26" s="183" t="s">
        <v>156</v>
      </c>
      <c r="E26" s="188" t="s">
        <v>4955</v>
      </c>
      <c r="F26" s="183" t="s">
        <v>2731</v>
      </c>
      <c r="G26" s="184">
        <v>42000</v>
      </c>
      <c r="H26" s="185"/>
      <c r="I26" s="184">
        <v>42000</v>
      </c>
      <c r="J26" s="185" t="s">
        <v>234</v>
      </c>
      <c r="K26" s="183"/>
      <c r="L26" s="184"/>
      <c r="M26" s="186"/>
      <c r="N26" s="187" t="s">
        <v>28</v>
      </c>
      <c r="O26" s="187" t="s">
        <v>20</v>
      </c>
      <c r="P26" s="187"/>
      <c r="Q26" s="187" t="s">
        <v>4956</v>
      </c>
      <c r="R26" s="187" t="s">
        <v>30</v>
      </c>
    </row>
    <row r="27" spans="1:19" ht="15.75" customHeight="1" x14ac:dyDescent="0.25">
      <c r="A27" s="183" t="s">
        <v>4957</v>
      </c>
      <c r="B27" s="183">
        <v>1099683992</v>
      </c>
      <c r="C27" s="188" t="s">
        <v>4958</v>
      </c>
      <c r="D27" s="183" t="s">
        <v>174</v>
      </c>
      <c r="E27" s="188" t="s">
        <v>4959</v>
      </c>
      <c r="F27" s="183" t="s">
        <v>2731</v>
      </c>
      <c r="G27" s="184">
        <v>42000</v>
      </c>
      <c r="H27" s="185"/>
      <c r="I27" s="184">
        <v>42000</v>
      </c>
      <c r="J27" s="185" t="s">
        <v>234</v>
      </c>
      <c r="K27" s="183"/>
      <c r="L27" s="184"/>
      <c r="M27" s="186"/>
      <c r="N27" s="187" t="s">
        <v>28</v>
      </c>
      <c r="O27" s="187" t="s">
        <v>20</v>
      </c>
      <c r="P27" s="193">
        <v>45602</v>
      </c>
      <c r="Q27" s="187" t="s">
        <v>37</v>
      </c>
      <c r="R27" s="187" t="s">
        <v>36</v>
      </c>
    </row>
    <row r="28" spans="1:19" ht="15.75" customHeight="1" x14ac:dyDescent="0.25">
      <c r="A28" s="187" t="s">
        <v>4960</v>
      </c>
      <c r="B28" s="191">
        <v>1015458377</v>
      </c>
      <c r="C28" s="204" t="s">
        <v>4961</v>
      </c>
      <c r="D28" s="187" t="s">
        <v>975</v>
      </c>
      <c r="E28" s="204" t="s">
        <v>4962</v>
      </c>
      <c r="F28" s="183" t="s">
        <v>2731</v>
      </c>
      <c r="G28" s="192">
        <v>42000</v>
      </c>
      <c r="H28" s="187"/>
      <c r="I28" s="192">
        <v>42000</v>
      </c>
      <c r="J28" s="185" t="s">
        <v>234</v>
      </c>
      <c r="K28" s="187"/>
      <c r="L28" s="192"/>
      <c r="M28" s="205"/>
      <c r="N28" s="187" t="s">
        <v>28</v>
      </c>
      <c r="O28" s="187" t="s">
        <v>20</v>
      </c>
      <c r="P28" s="193">
        <v>45597</v>
      </c>
      <c r="Q28" s="187" t="s">
        <v>4963</v>
      </c>
      <c r="R28" s="187" t="s">
        <v>61</v>
      </c>
    </row>
    <row r="29" spans="1:19" ht="15.75" customHeight="1" x14ac:dyDescent="0.25">
      <c r="A29" s="187" t="s">
        <v>4964</v>
      </c>
      <c r="B29" s="191">
        <v>1099684259</v>
      </c>
      <c r="C29" s="187">
        <v>3154434713</v>
      </c>
      <c r="D29" s="187" t="s">
        <v>469</v>
      </c>
      <c r="E29" s="187" t="s">
        <v>1539</v>
      </c>
      <c r="F29" s="183" t="s">
        <v>2731</v>
      </c>
      <c r="G29" s="192">
        <v>42000</v>
      </c>
      <c r="H29" s="187"/>
      <c r="I29" s="192">
        <v>42000</v>
      </c>
      <c r="J29" s="185" t="s">
        <v>234</v>
      </c>
      <c r="K29" s="187"/>
      <c r="L29" s="192"/>
      <c r="M29" s="205"/>
      <c r="N29" s="187" t="s">
        <v>28</v>
      </c>
      <c r="O29" s="187" t="s">
        <v>20</v>
      </c>
      <c r="P29" s="187"/>
      <c r="Q29" s="187" t="s">
        <v>4965</v>
      </c>
      <c r="R29" s="187" t="s">
        <v>151</v>
      </c>
    </row>
    <row r="30" spans="1:19" ht="15.75" customHeight="1" x14ac:dyDescent="0.25">
      <c r="A30" s="187" t="s">
        <v>4966</v>
      </c>
      <c r="B30" s="191">
        <v>1005091221</v>
      </c>
      <c r="C30" s="206" t="s">
        <v>4967</v>
      </c>
      <c r="D30" s="187" t="s">
        <v>162</v>
      </c>
      <c r="E30" s="206" t="s">
        <v>4968</v>
      </c>
      <c r="F30" s="183" t="s">
        <v>2731</v>
      </c>
      <c r="G30" s="192">
        <v>42000</v>
      </c>
      <c r="H30" s="187"/>
      <c r="I30" s="192">
        <v>42000</v>
      </c>
      <c r="J30" s="185" t="s">
        <v>234</v>
      </c>
      <c r="K30" s="187"/>
      <c r="L30" s="192"/>
      <c r="M30" s="205"/>
      <c r="N30" s="187" t="s">
        <v>28</v>
      </c>
      <c r="O30" s="187" t="s">
        <v>20</v>
      </c>
      <c r="P30" s="193">
        <v>45597</v>
      </c>
      <c r="Q30" s="187" t="s">
        <v>4969</v>
      </c>
      <c r="R30" s="187" t="s">
        <v>4970</v>
      </c>
    </row>
    <row r="31" spans="1:19" ht="15.75" customHeight="1" x14ac:dyDescent="0.25">
      <c r="A31" s="183" t="s">
        <v>4971</v>
      </c>
      <c r="B31" s="183">
        <v>1151447482</v>
      </c>
      <c r="C31" s="188">
        <v>3229018314</v>
      </c>
      <c r="D31" s="183" t="s">
        <v>3229</v>
      </c>
      <c r="E31" s="183" t="s">
        <v>3028</v>
      </c>
      <c r="F31" s="183" t="s">
        <v>2731</v>
      </c>
      <c r="G31" s="185">
        <v>82000</v>
      </c>
      <c r="H31" s="185"/>
      <c r="I31" s="185">
        <f>G31</f>
        <v>82000</v>
      </c>
      <c r="J31" s="185" t="s">
        <v>234</v>
      </c>
      <c r="K31" s="183"/>
      <c r="L31" s="184"/>
      <c r="M31" s="186"/>
      <c r="N31" s="187" t="s">
        <v>3029</v>
      </c>
      <c r="O31" s="187" t="s">
        <v>20</v>
      </c>
      <c r="P31" s="187"/>
      <c r="Q31" s="183" t="s">
        <v>3045</v>
      </c>
      <c r="R31" s="183" t="s">
        <v>3158</v>
      </c>
    </row>
    <row r="32" spans="1:19" ht="15.75" customHeight="1" x14ac:dyDescent="0.25">
      <c r="A32" s="183" t="s">
        <v>4972</v>
      </c>
      <c r="B32" s="183">
        <v>24995928</v>
      </c>
      <c r="C32" s="188" t="s">
        <v>4973</v>
      </c>
      <c r="D32" s="183" t="s">
        <v>4974</v>
      </c>
      <c r="E32" s="188"/>
      <c r="F32" s="183" t="s">
        <v>2730</v>
      </c>
      <c r="G32" s="183" t="s">
        <v>1313</v>
      </c>
      <c r="H32" s="184">
        <v>40000</v>
      </c>
      <c r="I32" s="185"/>
      <c r="J32" s="184">
        <v>40000</v>
      </c>
      <c r="K32" s="198" t="s">
        <v>234</v>
      </c>
      <c r="L32" s="183"/>
      <c r="M32" s="184"/>
      <c r="N32" s="186"/>
      <c r="O32" s="187" t="s">
        <v>2730</v>
      </c>
      <c r="P32" s="187" t="s">
        <v>20</v>
      </c>
      <c r="Q32" s="187"/>
      <c r="R32" s="183" t="s">
        <v>4975</v>
      </c>
      <c r="S32" s="183" t="s">
        <v>2970</v>
      </c>
    </row>
    <row r="33" spans="1:19" ht="15.75" customHeight="1" x14ac:dyDescent="0.25">
      <c r="A33" s="183" t="s">
        <v>4976</v>
      </c>
      <c r="B33" s="183">
        <v>1094728530</v>
      </c>
      <c r="C33" s="183" t="s">
        <v>4977</v>
      </c>
      <c r="D33" s="183" t="s">
        <v>4813</v>
      </c>
      <c r="E33" s="183" t="s">
        <v>4978</v>
      </c>
      <c r="F33" s="183" t="s">
        <v>2730</v>
      </c>
      <c r="G33" s="183" t="s">
        <v>105</v>
      </c>
      <c r="H33" s="184">
        <v>42000</v>
      </c>
      <c r="I33" s="185"/>
      <c r="J33" s="184">
        <v>42000</v>
      </c>
      <c r="K33" s="207" t="s">
        <v>234</v>
      </c>
      <c r="L33" s="183"/>
      <c r="M33" s="184"/>
      <c r="N33" s="186"/>
      <c r="O33" s="187" t="s">
        <v>2730</v>
      </c>
      <c r="P33" s="187" t="s">
        <v>20</v>
      </c>
      <c r="Q33" s="187"/>
      <c r="R33" s="183" t="s">
        <v>4979</v>
      </c>
      <c r="S33" s="183" t="s">
        <v>4980</v>
      </c>
    </row>
    <row r="34" spans="1:19" ht="15.75" customHeight="1" x14ac:dyDescent="0.25">
      <c r="A34" s="194" t="s">
        <v>4981</v>
      </c>
      <c r="B34" s="183">
        <v>1143939752</v>
      </c>
      <c r="C34" s="188">
        <v>3105471351</v>
      </c>
      <c r="D34" s="183" t="s">
        <v>4982</v>
      </c>
      <c r="E34" s="183" t="s">
        <v>3141</v>
      </c>
      <c r="F34" s="183" t="s">
        <v>1783</v>
      </c>
      <c r="G34" s="184">
        <v>122000</v>
      </c>
      <c r="H34" s="185"/>
      <c r="I34" s="184">
        <f t="shared" ref="I34:I35" si="2">G34+H34</f>
        <v>122000</v>
      </c>
      <c r="J34" s="195" t="s">
        <v>234</v>
      </c>
      <c r="K34" s="196"/>
      <c r="L34" s="184"/>
      <c r="M34" s="186"/>
      <c r="N34" s="187" t="s">
        <v>3353</v>
      </c>
      <c r="O34" s="187" t="s">
        <v>20</v>
      </c>
      <c r="P34" s="197"/>
      <c r="Q34" s="183" t="s">
        <v>3397</v>
      </c>
      <c r="R34" s="183" t="s">
        <v>4983</v>
      </c>
    </row>
    <row r="35" spans="1:19" ht="15.75" customHeight="1" x14ac:dyDescent="0.25">
      <c r="A35" s="194" t="s">
        <v>4984</v>
      </c>
      <c r="B35" s="183">
        <v>1116252272</v>
      </c>
      <c r="C35" s="183">
        <v>3165861612</v>
      </c>
      <c r="D35" s="183" t="s">
        <v>4796</v>
      </c>
      <c r="E35" s="183" t="s">
        <v>2730</v>
      </c>
      <c r="F35" s="183" t="s">
        <v>4929</v>
      </c>
      <c r="G35" s="184">
        <v>82000</v>
      </c>
      <c r="H35" s="185"/>
      <c r="I35" s="184">
        <f t="shared" si="2"/>
        <v>82000</v>
      </c>
      <c r="J35" s="195" t="s">
        <v>234</v>
      </c>
      <c r="K35" s="196"/>
      <c r="L35" s="184"/>
      <c r="M35" s="186"/>
      <c r="N35" s="187" t="s">
        <v>3353</v>
      </c>
      <c r="O35" s="187" t="s">
        <v>20</v>
      </c>
      <c r="P35" s="197"/>
      <c r="Q35" s="183" t="s">
        <v>4985</v>
      </c>
      <c r="R35" s="196" t="s">
        <v>4986</v>
      </c>
    </row>
    <row r="36" spans="1:19" ht="15.75" customHeight="1" x14ac:dyDescent="0.25">
      <c r="A36" s="194" t="s">
        <v>4987</v>
      </c>
      <c r="B36" s="183">
        <v>79148866</v>
      </c>
      <c r="C36" s="183">
        <v>3153346398</v>
      </c>
      <c r="D36" s="183" t="s">
        <v>3508</v>
      </c>
      <c r="E36" s="183" t="s">
        <v>2730</v>
      </c>
      <c r="F36" s="183" t="s">
        <v>4929</v>
      </c>
      <c r="G36" s="184">
        <v>82000</v>
      </c>
      <c r="H36" s="185"/>
      <c r="I36" s="184">
        <f>G36</f>
        <v>82000</v>
      </c>
      <c r="J36" s="195" t="s">
        <v>234</v>
      </c>
      <c r="K36" s="196"/>
      <c r="L36" s="184"/>
      <c r="M36" s="186"/>
      <c r="N36" s="187" t="s">
        <v>3353</v>
      </c>
      <c r="O36" s="187" t="s">
        <v>20</v>
      </c>
      <c r="P36" s="197"/>
      <c r="Q36" s="183" t="s">
        <v>3471</v>
      </c>
      <c r="R36" s="183" t="s">
        <v>4988</v>
      </c>
    </row>
    <row r="37" spans="1:19" ht="15.75" customHeight="1" x14ac:dyDescent="0.25">
      <c r="A37" s="194" t="s">
        <v>4989</v>
      </c>
      <c r="B37" s="183">
        <v>1107008182</v>
      </c>
      <c r="C37" s="188" t="s">
        <v>4788</v>
      </c>
      <c r="D37" s="183" t="s">
        <v>4105</v>
      </c>
      <c r="E37" s="183"/>
      <c r="F37" s="183" t="s">
        <v>1313</v>
      </c>
      <c r="G37" s="185">
        <v>67000</v>
      </c>
      <c r="H37" s="185"/>
      <c r="I37" s="185">
        <v>67000</v>
      </c>
      <c r="J37" s="198" t="s">
        <v>234</v>
      </c>
      <c r="K37" s="191"/>
      <c r="L37" s="192"/>
      <c r="M37" s="205"/>
      <c r="N37" s="187" t="s">
        <v>3354</v>
      </c>
      <c r="O37" s="187" t="s">
        <v>20</v>
      </c>
      <c r="P37" s="187"/>
      <c r="Q37" s="187" t="s">
        <v>4990</v>
      </c>
      <c r="R37" s="187"/>
    </row>
    <row r="38" spans="1:19" ht="15.75" customHeight="1" x14ac:dyDescent="0.25">
      <c r="A38" s="183" t="s">
        <v>4991</v>
      </c>
      <c r="B38" s="183">
        <v>1097036921</v>
      </c>
      <c r="C38" s="183">
        <v>3117902600</v>
      </c>
      <c r="D38" s="183" t="s">
        <v>674</v>
      </c>
      <c r="E38" s="183"/>
      <c r="F38" s="183" t="s">
        <v>2731</v>
      </c>
      <c r="G38" s="184">
        <v>42000</v>
      </c>
      <c r="H38" s="185"/>
      <c r="I38" s="184">
        <v>42000</v>
      </c>
      <c r="J38" s="185" t="s">
        <v>234</v>
      </c>
      <c r="K38" s="183"/>
      <c r="L38" s="184"/>
      <c r="M38" s="186"/>
      <c r="N38" s="187" t="s">
        <v>28</v>
      </c>
      <c r="O38" s="187" t="s">
        <v>20</v>
      </c>
      <c r="P38" s="187"/>
      <c r="Q38" s="187" t="s">
        <v>4992</v>
      </c>
      <c r="R38" s="187" t="s">
        <v>4993</v>
      </c>
    </row>
    <row r="39" spans="1:19" ht="15.75" customHeight="1" x14ac:dyDescent="0.25">
      <c r="A39" s="183" t="s">
        <v>4972</v>
      </c>
      <c r="B39" s="183">
        <v>24995928</v>
      </c>
      <c r="C39" s="188" t="s">
        <v>4973</v>
      </c>
      <c r="D39" s="183" t="s">
        <v>4974</v>
      </c>
      <c r="E39" s="188"/>
      <c r="F39" s="183" t="s">
        <v>2730</v>
      </c>
      <c r="G39" s="183" t="s">
        <v>1313</v>
      </c>
      <c r="H39" s="184">
        <v>40000</v>
      </c>
      <c r="I39" s="185"/>
      <c r="J39" s="184">
        <v>40000</v>
      </c>
      <c r="K39" s="198" t="s">
        <v>234</v>
      </c>
      <c r="L39" s="183"/>
      <c r="M39" s="184"/>
      <c r="N39" s="186"/>
      <c r="O39" s="187" t="s">
        <v>2730</v>
      </c>
      <c r="P39" s="187" t="s">
        <v>20</v>
      </c>
      <c r="Q39" s="187"/>
      <c r="R39" s="183" t="s">
        <v>4975</v>
      </c>
      <c r="S39" s="183" t="s">
        <v>2970</v>
      </c>
    </row>
    <row r="40" spans="1:19" ht="15.75" customHeight="1" x14ac:dyDescent="0.25">
      <c r="A40" s="208" t="s">
        <v>4001</v>
      </c>
      <c r="B40" s="208">
        <v>43024297</v>
      </c>
      <c r="C40" s="209">
        <v>3105451153</v>
      </c>
      <c r="D40" s="209" t="s">
        <v>3525</v>
      </c>
      <c r="E40" s="209"/>
      <c r="F40" s="209" t="s">
        <v>2730</v>
      </c>
      <c r="G40" s="208" t="s">
        <v>1783</v>
      </c>
      <c r="H40" s="210">
        <v>82000</v>
      </c>
      <c r="I40" s="211"/>
      <c r="J40" s="210">
        <f>H40</f>
        <v>82000</v>
      </c>
      <c r="K40" s="198" t="s">
        <v>234</v>
      </c>
      <c r="L40" s="212"/>
      <c r="M40" s="210"/>
      <c r="N40" s="213"/>
      <c r="O40" s="214" t="s">
        <v>2730</v>
      </c>
      <c r="P40" s="214" t="s">
        <v>20</v>
      </c>
      <c r="Q40" s="215"/>
      <c r="R40" s="208" t="s">
        <v>4994</v>
      </c>
      <c r="S40" s="208" t="s">
        <v>4995</v>
      </c>
    </row>
    <row r="41" spans="1:19" ht="15.75" customHeight="1" x14ac:dyDescent="0.25">
      <c r="A41" s="194" t="s">
        <v>4996</v>
      </c>
      <c r="B41" s="183">
        <v>1092352079</v>
      </c>
      <c r="C41" s="183" t="s">
        <v>4997</v>
      </c>
      <c r="D41" s="183" t="s">
        <v>4170</v>
      </c>
      <c r="E41" s="183" t="s">
        <v>1782</v>
      </c>
      <c r="F41" s="183" t="s">
        <v>1783</v>
      </c>
      <c r="G41" s="185">
        <v>82000</v>
      </c>
      <c r="H41" s="185"/>
      <c r="I41" s="185">
        <v>82000</v>
      </c>
      <c r="J41" s="198" t="s">
        <v>234</v>
      </c>
      <c r="K41" s="216"/>
      <c r="L41" s="184"/>
      <c r="M41" s="186"/>
      <c r="N41" s="187" t="s">
        <v>3354</v>
      </c>
      <c r="O41" s="217" t="s">
        <v>20</v>
      </c>
      <c r="P41" s="187"/>
      <c r="Q41" s="183" t="s">
        <v>4998</v>
      </c>
      <c r="R41" s="183" t="s">
        <v>4141</v>
      </c>
    </row>
    <row r="42" spans="1:19" ht="15.75" customHeight="1" x14ac:dyDescent="0.25">
      <c r="A42" s="194" t="s">
        <v>4999</v>
      </c>
      <c r="B42" s="183">
        <v>1115183628</v>
      </c>
      <c r="C42" s="183" t="s">
        <v>5000</v>
      </c>
      <c r="D42" s="183" t="s">
        <v>4152</v>
      </c>
      <c r="E42" s="183" t="s">
        <v>5001</v>
      </c>
      <c r="F42" s="183" t="s">
        <v>2731</v>
      </c>
      <c r="G42" s="185">
        <v>42000</v>
      </c>
      <c r="H42" s="185"/>
      <c r="I42" s="185">
        <v>42000</v>
      </c>
      <c r="J42" s="198" t="s">
        <v>234</v>
      </c>
      <c r="K42" s="183"/>
      <c r="L42" s="184"/>
      <c r="M42" s="186"/>
      <c r="N42" s="218" t="s">
        <v>3354</v>
      </c>
      <c r="O42" s="187" t="s">
        <v>20</v>
      </c>
      <c r="P42" s="187"/>
      <c r="Q42" s="183" t="s">
        <v>5002</v>
      </c>
      <c r="R42" s="183" t="s">
        <v>5003</v>
      </c>
    </row>
    <row r="43" spans="1:19" ht="15.75" customHeight="1" x14ac:dyDescent="0.25">
      <c r="A43" s="194" t="s">
        <v>5004</v>
      </c>
      <c r="B43" s="183">
        <v>1115185587</v>
      </c>
      <c r="C43" s="183">
        <v>3105318616</v>
      </c>
      <c r="D43" s="183" t="s">
        <v>5005</v>
      </c>
      <c r="E43" s="183" t="s">
        <v>2730</v>
      </c>
      <c r="F43" s="183" t="s">
        <v>4929</v>
      </c>
      <c r="G43" s="184">
        <v>82000</v>
      </c>
      <c r="H43" s="185"/>
      <c r="I43" s="184">
        <f>G43+H43</f>
        <v>82000</v>
      </c>
      <c r="J43" s="195" t="s">
        <v>234</v>
      </c>
      <c r="K43" s="196"/>
      <c r="L43" s="184"/>
      <c r="M43" s="186"/>
      <c r="N43" s="187" t="s">
        <v>3353</v>
      </c>
      <c r="O43" s="187" t="s">
        <v>20</v>
      </c>
      <c r="P43" s="197"/>
      <c r="Q43" s="183" t="s">
        <v>5006</v>
      </c>
      <c r="R43" s="183" t="s">
        <v>3101</v>
      </c>
    </row>
    <row r="44" spans="1:19" ht="15.75" customHeight="1" x14ac:dyDescent="0.25">
      <c r="A44" s="183" t="s">
        <v>5007</v>
      </c>
      <c r="B44" s="183">
        <v>1099683804</v>
      </c>
      <c r="C44" s="183">
        <v>3127295414</v>
      </c>
      <c r="D44" s="183" t="s">
        <v>1009</v>
      </c>
      <c r="E44" s="183"/>
      <c r="F44" s="183" t="s">
        <v>2731</v>
      </c>
      <c r="G44" s="184">
        <v>42000</v>
      </c>
      <c r="H44" s="185"/>
      <c r="I44" s="184">
        <f>G44</f>
        <v>42000</v>
      </c>
      <c r="J44" s="185" t="s">
        <v>234</v>
      </c>
      <c r="K44" s="183"/>
      <c r="L44" s="184"/>
      <c r="M44" s="186"/>
      <c r="N44" s="187" t="s">
        <v>28</v>
      </c>
      <c r="O44" s="187" t="s">
        <v>20</v>
      </c>
      <c r="P44" s="187"/>
      <c r="Q44" s="183" t="s">
        <v>5008</v>
      </c>
      <c r="R44" s="183" t="s">
        <v>5009</v>
      </c>
    </row>
    <row r="45" spans="1:19" ht="15.75" customHeight="1" x14ac:dyDescent="0.25">
      <c r="A45" s="189" t="s">
        <v>5010</v>
      </c>
      <c r="B45" s="189">
        <v>1109544341</v>
      </c>
      <c r="C45" s="189" t="s">
        <v>5011</v>
      </c>
      <c r="D45" s="189" t="s">
        <v>271</v>
      </c>
      <c r="E45" s="189"/>
      <c r="F45" s="183" t="s">
        <v>2731</v>
      </c>
      <c r="G45" s="184">
        <v>42000</v>
      </c>
      <c r="H45" s="189"/>
      <c r="I45" s="184">
        <v>42000</v>
      </c>
      <c r="J45" s="185" t="s">
        <v>234</v>
      </c>
      <c r="K45" s="189"/>
      <c r="L45" s="184"/>
      <c r="M45" s="186"/>
      <c r="N45" s="187" t="s">
        <v>28</v>
      </c>
      <c r="O45" s="187" t="s">
        <v>20</v>
      </c>
      <c r="P45" s="187"/>
      <c r="Q45" s="187" t="s">
        <v>5012</v>
      </c>
      <c r="R45" s="187" t="s">
        <v>30</v>
      </c>
    </row>
    <row r="46" spans="1:19" ht="15.75" customHeight="1" x14ac:dyDescent="0.25">
      <c r="A46" s="194" t="s">
        <v>5013</v>
      </c>
      <c r="B46" s="194">
        <v>66963186</v>
      </c>
      <c r="C46" s="183">
        <v>3206838408</v>
      </c>
      <c r="D46" s="183" t="s">
        <v>3249</v>
      </c>
      <c r="E46" s="183" t="s">
        <v>3141</v>
      </c>
      <c r="F46" s="183" t="s">
        <v>1783</v>
      </c>
      <c r="G46" s="184">
        <v>82000</v>
      </c>
      <c r="H46" s="185"/>
      <c r="I46" s="184">
        <v>82000</v>
      </c>
      <c r="J46" s="195" t="s">
        <v>26</v>
      </c>
      <c r="K46" s="196" t="s">
        <v>427</v>
      </c>
      <c r="L46" s="184">
        <v>82000</v>
      </c>
      <c r="M46" s="186">
        <v>45602</v>
      </c>
      <c r="N46" s="187" t="s">
        <v>3353</v>
      </c>
      <c r="O46" s="187" t="s">
        <v>20</v>
      </c>
      <c r="P46" s="197"/>
      <c r="Q46" s="183" t="s">
        <v>3397</v>
      </c>
      <c r="R46" s="196" t="s">
        <v>5014</v>
      </c>
    </row>
    <row r="47" spans="1:19" ht="15.75" customHeight="1" x14ac:dyDescent="0.25">
      <c r="A47" s="183" t="s">
        <v>5015</v>
      </c>
      <c r="B47" s="183">
        <v>1085914882</v>
      </c>
      <c r="C47" s="183" t="s">
        <v>5016</v>
      </c>
      <c r="D47" s="183" t="s">
        <v>3536</v>
      </c>
      <c r="E47" s="183" t="s">
        <v>3141</v>
      </c>
      <c r="F47" s="183" t="s">
        <v>1313</v>
      </c>
      <c r="G47" s="185">
        <v>152000</v>
      </c>
      <c r="H47" s="185"/>
      <c r="I47" s="185">
        <v>152000</v>
      </c>
      <c r="J47" s="185" t="s">
        <v>26</v>
      </c>
      <c r="K47" s="183" t="s">
        <v>189</v>
      </c>
      <c r="L47" s="184">
        <v>152000</v>
      </c>
      <c r="M47" s="186">
        <v>45597</v>
      </c>
      <c r="N47" s="187" t="s">
        <v>3029</v>
      </c>
      <c r="O47" s="187" t="s">
        <v>20</v>
      </c>
      <c r="P47" s="187"/>
      <c r="Q47" s="183" t="s">
        <v>4562</v>
      </c>
      <c r="R47" s="183" t="s">
        <v>5017</v>
      </c>
    </row>
    <row r="48" spans="1:19" ht="15.75" customHeight="1" x14ac:dyDescent="0.25">
      <c r="A48" s="187" t="s">
        <v>5018</v>
      </c>
      <c r="B48" s="191">
        <v>1005367586</v>
      </c>
      <c r="C48" s="187" t="s">
        <v>5019</v>
      </c>
      <c r="D48" s="187" t="s">
        <v>244</v>
      </c>
      <c r="E48" s="187" t="s">
        <v>1979</v>
      </c>
      <c r="F48" s="183" t="s">
        <v>2944</v>
      </c>
      <c r="G48" s="192">
        <v>42000</v>
      </c>
      <c r="H48" s="187"/>
      <c r="I48" s="192">
        <v>42000</v>
      </c>
      <c r="J48" s="185" t="s">
        <v>234</v>
      </c>
      <c r="K48" s="187"/>
      <c r="L48" s="192"/>
      <c r="M48" s="205"/>
      <c r="N48" s="187" t="s">
        <v>28</v>
      </c>
      <c r="O48" s="187" t="s">
        <v>20</v>
      </c>
      <c r="P48" s="187"/>
      <c r="Q48" s="187" t="s">
        <v>384</v>
      </c>
      <c r="R48" s="187" t="s">
        <v>5020</v>
      </c>
    </row>
    <row r="49" spans="1:26" ht="15.75" customHeight="1" x14ac:dyDescent="0.25"/>
    <row r="50" spans="1:26" ht="15.75" customHeight="1" x14ac:dyDescent="0.25"/>
    <row r="51" spans="1:26" ht="15.75" customHeight="1" x14ac:dyDescent="0.25">
      <c r="A51" s="183" t="s">
        <v>5021</v>
      </c>
      <c r="B51" s="183">
        <v>94287186</v>
      </c>
      <c r="C51" s="183">
        <v>3123143606</v>
      </c>
      <c r="D51" s="183" t="s">
        <v>3531</v>
      </c>
      <c r="E51" s="183" t="s">
        <v>3028</v>
      </c>
      <c r="F51" s="183" t="s">
        <v>1783</v>
      </c>
      <c r="G51" s="185">
        <v>82000</v>
      </c>
      <c r="H51" s="185"/>
      <c r="I51" s="185">
        <f>G51</f>
        <v>82000</v>
      </c>
      <c r="J51" s="219" t="s">
        <v>234</v>
      </c>
      <c r="K51" s="183"/>
      <c r="L51" s="184"/>
      <c r="M51" s="186"/>
      <c r="N51" s="187" t="s">
        <v>3029</v>
      </c>
      <c r="O51" s="187" t="s">
        <v>20</v>
      </c>
      <c r="P51" s="187"/>
      <c r="Q51" s="183" t="s">
        <v>3075</v>
      </c>
      <c r="R51" s="183" t="s">
        <v>5022</v>
      </c>
    </row>
    <row r="52" spans="1:26" ht="15.75" customHeight="1" x14ac:dyDescent="0.25">
      <c r="A52" s="220" t="s">
        <v>409</v>
      </c>
      <c r="B52" s="220">
        <v>901451559</v>
      </c>
      <c r="C52" s="220">
        <v>3136608837</v>
      </c>
      <c r="D52" s="221" t="s">
        <v>239</v>
      </c>
      <c r="E52" s="220">
        <v>225</v>
      </c>
      <c r="F52" s="220" t="s">
        <v>2944</v>
      </c>
      <c r="G52" s="222">
        <v>42000</v>
      </c>
      <c r="H52" s="223">
        <v>7980</v>
      </c>
      <c r="I52" s="224">
        <f>G52+H52</f>
        <v>49980</v>
      </c>
      <c r="J52" s="225" t="s">
        <v>234</v>
      </c>
      <c r="K52" s="220" t="s">
        <v>85</v>
      </c>
      <c r="L52" s="224">
        <v>49980</v>
      </c>
      <c r="M52" s="226">
        <v>45777</v>
      </c>
      <c r="N52" s="227" t="s">
        <v>28</v>
      </c>
      <c r="O52" s="227" t="s">
        <v>20</v>
      </c>
      <c r="P52" s="227"/>
      <c r="Q52" s="220" t="s">
        <v>5023</v>
      </c>
      <c r="R52" s="220" t="s">
        <v>286</v>
      </c>
      <c r="S52" s="228" t="s">
        <v>5024</v>
      </c>
      <c r="T52" s="229"/>
      <c r="U52" s="229"/>
      <c r="V52" s="229"/>
      <c r="W52" s="229"/>
      <c r="X52" s="229"/>
      <c r="Y52" s="229"/>
      <c r="Z52" s="229"/>
    </row>
    <row r="53" spans="1:26" ht="15.75" customHeight="1" x14ac:dyDescent="0.25">
      <c r="A53" s="183" t="s">
        <v>5025</v>
      </c>
      <c r="B53" s="183">
        <v>1046932400</v>
      </c>
      <c r="C53" s="183">
        <v>3215645083</v>
      </c>
      <c r="D53" s="183" t="s">
        <v>5026</v>
      </c>
      <c r="E53" s="188"/>
      <c r="F53" s="183" t="s">
        <v>2944</v>
      </c>
      <c r="G53" s="184">
        <v>42000</v>
      </c>
      <c r="H53" s="187"/>
      <c r="I53" s="184">
        <f>G53</f>
        <v>42000</v>
      </c>
      <c r="J53" s="185" t="s">
        <v>234</v>
      </c>
      <c r="K53" s="183"/>
      <c r="L53" s="184"/>
      <c r="M53" s="186"/>
      <c r="N53" s="187" t="s">
        <v>28</v>
      </c>
      <c r="O53" s="187" t="s">
        <v>20</v>
      </c>
      <c r="P53" s="187"/>
      <c r="Q53" s="187" t="s">
        <v>30</v>
      </c>
      <c r="R53" s="187" t="s">
        <v>5027</v>
      </c>
      <c r="S53" s="230" t="s">
        <v>5028</v>
      </c>
    </row>
    <row r="54" spans="1:26" ht="15.75" customHeight="1" x14ac:dyDescent="0.25">
      <c r="A54" s="183" t="s">
        <v>1112</v>
      </c>
      <c r="B54" s="183">
        <v>1099682091</v>
      </c>
      <c r="C54" s="183">
        <v>3143621229</v>
      </c>
      <c r="D54" s="183" t="s">
        <v>447</v>
      </c>
      <c r="E54" s="188" t="s">
        <v>5029</v>
      </c>
      <c r="F54" s="183" t="s">
        <v>2944</v>
      </c>
      <c r="G54" s="184">
        <v>42000</v>
      </c>
      <c r="H54" s="185"/>
      <c r="I54" s="184">
        <v>42000</v>
      </c>
      <c r="J54" s="185" t="s">
        <v>234</v>
      </c>
      <c r="K54" s="183"/>
      <c r="L54" s="184"/>
      <c r="M54" s="186"/>
      <c r="N54" s="187" t="s">
        <v>28</v>
      </c>
      <c r="O54" s="187" t="s">
        <v>20</v>
      </c>
      <c r="P54" s="187"/>
      <c r="Q54" s="187" t="s">
        <v>5030</v>
      </c>
      <c r="R54" s="187" t="s">
        <v>2855</v>
      </c>
      <c r="S54" s="231" t="s">
        <v>1117</v>
      </c>
    </row>
    <row r="55" spans="1:26" ht="15.75" customHeight="1" x14ac:dyDescent="0.25">
      <c r="A55" s="183" t="s">
        <v>5031</v>
      </c>
      <c r="B55" s="183">
        <v>1005367160</v>
      </c>
      <c r="C55" s="183">
        <v>3147696217</v>
      </c>
      <c r="D55" s="183" t="s">
        <v>769</v>
      </c>
      <c r="E55" s="183" t="s">
        <v>5032</v>
      </c>
      <c r="F55" s="183" t="s">
        <v>2944</v>
      </c>
      <c r="G55" s="184">
        <v>42000</v>
      </c>
      <c r="H55" s="185"/>
      <c r="I55" s="184">
        <v>42000</v>
      </c>
      <c r="J55" s="185" t="s">
        <v>234</v>
      </c>
      <c r="K55" s="183"/>
      <c r="L55" s="184"/>
      <c r="M55" s="186"/>
      <c r="N55" s="187" t="s">
        <v>28</v>
      </c>
      <c r="O55" s="187" t="s">
        <v>20</v>
      </c>
      <c r="P55" s="187"/>
      <c r="Q55" s="187" t="s">
        <v>5033</v>
      </c>
      <c r="R55" s="187" t="s">
        <v>107</v>
      </c>
      <c r="S55" s="232" t="s">
        <v>5034</v>
      </c>
    </row>
    <row r="56" spans="1:26" ht="15.75" customHeight="1" x14ac:dyDescent="0.25">
      <c r="A56" s="220" t="s">
        <v>1746</v>
      </c>
      <c r="B56" s="220">
        <v>1094920678</v>
      </c>
      <c r="C56" s="220">
        <v>3207672171</v>
      </c>
      <c r="D56" s="220" t="s">
        <v>265</v>
      </c>
      <c r="E56" s="220"/>
      <c r="F56" s="220" t="s">
        <v>2944</v>
      </c>
      <c r="G56" s="224">
        <v>42000</v>
      </c>
      <c r="H56" s="225"/>
      <c r="I56" s="224">
        <v>42000</v>
      </c>
      <c r="J56" s="225" t="s">
        <v>234</v>
      </c>
      <c r="K56" s="220" t="s">
        <v>85</v>
      </c>
      <c r="L56" s="224">
        <v>42000</v>
      </c>
      <c r="M56" s="226">
        <v>45783</v>
      </c>
      <c r="N56" s="227" t="s">
        <v>28</v>
      </c>
      <c r="O56" s="227" t="s">
        <v>20</v>
      </c>
      <c r="P56" s="227"/>
      <c r="Q56" s="227" t="s">
        <v>5035</v>
      </c>
      <c r="R56" s="227" t="s">
        <v>5036</v>
      </c>
      <c r="S56" s="227"/>
      <c r="T56" s="229"/>
      <c r="U56" s="229"/>
      <c r="V56" s="229"/>
      <c r="W56" s="229"/>
      <c r="X56" s="229"/>
      <c r="Y56" s="229"/>
      <c r="Z56" s="229"/>
    </row>
    <row r="57" spans="1:26" ht="15.75" customHeight="1" x14ac:dyDescent="0.25">
      <c r="A57" s="187" t="s">
        <v>5037</v>
      </c>
      <c r="B57" s="191">
        <v>1099682675</v>
      </c>
      <c r="C57" s="187" t="s">
        <v>5038</v>
      </c>
      <c r="D57" s="187" t="s">
        <v>501</v>
      </c>
      <c r="E57" s="187" t="s">
        <v>5039</v>
      </c>
      <c r="F57" s="183" t="s">
        <v>1313</v>
      </c>
      <c r="G57" s="192">
        <v>57000</v>
      </c>
      <c r="H57" s="187"/>
      <c r="I57" s="192">
        <v>57000</v>
      </c>
      <c r="J57" s="185" t="s">
        <v>234</v>
      </c>
      <c r="K57" s="187"/>
      <c r="L57" s="192"/>
      <c r="M57" s="205"/>
      <c r="N57" s="187" t="s">
        <v>28</v>
      </c>
      <c r="O57" s="187" t="s">
        <v>20</v>
      </c>
      <c r="P57" s="187"/>
      <c r="Q57" s="187" t="s">
        <v>5040</v>
      </c>
      <c r="R57" s="187" t="s">
        <v>224</v>
      </c>
      <c r="S57" s="232" t="s">
        <v>5041</v>
      </c>
    </row>
    <row r="58" spans="1:26" ht="15.75" customHeight="1" x14ac:dyDescent="0.25">
      <c r="A58" s="187" t="s">
        <v>5042</v>
      </c>
      <c r="B58" s="191">
        <v>1099683933</v>
      </c>
      <c r="C58" s="187" t="s">
        <v>5043</v>
      </c>
      <c r="D58" s="187" t="s">
        <v>5044</v>
      </c>
      <c r="E58" s="204" t="s">
        <v>5</v>
      </c>
      <c r="F58" s="183" t="s">
        <v>2944</v>
      </c>
      <c r="G58" s="192">
        <v>42000</v>
      </c>
      <c r="H58" s="187"/>
      <c r="I58" s="192">
        <v>42000</v>
      </c>
      <c r="J58" s="185" t="s">
        <v>234</v>
      </c>
      <c r="K58" s="187"/>
      <c r="L58" s="192"/>
      <c r="M58" s="205"/>
      <c r="N58" s="187" t="s">
        <v>28</v>
      </c>
      <c r="O58" s="187" t="s">
        <v>20</v>
      </c>
      <c r="P58" s="187"/>
      <c r="Q58" s="187" t="s">
        <v>5045</v>
      </c>
      <c r="R58" s="187" t="s">
        <v>217</v>
      </c>
      <c r="S58" s="232" t="s">
        <v>5046</v>
      </c>
    </row>
    <row r="59" spans="1:26" ht="15.75" customHeight="1" x14ac:dyDescent="0.25">
      <c r="A59" s="183" t="s">
        <v>5047</v>
      </c>
      <c r="B59" s="183">
        <v>29741190</v>
      </c>
      <c r="C59" s="188">
        <v>3166912198</v>
      </c>
      <c r="D59" s="188" t="s">
        <v>3074</v>
      </c>
      <c r="E59" s="188" t="s">
        <v>3028</v>
      </c>
      <c r="F59" s="183" t="s">
        <v>1783</v>
      </c>
      <c r="G59" s="185">
        <v>82000</v>
      </c>
      <c r="H59" s="185"/>
      <c r="I59" s="185">
        <v>82000</v>
      </c>
      <c r="J59" s="185" t="s">
        <v>234</v>
      </c>
      <c r="K59" s="183"/>
      <c r="L59" s="184"/>
      <c r="M59" s="186"/>
      <c r="N59" s="187" t="s">
        <v>3029</v>
      </c>
      <c r="O59" s="187" t="s">
        <v>20</v>
      </c>
      <c r="P59" s="187"/>
      <c r="Q59" s="183" t="s">
        <v>3177</v>
      </c>
      <c r="R59" s="183"/>
      <c r="S59" s="233" t="s">
        <v>5048</v>
      </c>
    </row>
    <row r="60" spans="1:26" ht="15.75" customHeight="1" x14ac:dyDescent="0.25">
      <c r="A60" s="234" t="s">
        <v>5049</v>
      </c>
      <c r="B60" s="234">
        <v>1094728634</v>
      </c>
      <c r="C60" s="234" t="s">
        <v>5050</v>
      </c>
      <c r="D60" s="234" t="s">
        <v>5051</v>
      </c>
      <c r="E60" s="234" t="s">
        <v>5052</v>
      </c>
      <c r="F60" s="183" t="s">
        <v>2730</v>
      </c>
      <c r="G60" s="234" t="s">
        <v>1313</v>
      </c>
      <c r="H60" s="235">
        <v>39000</v>
      </c>
      <c r="I60" s="185"/>
      <c r="J60" s="184">
        <f>H60</f>
        <v>39000</v>
      </c>
      <c r="K60" s="198" t="s">
        <v>234</v>
      </c>
      <c r="L60" s="183"/>
      <c r="M60" s="184"/>
      <c r="N60" s="186"/>
      <c r="O60" s="187" t="s">
        <v>2730</v>
      </c>
      <c r="P60" s="187"/>
      <c r="Q60" s="187"/>
      <c r="R60" s="183" t="s">
        <v>5053</v>
      </c>
      <c r="S60" s="183"/>
      <c r="T60" s="233" t="s">
        <v>5054</v>
      </c>
    </row>
    <row r="61" spans="1:26" ht="15.75" customHeight="1" x14ac:dyDescent="0.25">
      <c r="A61" s="183" t="s">
        <v>5055</v>
      </c>
      <c r="B61" s="183">
        <v>1094728228</v>
      </c>
      <c r="C61" s="236" t="s">
        <v>5056</v>
      </c>
      <c r="D61" s="183" t="s">
        <v>5057</v>
      </c>
      <c r="E61" s="236" t="s">
        <v>5058</v>
      </c>
      <c r="F61" s="183" t="s">
        <v>2730</v>
      </c>
      <c r="G61" s="183" t="s">
        <v>1313</v>
      </c>
      <c r="H61" s="184">
        <v>39000</v>
      </c>
      <c r="I61" s="185"/>
      <c r="J61" s="184">
        <v>39000</v>
      </c>
      <c r="K61" s="198" t="s">
        <v>234</v>
      </c>
      <c r="L61" s="183"/>
      <c r="M61" s="184"/>
      <c r="N61" s="186"/>
      <c r="O61" s="187" t="s">
        <v>2730</v>
      </c>
      <c r="P61" s="187" t="s">
        <v>20</v>
      </c>
      <c r="Q61" s="187"/>
      <c r="R61" s="183" t="s">
        <v>5059</v>
      </c>
      <c r="S61" s="183"/>
      <c r="T61" s="233" t="s">
        <v>5060</v>
      </c>
    </row>
    <row r="62" spans="1:26" ht="15.75" customHeight="1" x14ac:dyDescent="0.25">
      <c r="A62" s="183" t="s">
        <v>5061</v>
      </c>
      <c r="B62" s="183">
        <v>79467349</v>
      </c>
      <c r="C62" s="183" t="s">
        <v>5062</v>
      </c>
      <c r="D62" s="183" t="s">
        <v>5057</v>
      </c>
      <c r="E62" s="183" t="s">
        <v>5063</v>
      </c>
      <c r="F62" s="183" t="s">
        <v>2730</v>
      </c>
      <c r="G62" s="183" t="s">
        <v>105</v>
      </c>
      <c r="H62" s="184">
        <v>42000</v>
      </c>
      <c r="I62" s="185"/>
      <c r="J62" s="184">
        <v>42000</v>
      </c>
      <c r="K62" s="198" t="s">
        <v>234</v>
      </c>
      <c r="L62" s="183"/>
      <c r="M62" s="184"/>
      <c r="N62" s="186"/>
      <c r="O62" s="187" t="s">
        <v>2730</v>
      </c>
      <c r="P62" s="187" t="s">
        <v>20</v>
      </c>
      <c r="Q62" s="187"/>
      <c r="R62" s="183" t="s">
        <v>5064</v>
      </c>
      <c r="S62" s="183" t="s">
        <v>30</v>
      </c>
      <c r="T62" s="233" t="s">
        <v>5065</v>
      </c>
    </row>
    <row r="63" spans="1:26" ht="15.75" customHeight="1" x14ac:dyDescent="0.25">
      <c r="A63" s="194" t="s">
        <v>5066</v>
      </c>
      <c r="B63" s="183">
        <v>66963828</v>
      </c>
      <c r="C63" s="183">
        <v>3153105178</v>
      </c>
      <c r="D63" s="183" t="s">
        <v>3546</v>
      </c>
      <c r="E63" s="183" t="s">
        <v>3141</v>
      </c>
      <c r="F63" s="183" t="s">
        <v>4929</v>
      </c>
      <c r="G63" s="184">
        <v>82000</v>
      </c>
      <c r="H63" s="185"/>
      <c r="I63" s="184">
        <f>G63+H63</f>
        <v>82000</v>
      </c>
      <c r="J63" s="195" t="s">
        <v>234</v>
      </c>
      <c r="K63" s="196"/>
      <c r="L63" s="237"/>
      <c r="M63" s="238"/>
      <c r="N63" s="187" t="s">
        <v>3353</v>
      </c>
      <c r="O63" s="187" t="s">
        <v>20</v>
      </c>
      <c r="P63" s="197"/>
      <c r="Q63" s="183" t="s">
        <v>3397</v>
      </c>
      <c r="R63" s="183" t="s">
        <v>3158</v>
      </c>
      <c r="S63" s="239" t="s">
        <v>4441</v>
      </c>
    </row>
    <row r="64" spans="1:26" ht="15.75" customHeight="1" x14ac:dyDescent="0.25">
      <c r="A64" s="240" t="s">
        <v>5067</v>
      </c>
      <c r="B64" s="240">
        <v>16803267</v>
      </c>
      <c r="C64" s="240" t="s">
        <v>5068</v>
      </c>
      <c r="D64" s="240" t="s">
        <v>5069</v>
      </c>
      <c r="E64" s="240" t="s">
        <v>2730</v>
      </c>
      <c r="F64" s="240" t="s">
        <v>1783</v>
      </c>
      <c r="G64" s="241">
        <v>82000</v>
      </c>
      <c r="H64" s="240"/>
      <c r="I64" s="241">
        <v>82000</v>
      </c>
      <c r="J64" s="195" t="s">
        <v>26</v>
      </c>
      <c r="K64" s="240" t="s">
        <v>85</v>
      </c>
      <c r="L64" s="241">
        <v>82000</v>
      </c>
      <c r="M64" s="242">
        <v>45631</v>
      </c>
      <c r="N64" s="240" t="s">
        <v>3353</v>
      </c>
      <c r="O64" s="187" t="s">
        <v>20</v>
      </c>
      <c r="P64" s="240"/>
      <c r="Q64" s="240" t="s">
        <v>3361</v>
      </c>
      <c r="R64" s="240" t="s">
        <v>5070</v>
      </c>
      <c r="S64" s="243" t="s">
        <v>5071</v>
      </c>
    </row>
    <row r="65" spans="1:26" ht="15.75" customHeight="1" x14ac:dyDescent="0.25">
      <c r="A65" s="194" t="s">
        <v>5072</v>
      </c>
      <c r="B65" s="183">
        <v>66961657</v>
      </c>
      <c r="C65" s="183" t="s">
        <v>4764</v>
      </c>
      <c r="D65" s="183" t="s">
        <v>4378</v>
      </c>
      <c r="E65" s="183" t="s">
        <v>5073</v>
      </c>
      <c r="F65" s="183" t="s">
        <v>2944</v>
      </c>
      <c r="G65" s="185">
        <v>57000</v>
      </c>
      <c r="H65" s="185"/>
      <c r="I65" s="185">
        <v>57000</v>
      </c>
      <c r="J65" s="198" t="s">
        <v>234</v>
      </c>
      <c r="K65" s="183"/>
      <c r="L65" s="184"/>
      <c r="M65" s="186"/>
      <c r="N65" s="218" t="s">
        <v>3354</v>
      </c>
      <c r="O65" s="187" t="s">
        <v>20</v>
      </c>
      <c r="P65" s="187"/>
      <c r="Q65" s="183" t="s">
        <v>5074</v>
      </c>
      <c r="R65" s="183" t="s">
        <v>683</v>
      </c>
      <c r="S65" s="233" t="s">
        <v>5075</v>
      </c>
    </row>
    <row r="66" spans="1:26" ht="18" customHeight="1" x14ac:dyDescent="0.25">
      <c r="A66" s="189" t="s">
        <v>5076</v>
      </c>
      <c r="B66" s="189">
        <v>1026154115</v>
      </c>
      <c r="C66" s="189">
        <v>3186417094</v>
      </c>
      <c r="D66" s="191" t="s">
        <v>5077</v>
      </c>
      <c r="E66" s="183" t="s">
        <v>2730</v>
      </c>
      <c r="F66" s="189" t="s">
        <v>4929</v>
      </c>
      <c r="G66" s="185">
        <v>82000</v>
      </c>
      <c r="H66" s="184"/>
      <c r="I66" s="185">
        <f>G66</f>
        <v>82000</v>
      </c>
      <c r="J66" s="185" t="s">
        <v>26</v>
      </c>
      <c r="K66" s="183" t="s">
        <v>189</v>
      </c>
      <c r="L66" s="184">
        <v>82000</v>
      </c>
      <c r="M66" s="186"/>
      <c r="N66" s="187" t="s">
        <v>4380</v>
      </c>
      <c r="O66" s="187" t="s">
        <v>20</v>
      </c>
      <c r="P66" s="187"/>
      <c r="Q66" s="189" t="s">
        <v>5078</v>
      </c>
      <c r="R66" s="189" t="s">
        <v>5079</v>
      </c>
      <c r="S66" s="239" t="s">
        <v>4441</v>
      </c>
    </row>
    <row r="67" spans="1:26" ht="15.75" customHeight="1" x14ac:dyDescent="0.25">
      <c r="A67" s="194" t="s">
        <v>5080</v>
      </c>
      <c r="B67" s="183">
        <v>901361477</v>
      </c>
      <c r="C67" s="183">
        <v>3112559711</v>
      </c>
      <c r="D67" s="183"/>
      <c r="E67" s="183"/>
      <c r="F67" s="183" t="s">
        <v>2944</v>
      </c>
      <c r="G67" s="185">
        <v>57000</v>
      </c>
      <c r="H67" s="185">
        <v>10830</v>
      </c>
      <c r="I67" s="185">
        <v>67830</v>
      </c>
      <c r="J67" s="198" t="s">
        <v>234</v>
      </c>
      <c r="K67" s="183"/>
      <c r="L67" s="184"/>
      <c r="M67" s="186"/>
      <c r="N67" s="187" t="s">
        <v>3354</v>
      </c>
      <c r="O67" s="217" t="s">
        <v>20</v>
      </c>
      <c r="P67" s="187"/>
      <c r="Q67" s="183" t="s">
        <v>3793</v>
      </c>
      <c r="R67" s="183" t="s">
        <v>5081</v>
      </c>
      <c r="S67" s="233" t="s">
        <v>5082</v>
      </c>
    </row>
    <row r="68" spans="1:26" ht="15.75" customHeight="1" x14ac:dyDescent="0.25">
      <c r="A68" s="194" t="s">
        <v>5083</v>
      </c>
      <c r="B68" s="183">
        <v>31410501</v>
      </c>
      <c r="C68" s="183" t="s">
        <v>5084</v>
      </c>
      <c r="D68" s="183" t="s">
        <v>5085</v>
      </c>
      <c r="E68" s="183" t="s">
        <v>3717</v>
      </c>
      <c r="F68" s="185">
        <v>82000</v>
      </c>
      <c r="G68" s="185">
        <v>15580</v>
      </c>
      <c r="H68" s="185">
        <v>97580</v>
      </c>
      <c r="I68" s="198" t="s">
        <v>234</v>
      </c>
      <c r="J68" s="183"/>
      <c r="K68" s="184"/>
      <c r="L68" s="186"/>
      <c r="M68" s="187" t="s">
        <v>3354</v>
      </c>
      <c r="N68" s="217" t="s">
        <v>20</v>
      </c>
      <c r="O68" s="187"/>
      <c r="P68" s="183" t="s">
        <v>4243</v>
      </c>
      <c r="Q68" s="183" t="s">
        <v>4079</v>
      </c>
      <c r="R68" s="233" t="s">
        <v>5086</v>
      </c>
    </row>
    <row r="69" spans="1:26" ht="15.75" customHeight="1" x14ac:dyDescent="0.25"/>
    <row r="70" spans="1:26" ht="15.75" customHeight="1" x14ac:dyDescent="0.25"/>
    <row r="71" spans="1:26" ht="15.75" customHeight="1" x14ac:dyDescent="0.25"/>
    <row r="72" spans="1:26" ht="15.75" customHeight="1" x14ac:dyDescent="0.25">
      <c r="A72" s="183" t="s">
        <v>5087</v>
      </c>
      <c r="B72" s="183">
        <v>1113310545</v>
      </c>
      <c r="C72" s="183" t="s">
        <v>5088</v>
      </c>
      <c r="D72" s="183" t="s">
        <v>4496</v>
      </c>
      <c r="E72" s="183" t="s">
        <v>3028</v>
      </c>
      <c r="F72" s="183" t="s">
        <v>1783</v>
      </c>
      <c r="G72" s="185">
        <v>82000</v>
      </c>
      <c r="H72" s="185"/>
      <c r="I72" s="185">
        <v>82000</v>
      </c>
      <c r="J72" s="185" t="s">
        <v>26</v>
      </c>
      <c r="K72" s="183" t="s">
        <v>189</v>
      </c>
      <c r="L72" s="184">
        <v>82000</v>
      </c>
      <c r="M72" s="186"/>
      <c r="N72" s="187" t="s">
        <v>3029</v>
      </c>
      <c r="O72" s="187" t="s">
        <v>20</v>
      </c>
      <c r="P72" s="187"/>
      <c r="Q72" s="183" t="s">
        <v>5089</v>
      </c>
      <c r="R72" s="183" t="s">
        <v>5090</v>
      </c>
      <c r="S72" s="233" t="s">
        <v>5091</v>
      </c>
    </row>
    <row r="73" spans="1:26" ht="15.75" customHeight="1" x14ac:dyDescent="0.25">
      <c r="A73" s="189" t="s">
        <v>5092</v>
      </c>
      <c r="B73" s="189"/>
      <c r="C73" s="189"/>
      <c r="D73" s="189"/>
      <c r="E73" s="189"/>
      <c r="F73" s="189" t="s">
        <v>4585</v>
      </c>
      <c r="G73" s="184">
        <v>250000</v>
      </c>
      <c r="H73" s="185"/>
      <c r="I73" s="184">
        <v>250000</v>
      </c>
      <c r="J73" s="185" t="s">
        <v>26</v>
      </c>
      <c r="K73" s="189" t="s">
        <v>3306</v>
      </c>
      <c r="L73" s="184" t="s">
        <v>5093</v>
      </c>
      <c r="M73" s="186"/>
      <c r="N73" s="187" t="s">
        <v>28</v>
      </c>
      <c r="O73" s="187" t="s">
        <v>20</v>
      </c>
      <c r="P73" s="187"/>
      <c r="Q73" s="187"/>
      <c r="R73" s="187"/>
      <c r="S73" s="187"/>
    </row>
    <row r="74" spans="1:26" ht="15.75" customHeight="1" x14ac:dyDescent="0.25">
      <c r="A74" s="183" t="s">
        <v>5094</v>
      </c>
      <c r="B74" s="183">
        <v>1099683373</v>
      </c>
      <c r="C74" s="183">
        <v>3128887561</v>
      </c>
      <c r="D74" s="183" t="s">
        <v>749</v>
      </c>
      <c r="E74" s="183" t="s">
        <v>5095</v>
      </c>
      <c r="F74" s="183" t="s">
        <v>2944</v>
      </c>
      <c r="G74" s="184">
        <v>42000</v>
      </c>
      <c r="H74" s="185"/>
      <c r="I74" s="184">
        <f t="shared" ref="I74:I75" si="3">G74</f>
        <v>42000</v>
      </c>
      <c r="J74" s="185" t="s">
        <v>234</v>
      </c>
      <c r="K74" s="183"/>
      <c r="L74" s="184"/>
      <c r="M74" s="186"/>
      <c r="N74" s="187" t="s">
        <v>28</v>
      </c>
      <c r="O74" s="187" t="s">
        <v>20</v>
      </c>
      <c r="P74" s="187"/>
      <c r="Q74" s="183" t="s">
        <v>5096</v>
      </c>
      <c r="R74" s="183" t="s">
        <v>67</v>
      </c>
    </row>
    <row r="75" spans="1:26" ht="15.75" customHeight="1" x14ac:dyDescent="0.25">
      <c r="A75" s="183" t="s">
        <v>5097</v>
      </c>
      <c r="B75" s="183">
        <v>1099684030</v>
      </c>
      <c r="C75" s="183">
        <v>3503643014</v>
      </c>
      <c r="D75" s="183" t="s">
        <v>5098</v>
      </c>
      <c r="E75" s="183">
        <v>188</v>
      </c>
      <c r="F75" s="183" t="s">
        <v>1313</v>
      </c>
      <c r="G75" s="184">
        <v>57000</v>
      </c>
      <c r="H75" s="183"/>
      <c r="I75" s="184">
        <f t="shared" si="3"/>
        <v>57000</v>
      </c>
      <c r="J75" s="185" t="s">
        <v>234</v>
      </c>
      <c r="K75" s="183"/>
      <c r="L75" s="184"/>
      <c r="M75" s="186"/>
      <c r="N75" s="187" t="s">
        <v>28</v>
      </c>
      <c r="O75" s="187" t="s">
        <v>20</v>
      </c>
      <c r="P75" s="187"/>
      <c r="Q75" s="183" t="s">
        <v>5099</v>
      </c>
      <c r="R75" s="183" t="s">
        <v>1224</v>
      </c>
    </row>
    <row r="76" spans="1:26" ht="15.75" customHeight="1" x14ac:dyDescent="0.25">
      <c r="A76" s="244" t="s">
        <v>5100</v>
      </c>
      <c r="B76" s="244">
        <v>800180234</v>
      </c>
      <c r="C76" s="244"/>
      <c r="D76" s="244" t="s">
        <v>2215</v>
      </c>
      <c r="E76" s="244"/>
      <c r="F76" s="244" t="s">
        <v>4036</v>
      </c>
      <c r="G76" s="245">
        <v>102000</v>
      </c>
      <c r="H76" s="246">
        <v>19380</v>
      </c>
      <c r="I76" s="245">
        <v>121380</v>
      </c>
      <c r="J76" s="247" t="s">
        <v>234</v>
      </c>
      <c r="K76" s="244"/>
      <c r="L76" s="245"/>
      <c r="M76" s="248"/>
      <c r="N76" s="246" t="s">
        <v>28</v>
      </c>
      <c r="O76" s="246" t="s">
        <v>20</v>
      </c>
      <c r="P76" s="246"/>
      <c r="Q76" s="246" t="s">
        <v>5101</v>
      </c>
      <c r="R76" s="246"/>
      <c r="S76" s="249"/>
      <c r="T76" s="249"/>
      <c r="U76" s="249"/>
      <c r="V76" s="249"/>
      <c r="W76" s="249"/>
      <c r="X76" s="249"/>
      <c r="Y76" s="249"/>
      <c r="Z76" s="249"/>
    </row>
    <row r="77" spans="1:26" ht="15.75" customHeight="1" x14ac:dyDescent="0.25">
      <c r="A77" s="183" t="s">
        <v>5102</v>
      </c>
      <c r="B77" s="183">
        <v>1115192736</v>
      </c>
      <c r="C77" s="183">
        <v>3135508649</v>
      </c>
      <c r="D77" s="183" t="s">
        <v>348</v>
      </c>
      <c r="E77" s="183" t="s">
        <v>112</v>
      </c>
      <c r="F77" s="183" t="s">
        <v>2944</v>
      </c>
      <c r="G77" s="184">
        <v>42000</v>
      </c>
      <c r="H77" s="187"/>
      <c r="I77" s="184">
        <v>42000</v>
      </c>
      <c r="J77" s="185" t="s">
        <v>234</v>
      </c>
      <c r="K77" s="183"/>
      <c r="L77" s="184"/>
      <c r="M77" s="186"/>
      <c r="N77" s="187" t="s">
        <v>28</v>
      </c>
      <c r="O77" s="187" t="s">
        <v>20</v>
      </c>
      <c r="P77" s="187"/>
      <c r="Q77" s="187" t="s">
        <v>1079</v>
      </c>
      <c r="R77" s="187" t="s">
        <v>36</v>
      </c>
    </row>
    <row r="78" spans="1:26" ht="15.75" customHeight="1" x14ac:dyDescent="0.25">
      <c r="A78" s="189" t="s">
        <v>5103</v>
      </c>
      <c r="B78" s="189">
        <v>1026287627</v>
      </c>
      <c r="C78" s="189">
        <v>3104578071</v>
      </c>
      <c r="D78" s="189" t="s">
        <v>353</v>
      </c>
      <c r="E78" s="189"/>
      <c r="F78" s="183" t="s">
        <v>1313</v>
      </c>
      <c r="G78" s="184">
        <v>57000</v>
      </c>
      <c r="H78" s="185"/>
      <c r="I78" s="184">
        <v>57000</v>
      </c>
      <c r="J78" s="185" t="s">
        <v>234</v>
      </c>
      <c r="K78" s="189"/>
      <c r="L78" s="184"/>
      <c r="M78" s="186"/>
      <c r="N78" s="187" t="s">
        <v>28</v>
      </c>
      <c r="O78" s="187" t="s">
        <v>20</v>
      </c>
      <c r="P78" s="187"/>
      <c r="Q78" s="187" t="s">
        <v>5104</v>
      </c>
      <c r="R78" s="187" t="s">
        <v>30</v>
      </c>
    </row>
    <row r="79" spans="1:26" ht="15.75" customHeight="1" x14ac:dyDescent="0.25">
      <c r="A79" s="183" t="s">
        <v>5105</v>
      </c>
      <c r="B79" s="183">
        <v>1094899971</v>
      </c>
      <c r="C79" s="183">
        <v>3216808194</v>
      </c>
      <c r="D79" s="183" t="s">
        <v>4744</v>
      </c>
      <c r="E79" s="183" t="s">
        <v>5106</v>
      </c>
      <c r="F79" s="183" t="s">
        <v>2944</v>
      </c>
      <c r="G79" s="184">
        <v>42000</v>
      </c>
      <c r="H79" s="185"/>
      <c r="I79" s="184">
        <v>42000</v>
      </c>
      <c r="J79" s="185" t="s">
        <v>234</v>
      </c>
      <c r="K79" s="183"/>
      <c r="L79" s="184"/>
      <c r="M79" s="186"/>
      <c r="N79" s="187" t="s">
        <v>28</v>
      </c>
      <c r="O79" s="187" t="s">
        <v>20</v>
      </c>
      <c r="P79" s="187"/>
      <c r="Q79" s="187" t="s">
        <v>5107</v>
      </c>
      <c r="R79" s="187" t="s">
        <v>107</v>
      </c>
    </row>
    <row r="80" spans="1:26" ht="15.75" customHeight="1" x14ac:dyDescent="0.25">
      <c r="A80" s="187" t="s">
        <v>5108</v>
      </c>
      <c r="B80" s="191">
        <v>1005367350</v>
      </c>
      <c r="C80" s="187" t="s">
        <v>5109</v>
      </c>
      <c r="D80" s="187" t="s">
        <v>5110</v>
      </c>
      <c r="E80" s="187"/>
      <c r="F80" s="183" t="s">
        <v>2944</v>
      </c>
      <c r="G80" s="192">
        <v>42000</v>
      </c>
      <c r="H80" s="187"/>
      <c r="I80" s="192">
        <v>42000</v>
      </c>
      <c r="J80" s="185" t="s">
        <v>234</v>
      </c>
      <c r="K80" s="187"/>
      <c r="L80" s="192"/>
      <c r="M80" s="205"/>
      <c r="N80" s="187" t="s">
        <v>28</v>
      </c>
      <c r="O80" s="187" t="s">
        <v>20</v>
      </c>
      <c r="P80" s="187"/>
      <c r="Q80" s="187" t="s">
        <v>5111</v>
      </c>
      <c r="R80" s="187" t="s">
        <v>497</v>
      </c>
    </row>
    <row r="81" spans="1:18" ht="15.75" customHeight="1" x14ac:dyDescent="0.25">
      <c r="A81" s="187" t="s">
        <v>5112</v>
      </c>
      <c r="B81" s="191">
        <v>10260814</v>
      </c>
      <c r="C81" s="187">
        <v>3113617806</v>
      </c>
      <c r="D81" s="187" t="s">
        <v>377</v>
      </c>
      <c r="E81" s="187"/>
      <c r="F81" s="183" t="s">
        <v>4585</v>
      </c>
      <c r="G81" s="192">
        <v>67000</v>
      </c>
      <c r="H81" s="187"/>
      <c r="I81" s="192">
        <v>67000</v>
      </c>
      <c r="J81" s="185" t="s">
        <v>26</v>
      </c>
      <c r="K81" s="187" t="s">
        <v>189</v>
      </c>
      <c r="L81" s="192">
        <v>67000</v>
      </c>
      <c r="M81" s="205">
        <v>45663</v>
      </c>
      <c r="N81" s="187" t="s">
        <v>28</v>
      </c>
      <c r="O81" s="187" t="s">
        <v>20</v>
      </c>
      <c r="P81" s="187"/>
      <c r="Q81" s="187" t="s">
        <v>30</v>
      </c>
      <c r="R81" s="187" t="s">
        <v>234</v>
      </c>
    </row>
    <row r="82" spans="1:18" ht="15.75" customHeight="1" x14ac:dyDescent="0.25">
      <c r="A82" s="187" t="s">
        <v>5113</v>
      </c>
      <c r="B82" s="191">
        <v>1094903987</v>
      </c>
      <c r="C82" s="187">
        <v>3005445635</v>
      </c>
      <c r="D82" s="187" t="s">
        <v>359</v>
      </c>
      <c r="E82" s="187"/>
      <c r="F82" s="183" t="s">
        <v>2944</v>
      </c>
      <c r="G82" s="192">
        <v>42000</v>
      </c>
      <c r="H82" s="187"/>
      <c r="I82" s="192">
        <v>42000</v>
      </c>
      <c r="J82" s="185" t="s">
        <v>234</v>
      </c>
      <c r="K82" s="187"/>
      <c r="L82" s="192"/>
      <c r="M82" s="205"/>
      <c r="N82" s="187" t="s">
        <v>28</v>
      </c>
      <c r="O82" s="187" t="s">
        <v>20</v>
      </c>
      <c r="P82" s="187"/>
      <c r="Q82" s="187" t="s">
        <v>5114</v>
      </c>
      <c r="R82" s="187" t="s">
        <v>30</v>
      </c>
    </row>
    <row r="83" spans="1:18" ht="15.75" customHeight="1" x14ac:dyDescent="0.25">
      <c r="A83" s="187" t="s">
        <v>5115</v>
      </c>
      <c r="B83" s="191">
        <v>1004737525</v>
      </c>
      <c r="C83" s="187" t="s">
        <v>5116</v>
      </c>
      <c r="D83" s="187" t="s">
        <v>5117</v>
      </c>
      <c r="E83" s="187" t="s">
        <v>5118</v>
      </c>
      <c r="F83" s="183" t="s">
        <v>2944</v>
      </c>
      <c r="G83" s="192">
        <v>42000</v>
      </c>
      <c r="H83" s="187"/>
      <c r="I83" s="192">
        <v>42000</v>
      </c>
      <c r="J83" s="185" t="s">
        <v>26</v>
      </c>
      <c r="K83" s="187" t="s">
        <v>5119</v>
      </c>
      <c r="L83" s="192">
        <v>42000</v>
      </c>
      <c r="M83" s="205">
        <v>45660</v>
      </c>
      <c r="N83" s="187" t="s">
        <v>28</v>
      </c>
      <c r="O83" s="187" t="s">
        <v>20</v>
      </c>
      <c r="P83" s="187"/>
      <c r="Q83" s="187" t="s">
        <v>5120</v>
      </c>
      <c r="R83" s="187" t="s">
        <v>286</v>
      </c>
    </row>
    <row r="84" spans="1:18" ht="15.75" customHeight="1" x14ac:dyDescent="0.25">
      <c r="A84" s="187" t="s">
        <v>5121</v>
      </c>
      <c r="B84" s="191">
        <v>1099692100</v>
      </c>
      <c r="C84" s="187" t="s">
        <v>5122</v>
      </c>
      <c r="D84" s="187" t="s">
        <v>342</v>
      </c>
      <c r="E84" s="187" t="s">
        <v>5123</v>
      </c>
      <c r="F84" s="183" t="s">
        <v>2944</v>
      </c>
      <c r="G84" s="192">
        <v>42000</v>
      </c>
      <c r="H84" s="187"/>
      <c r="I84" s="192">
        <v>42000</v>
      </c>
      <c r="J84" s="185" t="s">
        <v>234</v>
      </c>
      <c r="K84" s="187"/>
      <c r="L84" s="192"/>
      <c r="M84" s="205"/>
      <c r="N84" s="187" t="s">
        <v>28</v>
      </c>
      <c r="O84" s="187" t="s">
        <v>20</v>
      </c>
      <c r="P84" s="187"/>
      <c r="Q84" s="187" t="s">
        <v>5124</v>
      </c>
      <c r="R84" s="187" t="s">
        <v>198</v>
      </c>
    </row>
    <row r="85" spans="1:18" ht="15.75" customHeight="1" x14ac:dyDescent="0.25">
      <c r="A85" s="187" t="s">
        <v>5125</v>
      </c>
      <c r="B85" s="191">
        <v>4426122</v>
      </c>
      <c r="C85" s="187" t="s">
        <v>5126</v>
      </c>
      <c r="D85" s="187" t="s">
        <v>5127</v>
      </c>
      <c r="E85" s="187" t="s">
        <v>5128</v>
      </c>
      <c r="F85" s="187" t="s">
        <v>4585</v>
      </c>
      <c r="G85" s="192">
        <v>67000</v>
      </c>
      <c r="H85" s="187"/>
      <c r="I85" s="192">
        <v>67000</v>
      </c>
      <c r="J85" s="185" t="s">
        <v>234</v>
      </c>
      <c r="K85" s="187"/>
      <c r="L85" s="192"/>
      <c r="M85" s="205"/>
      <c r="N85" s="187" t="s">
        <v>28</v>
      </c>
      <c r="O85" s="187" t="s">
        <v>20</v>
      </c>
      <c r="P85" s="187"/>
      <c r="Q85" s="187" t="s">
        <v>5129</v>
      </c>
      <c r="R85" s="187" t="s">
        <v>5130</v>
      </c>
    </row>
    <row r="86" spans="1:18" ht="15.75" customHeight="1" x14ac:dyDescent="0.25">
      <c r="A86" s="183" t="s">
        <v>5131</v>
      </c>
      <c r="B86" s="183">
        <v>1111808755</v>
      </c>
      <c r="C86" s="188">
        <v>3172740631</v>
      </c>
      <c r="D86" s="183" t="s">
        <v>4324</v>
      </c>
      <c r="E86" s="183" t="s">
        <v>3028</v>
      </c>
      <c r="F86" s="183" t="s">
        <v>1783</v>
      </c>
      <c r="G86" s="185">
        <v>82000</v>
      </c>
      <c r="H86" s="185"/>
      <c r="I86" s="185">
        <v>82000</v>
      </c>
      <c r="J86" s="185" t="s">
        <v>234</v>
      </c>
      <c r="K86" s="183"/>
      <c r="L86" s="184"/>
      <c r="M86" s="186"/>
      <c r="N86" s="187" t="s">
        <v>3029</v>
      </c>
      <c r="O86" s="187" t="s">
        <v>20</v>
      </c>
      <c r="P86" s="187"/>
      <c r="Q86" s="183" t="s">
        <v>4697</v>
      </c>
      <c r="R86" s="183" t="s">
        <v>5132</v>
      </c>
    </row>
    <row r="87" spans="1:18" ht="15.75" customHeight="1" x14ac:dyDescent="0.25">
      <c r="A87" s="183" t="s">
        <v>4625</v>
      </c>
      <c r="B87" s="183">
        <v>29819822</v>
      </c>
      <c r="C87" s="188" t="s">
        <v>5133</v>
      </c>
      <c r="D87" s="183" t="s">
        <v>3187</v>
      </c>
      <c r="E87" s="183" t="s">
        <v>3028</v>
      </c>
      <c r="F87" s="183" t="s">
        <v>1783</v>
      </c>
      <c r="G87" s="185">
        <v>82000</v>
      </c>
      <c r="H87" s="185"/>
      <c r="I87" s="185">
        <v>82000</v>
      </c>
      <c r="J87" s="185" t="s">
        <v>234</v>
      </c>
      <c r="K87" s="187"/>
      <c r="L87" s="187"/>
      <c r="M87" s="187"/>
      <c r="N87" s="187" t="s">
        <v>3029</v>
      </c>
      <c r="O87" s="187" t="s">
        <v>20</v>
      </c>
      <c r="P87" s="187"/>
      <c r="Q87" s="183" t="s">
        <v>5134</v>
      </c>
      <c r="R87" s="183" t="s">
        <v>5135</v>
      </c>
    </row>
    <row r="88" spans="1:18" ht="15.75" customHeight="1" x14ac:dyDescent="0.25">
      <c r="A88" s="183" t="s">
        <v>5136</v>
      </c>
      <c r="B88" s="183">
        <v>110930091</v>
      </c>
      <c r="C88" s="188">
        <v>3214976704</v>
      </c>
      <c r="D88" s="183" t="s">
        <v>5137</v>
      </c>
      <c r="E88" s="183" t="s">
        <v>1313</v>
      </c>
      <c r="F88" s="184">
        <v>39000</v>
      </c>
      <c r="G88" s="185"/>
      <c r="I88" s="184">
        <v>39000</v>
      </c>
      <c r="J88" s="185" t="s">
        <v>234</v>
      </c>
      <c r="M88" s="187" t="s">
        <v>2730</v>
      </c>
      <c r="N88" s="187" t="s">
        <v>20</v>
      </c>
      <c r="O88" s="187"/>
      <c r="P88" s="183" t="s">
        <v>5138</v>
      </c>
      <c r="Q88" s="183"/>
    </row>
    <row r="89" spans="1:18" ht="15.75" customHeight="1" x14ac:dyDescent="0.25">
      <c r="A89" s="183" t="s">
        <v>5139</v>
      </c>
      <c r="B89" s="183">
        <v>76043750</v>
      </c>
      <c r="C89" s="188" t="s">
        <v>5140</v>
      </c>
      <c r="D89" s="183" t="s">
        <v>2986</v>
      </c>
      <c r="E89" s="183" t="s">
        <v>105</v>
      </c>
      <c r="F89" s="184">
        <v>42000</v>
      </c>
      <c r="G89" s="185"/>
      <c r="I89" s="184">
        <v>42000</v>
      </c>
      <c r="J89" s="185" t="s">
        <v>234</v>
      </c>
      <c r="M89" s="187" t="s">
        <v>2730</v>
      </c>
      <c r="N89" s="187" t="s">
        <v>20</v>
      </c>
      <c r="O89" s="187"/>
      <c r="P89" s="183" t="s">
        <v>5141</v>
      </c>
      <c r="Q89" s="183" t="s">
        <v>2802</v>
      </c>
    </row>
    <row r="90" spans="1:18" ht="15.75" customHeight="1" x14ac:dyDescent="0.25">
      <c r="A90" s="183" t="s">
        <v>5142</v>
      </c>
      <c r="B90" s="183">
        <v>24474175</v>
      </c>
      <c r="C90" s="188" t="s">
        <v>5143</v>
      </c>
      <c r="D90" s="183" t="s">
        <v>5144</v>
      </c>
      <c r="E90" s="183" t="s">
        <v>1313</v>
      </c>
      <c r="F90" s="184">
        <v>39000</v>
      </c>
      <c r="G90" s="185"/>
      <c r="I90" s="184">
        <v>39000</v>
      </c>
      <c r="J90" s="185" t="s">
        <v>234</v>
      </c>
      <c r="M90" s="187" t="s">
        <v>2730</v>
      </c>
      <c r="N90" s="187" t="s">
        <v>20</v>
      </c>
      <c r="O90" s="187"/>
      <c r="P90" s="183" t="s">
        <v>5145</v>
      </c>
      <c r="Q90" s="183" t="s">
        <v>2815</v>
      </c>
    </row>
    <row r="91" spans="1:18" ht="15.75" customHeight="1" x14ac:dyDescent="0.25">
      <c r="A91" s="194" t="s">
        <v>5146</v>
      </c>
      <c r="B91" s="183">
        <v>39795152</v>
      </c>
      <c r="C91" s="183" t="s">
        <v>5147</v>
      </c>
      <c r="D91" s="183" t="s">
        <v>3317</v>
      </c>
      <c r="E91" s="183" t="s">
        <v>2730</v>
      </c>
      <c r="F91" s="183" t="s">
        <v>2944</v>
      </c>
      <c r="G91" s="184">
        <v>152000</v>
      </c>
      <c r="H91" s="185"/>
      <c r="I91" s="184">
        <f t="shared" ref="I91:I92" si="4">G91+H91</f>
        <v>152000</v>
      </c>
      <c r="J91" s="195" t="s">
        <v>234</v>
      </c>
      <c r="K91" s="196"/>
      <c r="L91" s="184"/>
      <c r="M91" s="186"/>
      <c r="N91" s="187" t="s">
        <v>3353</v>
      </c>
      <c r="O91" s="187" t="s">
        <v>20</v>
      </c>
      <c r="P91" s="197"/>
      <c r="Q91" s="183" t="s">
        <v>3397</v>
      </c>
      <c r="R91" s="183" t="s">
        <v>5148</v>
      </c>
    </row>
    <row r="92" spans="1:18" ht="15.75" customHeight="1" x14ac:dyDescent="0.25">
      <c r="A92" s="194" t="s">
        <v>5149</v>
      </c>
      <c r="B92" s="183">
        <v>14192728</v>
      </c>
      <c r="C92" s="188" t="s">
        <v>5150</v>
      </c>
      <c r="D92" s="183" t="s">
        <v>3326</v>
      </c>
      <c r="E92" s="183" t="s">
        <v>2730</v>
      </c>
      <c r="F92" s="183" t="s">
        <v>4929</v>
      </c>
      <c r="G92" s="184">
        <v>82000</v>
      </c>
      <c r="H92" s="185"/>
      <c r="I92" s="184">
        <f t="shared" si="4"/>
        <v>82000</v>
      </c>
      <c r="J92" s="195" t="s">
        <v>234</v>
      </c>
      <c r="K92" s="196"/>
      <c r="L92" s="184"/>
      <c r="M92" s="186"/>
      <c r="N92" s="187" t="s">
        <v>3353</v>
      </c>
      <c r="O92" s="187" t="s">
        <v>20</v>
      </c>
      <c r="P92" s="197"/>
      <c r="Q92" s="183" t="s">
        <v>3397</v>
      </c>
      <c r="R92" s="183" t="s">
        <v>5151</v>
      </c>
    </row>
    <row r="93" spans="1:18" ht="15.75" customHeight="1" x14ac:dyDescent="0.25">
      <c r="A93" s="194" t="s">
        <v>5152</v>
      </c>
      <c r="B93" s="183">
        <v>41950463</v>
      </c>
      <c r="C93" s="183" t="s">
        <v>5153</v>
      </c>
      <c r="D93" s="183" t="s">
        <v>4164</v>
      </c>
      <c r="E93" s="188"/>
      <c r="F93" s="183" t="s">
        <v>2731</v>
      </c>
      <c r="G93" s="185">
        <v>57000</v>
      </c>
      <c r="H93" s="185"/>
      <c r="I93" s="185">
        <v>57000</v>
      </c>
      <c r="J93" s="198" t="s">
        <v>234</v>
      </c>
      <c r="K93" s="183"/>
      <c r="L93" s="184"/>
      <c r="M93" s="186"/>
      <c r="N93" s="187" t="s">
        <v>3354</v>
      </c>
      <c r="O93" s="187" t="s">
        <v>20</v>
      </c>
      <c r="P93" s="187"/>
      <c r="Q93" s="183" t="s">
        <v>5154</v>
      </c>
      <c r="R93" s="183" t="s">
        <v>5155</v>
      </c>
    </row>
    <row r="94" spans="1:18" ht="15.75" customHeight="1" x14ac:dyDescent="0.25">
      <c r="A94" s="194" t="s">
        <v>5083</v>
      </c>
      <c r="B94" s="183">
        <v>31410501</v>
      </c>
      <c r="C94" s="183" t="s">
        <v>5084</v>
      </c>
      <c r="D94" s="183" t="s">
        <v>5085</v>
      </c>
      <c r="E94" s="188" t="s">
        <v>5156</v>
      </c>
      <c r="F94" s="183" t="s">
        <v>3717</v>
      </c>
      <c r="G94" s="185">
        <v>82000</v>
      </c>
      <c r="H94" s="185">
        <v>15580</v>
      </c>
      <c r="I94" s="185">
        <v>97580</v>
      </c>
      <c r="J94" s="198" t="s">
        <v>234</v>
      </c>
      <c r="K94" s="216"/>
      <c r="L94" s="184"/>
      <c r="M94" s="186"/>
      <c r="N94" s="187" t="s">
        <v>3354</v>
      </c>
      <c r="O94" s="217" t="s">
        <v>20</v>
      </c>
      <c r="P94" s="187"/>
      <c r="Q94" s="183" t="s">
        <v>4154</v>
      </c>
      <c r="R94" s="183" t="s">
        <v>5157</v>
      </c>
    </row>
    <row r="95" spans="1:18" ht="15.75" customHeight="1" x14ac:dyDescent="0.25">
      <c r="A95" s="189" t="s">
        <v>5158</v>
      </c>
      <c r="B95" s="189">
        <v>1113639520</v>
      </c>
      <c r="C95" s="189" t="s">
        <v>5159</v>
      </c>
      <c r="D95" s="189" t="s">
        <v>371</v>
      </c>
      <c r="E95" s="189" t="s">
        <v>5160</v>
      </c>
      <c r="F95" s="183" t="s">
        <v>2944</v>
      </c>
      <c r="G95" s="184">
        <v>42000</v>
      </c>
      <c r="H95" s="185"/>
      <c r="I95" s="184">
        <v>42000</v>
      </c>
      <c r="J95" s="185" t="s">
        <v>234</v>
      </c>
      <c r="K95" s="189"/>
      <c r="L95" s="184"/>
      <c r="M95" s="186"/>
      <c r="N95" s="187" t="s">
        <v>28</v>
      </c>
      <c r="O95" s="187" t="s">
        <v>20</v>
      </c>
      <c r="P95" s="187"/>
      <c r="Q95" s="187" t="s">
        <v>399</v>
      </c>
      <c r="R95" s="187" t="s">
        <v>67</v>
      </c>
    </row>
    <row r="96" spans="1:18" ht="15.75" customHeight="1" x14ac:dyDescent="0.25">
      <c r="A96" s="194" t="s">
        <v>5161</v>
      </c>
      <c r="B96" s="183">
        <v>1090272318</v>
      </c>
      <c r="C96" s="183" t="s">
        <v>5162</v>
      </c>
      <c r="D96" s="183" t="s">
        <v>5163</v>
      </c>
      <c r="E96" s="183" t="s">
        <v>2944</v>
      </c>
      <c r="F96" s="185">
        <v>57000</v>
      </c>
      <c r="G96" s="185"/>
      <c r="I96" s="185">
        <v>57000</v>
      </c>
      <c r="J96" s="198" t="s">
        <v>234</v>
      </c>
      <c r="M96" s="187" t="s">
        <v>3354</v>
      </c>
      <c r="N96" s="217" t="s">
        <v>20</v>
      </c>
      <c r="O96" s="187"/>
      <c r="P96" s="183" t="s">
        <v>4154</v>
      </c>
      <c r="Q96" s="183" t="s">
        <v>5164</v>
      </c>
    </row>
    <row r="97" spans="1:18" ht="15.75" customHeight="1" x14ac:dyDescent="0.25">
      <c r="A97" s="183" t="s">
        <v>5165</v>
      </c>
      <c r="B97" s="183">
        <v>1094955674</v>
      </c>
      <c r="C97" s="183">
        <v>3103641896</v>
      </c>
      <c r="D97" s="183" t="s">
        <v>5166</v>
      </c>
      <c r="E97" s="183" t="s">
        <v>5167</v>
      </c>
      <c r="F97" s="183" t="s">
        <v>4585</v>
      </c>
      <c r="G97" s="184">
        <v>67000</v>
      </c>
      <c r="H97" s="185"/>
      <c r="I97" s="184">
        <v>67000</v>
      </c>
      <c r="J97" s="185" t="s">
        <v>234</v>
      </c>
      <c r="K97" s="183"/>
      <c r="L97" s="184"/>
      <c r="M97" s="186"/>
      <c r="N97" s="187" t="s">
        <v>28</v>
      </c>
      <c r="O97" s="187" t="s">
        <v>20</v>
      </c>
      <c r="P97" s="187"/>
      <c r="Q97" s="187" t="s">
        <v>5168</v>
      </c>
      <c r="R97" s="187" t="s">
        <v>819</v>
      </c>
    </row>
    <row r="98" spans="1:18" ht="15.75" customHeight="1" x14ac:dyDescent="0.25">
      <c r="A98" s="183" t="s">
        <v>5169</v>
      </c>
      <c r="B98" s="183">
        <v>1022409792</v>
      </c>
      <c r="C98" s="183">
        <v>3145920505</v>
      </c>
      <c r="D98" s="183" t="s">
        <v>5170</v>
      </c>
      <c r="E98" s="183"/>
      <c r="F98" s="183" t="s">
        <v>2944</v>
      </c>
      <c r="G98" s="184">
        <v>42000</v>
      </c>
      <c r="H98" s="187"/>
      <c r="I98" s="184">
        <v>42000</v>
      </c>
      <c r="J98" s="185" t="s">
        <v>26</v>
      </c>
      <c r="K98" s="183" t="s">
        <v>85</v>
      </c>
      <c r="L98" s="184">
        <v>42000</v>
      </c>
      <c r="M98" s="186">
        <v>45661</v>
      </c>
      <c r="N98" s="187" t="s">
        <v>28</v>
      </c>
      <c r="O98" s="187" t="s">
        <v>20</v>
      </c>
      <c r="P98" s="187"/>
      <c r="Q98" s="187" t="s">
        <v>67</v>
      </c>
      <c r="R98" s="187" t="s">
        <v>5171</v>
      </c>
    </row>
    <row r="99" spans="1:18" ht="15.75" customHeight="1" x14ac:dyDescent="0.25">
      <c r="A99" s="187" t="s">
        <v>5172</v>
      </c>
      <c r="B99" s="191">
        <v>1120332029</v>
      </c>
      <c r="C99" s="187" t="s">
        <v>5173</v>
      </c>
      <c r="D99" s="187" t="s">
        <v>975</v>
      </c>
      <c r="E99" s="187" t="s">
        <v>5174</v>
      </c>
      <c r="F99" s="183" t="s">
        <v>2944</v>
      </c>
      <c r="G99" s="192">
        <v>42000</v>
      </c>
      <c r="H99" s="187"/>
      <c r="I99" s="192">
        <v>42000</v>
      </c>
      <c r="J99" s="185" t="s">
        <v>26</v>
      </c>
      <c r="K99" s="187" t="s">
        <v>189</v>
      </c>
      <c r="L99" s="192">
        <v>42000</v>
      </c>
      <c r="M99" s="205">
        <v>45296</v>
      </c>
      <c r="N99" s="187" t="s">
        <v>28</v>
      </c>
      <c r="O99" s="187" t="s">
        <v>20</v>
      </c>
      <c r="P99" s="187"/>
      <c r="Q99" s="187" t="s">
        <v>432</v>
      </c>
      <c r="R99" s="187" t="s">
        <v>286</v>
      </c>
    </row>
    <row r="100" spans="1:18" ht="15.75" customHeight="1" x14ac:dyDescent="0.25">
      <c r="A100" s="187" t="s">
        <v>1813</v>
      </c>
      <c r="B100" s="250">
        <v>1088030719</v>
      </c>
      <c r="C100" s="187" t="s">
        <v>5175</v>
      </c>
      <c r="D100" s="187" t="s">
        <v>5176</v>
      </c>
      <c r="E100" s="187" t="s">
        <v>5177</v>
      </c>
      <c r="F100" s="183" t="s">
        <v>4036</v>
      </c>
      <c r="G100" s="251">
        <v>102000</v>
      </c>
      <c r="H100" s="187"/>
      <c r="I100" s="251">
        <v>102000</v>
      </c>
      <c r="J100" s="185" t="s">
        <v>26</v>
      </c>
      <c r="K100" s="187" t="s">
        <v>5119</v>
      </c>
      <c r="L100" s="192">
        <v>102000</v>
      </c>
      <c r="M100" s="205">
        <v>45662</v>
      </c>
      <c r="N100" s="187" t="s">
        <v>28</v>
      </c>
      <c r="O100" s="187" t="s">
        <v>20</v>
      </c>
      <c r="P100" s="187"/>
      <c r="Q100" s="187" t="s">
        <v>5178</v>
      </c>
      <c r="R100" s="187" t="s">
        <v>497</v>
      </c>
    </row>
    <row r="101" spans="1:18" ht="15.75" customHeight="1" x14ac:dyDescent="0.25">
      <c r="A101" s="194" t="s">
        <v>5179</v>
      </c>
      <c r="B101" s="183">
        <v>18619216</v>
      </c>
      <c r="C101" s="183" t="s">
        <v>5180</v>
      </c>
      <c r="D101" s="183" t="s">
        <v>4105</v>
      </c>
      <c r="E101" s="183" t="s">
        <v>1313</v>
      </c>
      <c r="F101" s="185">
        <v>57000</v>
      </c>
      <c r="G101" s="185"/>
      <c r="I101" s="185">
        <v>57000</v>
      </c>
      <c r="J101" s="198" t="s">
        <v>26</v>
      </c>
      <c r="K101" s="216" t="s">
        <v>189</v>
      </c>
      <c r="L101" s="186">
        <v>45668</v>
      </c>
      <c r="M101" s="187" t="s">
        <v>3354</v>
      </c>
      <c r="N101" s="217" t="s">
        <v>20</v>
      </c>
      <c r="O101" s="187"/>
      <c r="P101" s="183" t="s">
        <v>5181</v>
      </c>
      <c r="Q101" s="183"/>
    </row>
    <row r="102" spans="1:18" ht="15.75" customHeight="1" x14ac:dyDescent="0.25">
      <c r="A102" s="194" t="s">
        <v>5182</v>
      </c>
      <c r="B102" s="183">
        <v>94250939</v>
      </c>
      <c r="C102" s="183" t="s">
        <v>5183</v>
      </c>
      <c r="D102" s="183" t="s">
        <v>3669</v>
      </c>
      <c r="E102" s="183" t="s">
        <v>3653</v>
      </c>
      <c r="F102" s="185">
        <v>42000</v>
      </c>
      <c r="G102" s="185"/>
      <c r="H102" s="185">
        <v>42000</v>
      </c>
      <c r="I102" s="198" t="s">
        <v>26</v>
      </c>
      <c r="J102" s="237" t="s">
        <v>85</v>
      </c>
      <c r="K102" s="184">
        <v>42000</v>
      </c>
      <c r="L102" s="186">
        <v>45664</v>
      </c>
      <c r="M102" s="187" t="s">
        <v>3354</v>
      </c>
      <c r="N102" s="187" t="s">
        <v>20</v>
      </c>
      <c r="O102" s="197"/>
      <c r="P102" s="183"/>
      <c r="Q102" s="183" t="s">
        <v>5184</v>
      </c>
    </row>
    <row r="103" spans="1:18" ht="15.75" customHeight="1" x14ac:dyDescent="0.25"/>
    <row r="104" spans="1:18" ht="15.75" customHeight="1" x14ac:dyDescent="0.25"/>
    <row r="105" spans="1:18" ht="15.75" customHeight="1" x14ac:dyDescent="0.25"/>
    <row r="106" spans="1:18" ht="15.75" customHeight="1" x14ac:dyDescent="0.25"/>
    <row r="107" spans="1:18" ht="15.75" customHeight="1" x14ac:dyDescent="0.25">
      <c r="A107" s="183" t="s">
        <v>5185</v>
      </c>
      <c r="B107" s="252">
        <v>1094919830</v>
      </c>
      <c r="C107" s="183">
        <v>3235061748</v>
      </c>
      <c r="D107" s="183" t="s">
        <v>942</v>
      </c>
      <c r="E107" s="183">
        <v>253</v>
      </c>
      <c r="F107" s="183" t="s">
        <v>2944</v>
      </c>
      <c r="G107" s="184">
        <v>42000</v>
      </c>
      <c r="H107" s="187"/>
      <c r="I107" s="184">
        <f>G107</f>
        <v>42000</v>
      </c>
      <c r="J107" s="185" t="s">
        <v>234</v>
      </c>
      <c r="K107" s="183"/>
      <c r="L107" s="184"/>
      <c r="M107" s="186"/>
      <c r="N107" s="187" t="s">
        <v>28</v>
      </c>
      <c r="O107" s="187" t="s">
        <v>20</v>
      </c>
      <c r="P107" s="187"/>
      <c r="Q107" s="187" t="s">
        <v>366</v>
      </c>
      <c r="R107" s="187" t="s">
        <v>5186</v>
      </c>
    </row>
    <row r="108" spans="1:18" ht="15.75" customHeight="1" x14ac:dyDescent="0.25"/>
    <row r="109" spans="1:18" ht="15.75" customHeight="1" x14ac:dyDescent="0.25"/>
    <row r="110" spans="1:18" ht="15.75" customHeight="1" x14ac:dyDescent="0.25"/>
    <row r="111" spans="1:18" ht="15.75" customHeight="1" x14ac:dyDescent="0.25"/>
    <row r="112" spans="1:1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I68">
    <cfRule type="containsText" dxfId="163" priority="1" operator="containsText" text="AL DIA">
      <formula>NOT(ISERROR(SEARCH(("AL DIA"),(I68))))</formula>
    </cfRule>
  </conditionalFormatting>
  <conditionalFormatting sqref="I68">
    <cfRule type="containsText" dxfId="162" priority="2" operator="containsText" text="PENDIENTE">
      <formula>NOT(ISERROR(SEARCH(("PENDIENTE"),(I68))))</formula>
    </cfRule>
  </conditionalFormatting>
  <conditionalFormatting sqref="I102">
    <cfRule type="containsText" dxfId="161" priority="3" operator="containsText" text="AL DIA">
      <formula>NOT(ISERROR(SEARCH(("AL DIA"),(I102))))</formula>
    </cfRule>
  </conditionalFormatting>
  <conditionalFormatting sqref="I102">
    <cfRule type="containsText" dxfId="160" priority="4" operator="containsText" text="PENDIENTE">
      <formula>NOT(ISERROR(SEARCH(("PENDIENTE"),(I102))))</formula>
    </cfRule>
  </conditionalFormatting>
  <conditionalFormatting sqref="J2:J19">
    <cfRule type="containsText" dxfId="159" priority="5" operator="containsText" text="AL DIA">
      <formula>NOT(ISERROR(SEARCH(("AL DIA"),(J2))))</formula>
    </cfRule>
  </conditionalFormatting>
  <conditionalFormatting sqref="J2:J19">
    <cfRule type="containsText" dxfId="158" priority="6" operator="containsText" text="PENDIENTE">
      <formula>NOT(ISERROR(SEARCH(("PENDIENTE"),(J2))))</formula>
    </cfRule>
  </conditionalFormatting>
  <conditionalFormatting sqref="J23:J31">
    <cfRule type="containsText" dxfId="157" priority="7" operator="containsText" text="AL DIA">
      <formula>NOT(ISERROR(SEARCH(("AL DIA"),(J23))))</formula>
    </cfRule>
  </conditionalFormatting>
  <conditionalFormatting sqref="J23:J31">
    <cfRule type="containsText" dxfId="156" priority="8" operator="containsText" text="PENDIENTE">
      <formula>NOT(ISERROR(SEARCH(("PENDIENTE"),(J23))))</formula>
    </cfRule>
  </conditionalFormatting>
  <conditionalFormatting sqref="J34:J38">
    <cfRule type="containsText" dxfId="155" priority="9" operator="containsText" text="AL DIA">
      <formula>NOT(ISERROR(SEARCH(("AL DIA"),(J34))))</formula>
    </cfRule>
  </conditionalFormatting>
  <conditionalFormatting sqref="J34:J38">
    <cfRule type="containsText" dxfId="154" priority="10" operator="containsText" text="PENDIENTE">
      <formula>NOT(ISERROR(SEARCH(("PENDIENTE"),(J34))))</formula>
    </cfRule>
  </conditionalFormatting>
  <conditionalFormatting sqref="J41:J48">
    <cfRule type="containsText" dxfId="153" priority="11" operator="containsText" text="AL DIA">
      <formula>NOT(ISERROR(SEARCH(("AL DIA"),(J41))))</formula>
    </cfRule>
  </conditionalFormatting>
  <conditionalFormatting sqref="J41:J48">
    <cfRule type="containsText" dxfId="152" priority="12" operator="containsText" text="PENDIENTE">
      <formula>NOT(ISERROR(SEARCH(("PENDIENTE"),(J41))))</formula>
    </cfRule>
  </conditionalFormatting>
  <conditionalFormatting sqref="J51:J59">
    <cfRule type="containsText" dxfId="151" priority="13" operator="containsText" text="AL DIA">
      <formula>NOT(ISERROR(SEARCH(("AL DIA"),(J51))))</formula>
    </cfRule>
  </conditionalFormatting>
  <conditionalFormatting sqref="J51:J59">
    <cfRule type="containsText" dxfId="150" priority="14" operator="containsText" text="PENDIENTE">
      <formula>NOT(ISERROR(SEARCH(("PENDIENTE"),(J51))))</formula>
    </cfRule>
  </conditionalFormatting>
  <conditionalFormatting sqref="J63:J67">
    <cfRule type="containsText" dxfId="149" priority="15" operator="containsText" text="AL DIA">
      <formula>NOT(ISERROR(SEARCH(("AL DIA"),(J63))))</formula>
    </cfRule>
  </conditionalFormatting>
  <conditionalFormatting sqref="J63:J67">
    <cfRule type="containsText" dxfId="148" priority="16" operator="containsText" text="PENDIENTE">
      <formula>NOT(ISERROR(SEARCH(("PENDIENTE"),(J63))))</formula>
    </cfRule>
  </conditionalFormatting>
  <conditionalFormatting sqref="J72:J101">
    <cfRule type="containsText" dxfId="147" priority="17" operator="containsText" text="AL DIA">
      <formula>NOT(ISERROR(SEARCH(("AL DIA"),(J72))))</formula>
    </cfRule>
  </conditionalFormatting>
  <conditionalFormatting sqref="J72:J101">
    <cfRule type="containsText" dxfId="146" priority="18" operator="containsText" text="PENDIENTE">
      <formula>NOT(ISERROR(SEARCH(("PENDIENTE"),(J72))))</formula>
    </cfRule>
  </conditionalFormatting>
  <conditionalFormatting sqref="J107">
    <cfRule type="containsText" dxfId="145" priority="19" operator="containsText" text="AL DIA">
      <formula>NOT(ISERROR(SEARCH(("AL DIA"),(J107))))</formula>
    </cfRule>
  </conditionalFormatting>
  <conditionalFormatting sqref="J107">
    <cfRule type="containsText" dxfId="144" priority="20" operator="containsText" text="PENDIENTE">
      <formula>NOT(ISERROR(SEARCH(("PENDIENTE"),(J107))))</formula>
    </cfRule>
  </conditionalFormatting>
  <conditionalFormatting sqref="K32:K33">
    <cfRule type="containsText" dxfId="143" priority="21" operator="containsText" text="AL DIA">
      <formula>NOT(ISERROR(SEARCH(("AL DIA"),(K32))))</formula>
    </cfRule>
  </conditionalFormatting>
  <conditionalFormatting sqref="K32:K33">
    <cfRule type="containsText" dxfId="142" priority="22" operator="containsText" text="PENDIENTE">
      <formula>NOT(ISERROR(SEARCH(("PENDIENTE"),(K32))))</formula>
    </cfRule>
  </conditionalFormatting>
  <conditionalFormatting sqref="K39:K40">
    <cfRule type="containsText" dxfId="141" priority="23" operator="containsText" text="AL DIA">
      <formula>NOT(ISERROR(SEARCH(("AL DIA"),(K39))))</formula>
    </cfRule>
  </conditionalFormatting>
  <conditionalFormatting sqref="K39:K40">
    <cfRule type="containsText" dxfId="140" priority="24" operator="containsText" text="PENDIENTE">
      <formula>NOT(ISERROR(SEARCH(("PENDIENTE"),(K39))))</formula>
    </cfRule>
  </conditionalFormatting>
  <conditionalFormatting sqref="K60:K62">
    <cfRule type="containsText" dxfId="139" priority="25" operator="containsText" text="AL DIA">
      <formula>NOT(ISERROR(SEARCH(("AL DIA"),(K60))))</formula>
    </cfRule>
  </conditionalFormatting>
  <conditionalFormatting sqref="K60:K62">
    <cfRule type="containsText" dxfId="138" priority="26" operator="containsText" text="PENDIENTE">
      <formula>NOT(ISERROR(SEARCH(("PENDIENTE"),(K60))))</formula>
    </cfRule>
  </conditionalFormatting>
  <conditionalFormatting sqref="N68">
    <cfRule type="containsText" dxfId="137" priority="27" operator="containsText" text="RETIRADO">
      <formula>NOT(ISERROR(SEARCH(("RETIRADO"),(N68))))</formula>
    </cfRule>
  </conditionalFormatting>
  <conditionalFormatting sqref="N68">
    <cfRule type="containsText" dxfId="136" priority="28" operator="containsText" text="ACTIVO">
      <formula>NOT(ISERROR(SEARCH(("ACTIVO"),(N68))))</formula>
    </cfRule>
  </conditionalFormatting>
  <conditionalFormatting sqref="N88:N90">
    <cfRule type="containsText" dxfId="135" priority="29" operator="containsText" text="RETIRADO">
      <formula>NOT(ISERROR(SEARCH(("RETIRADO"),(N88))))</formula>
    </cfRule>
  </conditionalFormatting>
  <conditionalFormatting sqref="N88:N90">
    <cfRule type="containsText" dxfId="134" priority="30" operator="containsText" text="ACTIVO">
      <formula>NOT(ISERROR(SEARCH(("ACTIVO"),(N88))))</formula>
    </cfRule>
  </conditionalFormatting>
  <conditionalFormatting sqref="N96">
    <cfRule type="containsText" dxfId="133" priority="31" operator="containsText" text="RETIRADO">
      <formula>NOT(ISERROR(SEARCH(("RETIRADO"),(N96))))</formula>
    </cfRule>
  </conditionalFormatting>
  <conditionalFormatting sqref="N96">
    <cfRule type="containsText" dxfId="132" priority="32" operator="containsText" text="ACTIVO">
      <formula>NOT(ISERROR(SEARCH(("ACTIVO"),(N96))))</formula>
    </cfRule>
  </conditionalFormatting>
  <conditionalFormatting sqref="N101:N102">
    <cfRule type="containsText" dxfId="131" priority="33" operator="containsText" text="RETIRADO">
      <formula>NOT(ISERROR(SEARCH(("RETIRADO"),(N101))))</formula>
    </cfRule>
  </conditionalFormatting>
  <conditionalFormatting sqref="N101:N102">
    <cfRule type="containsText" dxfId="130" priority="34" operator="containsText" text="ACTIVO">
      <formula>NOT(ISERROR(SEARCH(("ACTIVO"),(N101))))</formula>
    </cfRule>
  </conditionalFormatting>
  <conditionalFormatting sqref="O2:O11">
    <cfRule type="containsText" dxfId="129" priority="35" operator="containsText" text="RETIRADO">
      <formula>NOT(ISERROR(SEARCH(("RETIRADO"),(O2))))</formula>
    </cfRule>
  </conditionalFormatting>
  <conditionalFormatting sqref="O2:O11">
    <cfRule type="containsText" dxfId="128" priority="36" operator="containsText" text="ACTIVO">
      <formula>NOT(ISERROR(SEARCH(("ACTIVO"),(O2))))</formula>
    </cfRule>
  </conditionalFormatting>
  <conditionalFormatting sqref="O14:O19">
    <cfRule type="containsText" dxfId="127" priority="37" operator="containsText" text="RETIRADO">
      <formula>NOT(ISERROR(SEARCH(("RETIRADO"),(O14))))</formula>
    </cfRule>
  </conditionalFormatting>
  <conditionalFormatting sqref="O14:O19">
    <cfRule type="containsText" dxfId="126" priority="38" operator="containsText" text="ACTIVO">
      <formula>NOT(ISERROR(SEARCH(("ACTIVO"),(O14))))</formula>
    </cfRule>
  </conditionalFormatting>
  <conditionalFormatting sqref="O23:O27">
    <cfRule type="containsText" dxfId="125" priority="39" operator="containsText" text="RETIRADO">
      <formula>NOT(ISERROR(SEARCH(("RETIRADO"),(O23))))</formula>
    </cfRule>
  </conditionalFormatting>
  <conditionalFormatting sqref="O23:O27">
    <cfRule type="containsText" dxfId="124" priority="40" operator="containsText" text="ACTIVO">
      <formula>NOT(ISERROR(SEARCH(("ACTIVO"),(O23))))</formula>
    </cfRule>
  </conditionalFormatting>
  <conditionalFormatting sqref="O31">
    <cfRule type="containsText" dxfId="123" priority="41" operator="containsText" text="RETIRADO">
      <formula>NOT(ISERROR(SEARCH(("RETIRADO"),(O31))))</formula>
    </cfRule>
  </conditionalFormatting>
  <conditionalFormatting sqref="O31">
    <cfRule type="containsText" dxfId="122" priority="42" operator="containsText" text="ACTIVO">
      <formula>NOT(ISERROR(SEARCH(("ACTIVO"),(O31))))</formula>
    </cfRule>
  </conditionalFormatting>
  <conditionalFormatting sqref="O34:O38">
    <cfRule type="containsText" dxfId="121" priority="43" operator="containsText" text="RETIRADO">
      <formula>NOT(ISERROR(SEARCH(("RETIRADO"),(O34))))</formula>
    </cfRule>
  </conditionalFormatting>
  <conditionalFormatting sqref="O34:O38">
    <cfRule type="containsText" dxfId="120" priority="44" operator="containsText" text="ACTIVO">
      <formula>NOT(ISERROR(SEARCH(("ACTIVO"),(O34))))</formula>
    </cfRule>
  </conditionalFormatting>
  <conditionalFormatting sqref="O41:O47">
    <cfRule type="containsText" dxfId="119" priority="45" operator="containsText" text="RETIRADO">
      <formula>NOT(ISERROR(SEARCH(("RETIRADO"),(O41))))</formula>
    </cfRule>
  </conditionalFormatting>
  <conditionalFormatting sqref="O41:O47">
    <cfRule type="containsText" dxfId="118" priority="46" operator="containsText" text="ACTIVO">
      <formula>NOT(ISERROR(SEARCH(("ACTIVO"),(O41))))</formula>
    </cfRule>
  </conditionalFormatting>
  <conditionalFormatting sqref="O51:O57">
    <cfRule type="containsText" dxfId="117" priority="47" operator="containsText" text="RETIRADO">
      <formula>NOT(ISERROR(SEARCH(("RETIRADO"),(O51))))</formula>
    </cfRule>
  </conditionalFormatting>
  <conditionalFormatting sqref="O51:O57">
    <cfRule type="containsText" dxfId="116" priority="48" operator="containsText" text="ACTIVO">
      <formula>NOT(ISERROR(SEARCH(("ACTIVO"),(O51))))</formula>
    </cfRule>
  </conditionalFormatting>
  <conditionalFormatting sqref="O59">
    <cfRule type="containsText" dxfId="115" priority="49" operator="containsText" text="RETIRADO">
      <formula>NOT(ISERROR(SEARCH(("RETIRADO"),(O59))))</formula>
    </cfRule>
  </conditionalFormatting>
  <conditionalFormatting sqref="O59">
    <cfRule type="containsText" dxfId="114" priority="50" operator="containsText" text="ACTIVO">
      <formula>NOT(ISERROR(SEARCH(("ACTIVO"),(O59))))</formula>
    </cfRule>
  </conditionalFormatting>
  <conditionalFormatting sqref="O63:O67">
    <cfRule type="containsText" dxfId="113" priority="51" operator="containsText" text="RETIRADO">
      <formula>NOT(ISERROR(SEARCH(("RETIRADO"),(O63))))</formula>
    </cfRule>
  </conditionalFormatting>
  <conditionalFormatting sqref="O63:O67">
    <cfRule type="containsText" dxfId="112" priority="52" operator="containsText" text="ACTIVO">
      <formula>NOT(ISERROR(SEARCH(("ACTIVO"),(O63))))</formula>
    </cfRule>
  </conditionalFormatting>
  <conditionalFormatting sqref="O72:O79">
    <cfRule type="containsText" dxfId="111" priority="53" operator="containsText" text="RETIRADO">
      <formula>NOT(ISERROR(SEARCH(("RETIRADO"),(O72))))</formula>
    </cfRule>
  </conditionalFormatting>
  <conditionalFormatting sqref="O72:O79">
    <cfRule type="containsText" dxfId="110" priority="54" operator="containsText" text="ACTIVO">
      <formula>NOT(ISERROR(SEARCH(("ACTIVO"),(O72))))</formula>
    </cfRule>
  </conditionalFormatting>
  <conditionalFormatting sqref="O86:O87">
    <cfRule type="containsText" dxfId="109" priority="55" operator="containsText" text="RETIRADO">
      <formula>NOT(ISERROR(SEARCH(("RETIRADO"),(O86))))</formula>
    </cfRule>
  </conditionalFormatting>
  <conditionalFormatting sqref="O86:O87">
    <cfRule type="containsText" dxfId="108" priority="56" operator="containsText" text="ACTIVO">
      <formula>NOT(ISERROR(SEARCH(("ACTIVO"),(O86))))</formula>
    </cfRule>
  </conditionalFormatting>
  <conditionalFormatting sqref="O91:O95">
    <cfRule type="containsText" dxfId="107" priority="57" operator="containsText" text="RETIRADO">
      <formula>NOT(ISERROR(SEARCH(("RETIRADO"),(O91))))</formula>
    </cfRule>
  </conditionalFormatting>
  <conditionalFormatting sqref="O91:O95">
    <cfRule type="containsText" dxfId="106" priority="58" operator="containsText" text="ACTIVO">
      <formula>NOT(ISERROR(SEARCH(("ACTIVO"),(O91))))</formula>
    </cfRule>
  </conditionalFormatting>
  <conditionalFormatting sqref="O97:O98">
    <cfRule type="containsText" dxfId="105" priority="59" operator="containsText" text="RETIRADO">
      <formula>NOT(ISERROR(SEARCH(("RETIRADO"),(O97))))</formula>
    </cfRule>
  </conditionalFormatting>
  <conditionalFormatting sqref="O97:O98">
    <cfRule type="containsText" dxfId="104" priority="60" operator="containsText" text="ACTIVO">
      <formula>NOT(ISERROR(SEARCH(("ACTIVO"),(O97))))</formula>
    </cfRule>
  </conditionalFormatting>
  <conditionalFormatting sqref="O107">
    <cfRule type="containsText" dxfId="103" priority="61" operator="containsText" text="RETIRADO">
      <formula>NOT(ISERROR(SEARCH(("RETIRADO"),(O107))))</formula>
    </cfRule>
  </conditionalFormatting>
  <conditionalFormatting sqref="O107">
    <cfRule type="containsText" dxfId="102" priority="62" operator="containsText" text="ACTIVO">
      <formula>NOT(ISERROR(SEARCH(("ACTIVO"),(O107))))</formula>
    </cfRule>
  </conditionalFormatting>
  <conditionalFormatting sqref="P32:P33">
    <cfRule type="containsText" dxfId="101" priority="63" operator="containsText" text="RETIRADO">
      <formula>NOT(ISERROR(SEARCH(("RETIRADO"),(P32))))</formula>
    </cfRule>
  </conditionalFormatting>
  <conditionalFormatting sqref="P32:P33">
    <cfRule type="containsText" dxfId="100" priority="64" operator="containsText" text="ACTIVO">
      <formula>NOT(ISERROR(SEARCH(("ACTIVO"),(P32))))</formula>
    </cfRule>
  </conditionalFormatting>
  <conditionalFormatting sqref="P39:P40">
    <cfRule type="containsText" dxfId="99" priority="65" operator="containsText" text="RETIRADO">
      <formula>NOT(ISERROR(SEARCH(("RETIRADO"),(P39))))</formula>
    </cfRule>
  </conditionalFormatting>
  <conditionalFormatting sqref="P39:P40">
    <cfRule type="containsText" dxfId="98" priority="66" operator="containsText" text="ACTIVO">
      <formula>NOT(ISERROR(SEARCH(("ACTIVO"),(P39))))</formula>
    </cfRule>
  </conditionalFormatting>
  <conditionalFormatting sqref="P60:P62">
    <cfRule type="containsText" dxfId="97" priority="67" operator="containsText" text="RETIRADO">
      <formula>NOT(ISERROR(SEARCH(("RETIRADO"),(P60))))</formula>
    </cfRule>
  </conditionalFormatting>
  <conditionalFormatting sqref="P60:P62">
    <cfRule type="containsText" dxfId="96" priority="68" operator="containsText" text="ACTIVO">
      <formula>NOT(ISERROR(SEARCH(("ACTIVO"),(P60))))</formula>
    </cfRule>
  </conditionalFormatting>
  <dataValidations count="10">
    <dataValidation type="list" allowBlank="1" showErrorMessage="1" sqref="O11" xr:uid="{00000000-0002-0000-0700-000000000000}">
      <formula1>$O$1:$O$2</formula1>
    </dataValidation>
    <dataValidation type="list" allowBlank="1" showErrorMessage="1" sqref="K32:K33 K39:K40 K60:K62 J88:J90" xr:uid="{00000000-0002-0000-0700-000001000000}">
      <formula1>$W$2:$W$3</formula1>
    </dataValidation>
    <dataValidation type="list" allowBlank="1" showErrorMessage="1" sqref="O36 O72 O93 N102" xr:uid="{00000000-0002-0000-0700-000002000000}">
      <formula1>$W$1:$W$2</formula1>
    </dataValidation>
    <dataValidation type="list" allowBlank="1" showErrorMessage="1" sqref="O14:O17" xr:uid="{00000000-0002-0000-0700-000003000000}">
      <formula1>$S$1:$S$2</formula1>
    </dataValidation>
    <dataValidation type="list" allowBlank="1" showErrorMessage="1" sqref="J19 J23:J31 J34:J38 J41:J48 J51:J59 J63:J67 I68 J72:J87 J91:J101 I102 J107" xr:uid="{00000000-0002-0000-0700-000004000000}">
      <formula1>$V$2:$V$3</formula1>
    </dataValidation>
    <dataValidation type="list" allowBlank="1" showErrorMessage="1" sqref="J2:J18" xr:uid="{00000000-0002-0000-0700-000005000000}">
      <formula1>$T$2:$T$3</formula1>
    </dataValidation>
    <dataValidation type="list" allowBlank="1" showErrorMessage="1" sqref="O18 P32:P33 O34:O35 P39:P40 O43 O46 P60:P61 O63:O64 O66 N88:N90 O91:O92" xr:uid="{00000000-0002-0000-0700-000006000000}">
      <formula1>$U$1:$U$2</formula1>
    </dataValidation>
    <dataValidation type="list" allowBlank="1" showErrorMessage="1" sqref="O19 O23:O27 O31 O37:O38 O42 O44:O45 O47 O51:O57 O59 O65 O73:O79 O86:O87 O95 O97:O98 O107" xr:uid="{00000000-0002-0000-0700-000007000000}">
      <formula1>$T$1:$T$2</formula1>
    </dataValidation>
    <dataValidation type="list" allowBlank="1" showErrorMessage="1" sqref="O2:O10" xr:uid="{00000000-0002-0000-0700-000008000000}">
      <formula1>$R$1:$R$2</formula1>
    </dataValidation>
    <dataValidation type="list" allowBlank="1" showErrorMessage="1" sqref="P62" xr:uid="{00000000-0002-0000-0700-000009000000}">
      <formula1>$X$1:$X$2</formula1>
    </dataValidation>
  </dataValidations>
  <hyperlinks>
    <hyperlink ref="S52" r:id="rId1" xr:uid="{00000000-0004-0000-0700-000000000000}"/>
    <hyperlink ref="S53" r:id="rId2" xr:uid="{00000000-0004-0000-0700-000001000000}"/>
    <hyperlink ref="S54" r:id="rId3" xr:uid="{00000000-0004-0000-0700-000002000000}"/>
    <hyperlink ref="S55" r:id="rId4" xr:uid="{00000000-0004-0000-0700-000003000000}"/>
    <hyperlink ref="S57" r:id="rId5" xr:uid="{00000000-0004-0000-0700-000004000000}"/>
    <hyperlink ref="S58" r:id="rId6" xr:uid="{00000000-0004-0000-0700-000005000000}"/>
    <hyperlink ref="S59" r:id="rId7" xr:uid="{00000000-0004-0000-0700-000006000000}"/>
    <hyperlink ref="T60" r:id="rId8" xr:uid="{00000000-0004-0000-0700-000007000000}"/>
    <hyperlink ref="T61" r:id="rId9" xr:uid="{00000000-0004-0000-0700-000008000000}"/>
    <hyperlink ref="T62" r:id="rId10" xr:uid="{00000000-0004-0000-0700-000009000000}"/>
    <hyperlink ref="S64" r:id="rId11" xr:uid="{00000000-0004-0000-0700-00000A000000}"/>
    <hyperlink ref="S65" r:id="rId12" xr:uid="{00000000-0004-0000-0700-00000B000000}"/>
    <hyperlink ref="S67" r:id="rId13" xr:uid="{00000000-0004-0000-0700-00000C000000}"/>
    <hyperlink ref="R68" r:id="rId14" xr:uid="{00000000-0004-0000-0700-00000D000000}"/>
    <hyperlink ref="S72" r:id="rId15" xr:uid="{00000000-0004-0000-0700-00000E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4.42578125" defaultRowHeight="15" customHeight="1" x14ac:dyDescent="0.25"/>
  <cols>
    <col min="1" max="1" width="40.140625" customWidth="1"/>
    <col min="2" max="2" width="12.42578125" customWidth="1"/>
    <col min="3" max="3" width="26" customWidth="1"/>
    <col min="4" max="4" width="18" customWidth="1"/>
    <col min="5" max="5" width="21" customWidth="1"/>
    <col min="6" max="15" width="10.7109375" customWidth="1"/>
    <col min="16" max="16" width="11.28515625" customWidth="1"/>
    <col min="17" max="17" width="32.85546875" customWidth="1"/>
    <col min="18" max="18" width="27.42578125" customWidth="1"/>
    <col min="19" max="26" width="10.7109375" customWidth="1"/>
  </cols>
  <sheetData>
    <row r="1" spans="1:26" x14ac:dyDescent="0.25">
      <c r="A1" s="253" t="s">
        <v>0</v>
      </c>
      <c r="B1" s="254" t="s">
        <v>2721</v>
      </c>
      <c r="C1" s="253" t="s">
        <v>3</v>
      </c>
      <c r="D1" s="253" t="s">
        <v>5</v>
      </c>
      <c r="E1" s="253" t="s">
        <v>6</v>
      </c>
      <c r="F1" s="255" t="s">
        <v>7</v>
      </c>
      <c r="G1" s="256" t="s">
        <v>2724</v>
      </c>
      <c r="H1" s="255" t="s">
        <v>8</v>
      </c>
      <c r="I1" s="253" t="s">
        <v>9</v>
      </c>
      <c r="J1" s="253" t="s">
        <v>10</v>
      </c>
      <c r="K1" s="255" t="s">
        <v>11</v>
      </c>
      <c r="L1" s="257" t="s">
        <v>12</v>
      </c>
      <c r="M1" s="258" t="s">
        <v>13</v>
      </c>
      <c r="N1" s="258" t="s">
        <v>14</v>
      </c>
      <c r="O1" s="258" t="s">
        <v>15</v>
      </c>
      <c r="P1" s="258" t="s">
        <v>16</v>
      </c>
      <c r="Q1" s="258" t="s">
        <v>17</v>
      </c>
    </row>
    <row r="2" spans="1:26" x14ac:dyDescent="0.25">
      <c r="A2" s="183" t="s">
        <v>2214</v>
      </c>
      <c r="B2" s="183">
        <v>1094887306</v>
      </c>
      <c r="C2" s="188" t="s">
        <v>2099</v>
      </c>
      <c r="D2" s="183" t="s">
        <v>5187</v>
      </c>
      <c r="E2" s="183" t="s">
        <v>2944</v>
      </c>
      <c r="F2" s="184">
        <v>42000</v>
      </c>
      <c r="G2" s="185"/>
      <c r="I2" s="184">
        <v>42000</v>
      </c>
      <c r="J2" s="183"/>
      <c r="K2" s="184"/>
      <c r="L2" s="186"/>
      <c r="M2" s="187" t="s">
        <v>28</v>
      </c>
      <c r="N2" s="187" t="s">
        <v>20</v>
      </c>
      <c r="O2" s="187"/>
      <c r="P2" s="187" t="s">
        <v>5188</v>
      </c>
      <c r="Q2" s="187" t="s">
        <v>5189</v>
      </c>
    </row>
    <row r="3" spans="1:26" x14ac:dyDescent="0.25">
      <c r="A3" s="187" t="s">
        <v>5190</v>
      </c>
      <c r="B3" s="259">
        <v>29781706</v>
      </c>
      <c r="C3" s="204" t="s">
        <v>501</v>
      </c>
      <c r="D3" s="187" t="s">
        <v>5191</v>
      </c>
      <c r="E3" s="187" t="s">
        <v>2944</v>
      </c>
      <c r="F3" s="192">
        <v>42000</v>
      </c>
      <c r="G3" s="187"/>
      <c r="I3" s="192">
        <v>42000</v>
      </c>
      <c r="J3" s="187"/>
      <c r="K3" s="192"/>
      <c r="L3" s="205"/>
      <c r="M3" s="187" t="s">
        <v>28</v>
      </c>
      <c r="N3" s="187" t="s">
        <v>20</v>
      </c>
      <c r="O3" s="187"/>
      <c r="P3" s="187" t="s">
        <v>5192</v>
      </c>
      <c r="Q3" s="187" t="s">
        <v>224</v>
      </c>
    </row>
    <row r="4" spans="1:26" x14ac:dyDescent="0.25">
      <c r="A4" s="187" t="s">
        <v>5193</v>
      </c>
      <c r="B4" s="191">
        <v>7008868</v>
      </c>
      <c r="C4" s="204" t="s">
        <v>5127</v>
      </c>
      <c r="D4" s="187"/>
      <c r="E4" s="187" t="s">
        <v>2944</v>
      </c>
      <c r="F4" s="192">
        <v>42000</v>
      </c>
      <c r="G4" s="187"/>
      <c r="I4" s="192">
        <v>42000</v>
      </c>
      <c r="J4" s="187"/>
      <c r="K4" s="192"/>
      <c r="L4" s="205"/>
      <c r="M4" s="187" t="s">
        <v>28</v>
      </c>
      <c r="N4" s="187" t="s">
        <v>20</v>
      </c>
      <c r="O4" s="187"/>
      <c r="P4" s="187" t="s">
        <v>198</v>
      </c>
      <c r="Q4" s="187" t="s">
        <v>5194</v>
      </c>
    </row>
    <row r="5" spans="1:26" x14ac:dyDescent="0.25">
      <c r="A5" s="183" t="s">
        <v>5195</v>
      </c>
      <c r="B5" s="183">
        <v>94289426</v>
      </c>
      <c r="C5" s="183">
        <v>3233825859</v>
      </c>
      <c r="D5" s="183" t="s">
        <v>5196</v>
      </c>
      <c r="E5" s="183" t="s">
        <v>3028</v>
      </c>
      <c r="F5" s="183" t="s">
        <v>1783</v>
      </c>
      <c r="H5" s="184">
        <v>82000</v>
      </c>
      <c r="I5" s="184">
        <v>82000</v>
      </c>
      <c r="J5" s="219" t="s">
        <v>234</v>
      </c>
      <c r="K5" s="183"/>
      <c r="L5" s="184"/>
      <c r="M5" s="186"/>
      <c r="N5" s="187" t="s">
        <v>3029</v>
      </c>
      <c r="O5" s="187" t="s">
        <v>20</v>
      </c>
      <c r="P5" s="187"/>
      <c r="Q5" s="183" t="s">
        <v>5197</v>
      </c>
      <c r="R5" s="183" t="s">
        <v>3037</v>
      </c>
    </row>
    <row r="6" spans="1:26" x14ac:dyDescent="0.25">
      <c r="A6" s="183" t="s">
        <v>5198</v>
      </c>
      <c r="B6" s="183">
        <v>24484853</v>
      </c>
      <c r="C6" s="183" t="s">
        <v>4703</v>
      </c>
      <c r="D6" s="183" t="s">
        <v>2731</v>
      </c>
      <c r="E6" s="184">
        <v>42000</v>
      </c>
      <c r="F6" s="184">
        <v>7980</v>
      </c>
      <c r="I6" s="184">
        <v>49980</v>
      </c>
      <c r="J6" s="184"/>
      <c r="K6" s="186"/>
      <c r="L6" s="187" t="s">
        <v>3354</v>
      </c>
      <c r="M6" s="187" t="s">
        <v>20</v>
      </c>
      <c r="N6" s="187"/>
      <c r="O6" s="183" t="s">
        <v>4073</v>
      </c>
      <c r="P6" s="183" t="s">
        <v>5199</v>
      </c>
    </row>
    <row r="7" spans="1:26" x14ac:dyDescent="0.25">
      <c r="A7" s="189" t="s">
        <v>5200</v>
      </c>
      <c r="B7" s="189">
        <v>1113305186</v>
      </c>
      <c r="C7" s="260" t="s">
        <v>5201</v>
      </c>
      <c r="D7" s="188" t="s">
        <v>3141</v>
      </c>
      <c r="E7" s="189" t="s">
        <v>1313</v>
      </c>
      <c r="F7" s="185">
        <v>202000</v>
      </c>
      <c r="G7" s="184"/>
      <c r="I7" s="184">
        <v>202000</v>
      </c>
      <c r="J7" s="183"/>
      <c r="K7" s="184"/>
      <c r="L7" s="186"/>
      <c r="M7" s="187" t="s">
        <v>4380</v>
      </c>
      <c r="N7" s="187" t="s">
        <v>20</v>
      </c>
      <c r="O7" s="187"/>
      <c r="P7" s="189" t="s">
        <v>4440</v>
      </c>
      <c r="Q7" s="189" t="s">
        <v>5202</v>
      </c>
    </row>
    <row r="8" spans="1:26" x14ac:dyDescent="0.25">
      <c r="A8" s="183" t="s">
        <v>5203</v>
      </c>
      <c r="B8" s="183">
        <v>1113303560</v>
      </c>
      <c r="C8" s="183" t="s">
        <v>3434</v>
      </c>
      <c r="D8" s="183" t="s">
        <v>3141</v>
      </c>
      <c r="E8" s="183" t="s">
        <v>1783</v>
      </c>
      <c r="F8" s="185">
        <v>82000</v>
      </c>
      <c r="G8" s="185"/>
      <c r="I8" s="184">
        <v>82000</v>
      </c>
      <c r="J8" s="183"/>
      <c r="K8" s="184"/>
      <c r="L8" s="186"/>
      <c r="M8" s="187" t="s">
        <v>4380</v>
      </c>
      <c r="N8" s="187" t="s">
        <v>20</v>
      </c>
      <c r="O8" s="187"/>
      <c r="P8" s="183" t="s">
        <v>5204</v>
      </c>
      <c r="Q8" s="183"/>
    </row>
    <row r="9" spans="1:26" x14ac:dyDescent="0.25">
      <c r="A9" s="220" t="s">
        <v>4655</v>
      </c>
      <c r="B9" s="220">
        <v>1115193728</v>
      </c>
      <c r="C9" s="220">
        <v>3117688203</v>
      </c>
      <c r="D9" s="220" t="s">
        <v>4324</v>
      </c>
      <c r="E9" s="220" t="s">
        <v>1782</v>
      </c>
      <c r="F9" s="227" t="s">
        <v>1783</v>
      </c>
      <c r="G9" s="229"/>
      <c r="H9" s="229"/>
      <c r="I9" s="224">
        <v>82000</v>
      </c>
      <c r="J9" s="225" t="s">
        <v>234</v>
      </c>
      <c r="K9" s="220">
        <v>82000</v>
      </c>
      <c r="L9" s="226">
        <v>45779</v>
      </c>
      <c r="M9" s="226"/>
      <c r="N9" s="227" t="s">
        <v>1784</v>
      </c>
      <c r="O9" s="227" t="s">
        <v>20</v>
      </c>
      <c r="P9" s="227"/>
      <c r="Q9" s="227" t="s">
        <v>4656</v>
      </c>
      <c r="R9" s="227" t="s">
        <v>4657</v>
      </c>
      <c r="S9" s="229"/>
      <c r="T9" s="229"/>
      <c r="U9" s="229"/>
      <c r="V9" s="229"/>
      <c r="W9" s="229"/>
      <c r="X9" s="229"/>
      <c r="Y9" s="229"/>
      <c r="Z9" s="229"/>
    </row>
    <row r="10" spans="1:26" x14ac:dyDescent="0.25">
      <c r="A10" s="183" t="s">
        <v>5205</v>
      </c>
      <c r="B10" s="183">
        <v>9800929</v>
      </c>
      <c r="C10" s="183">
        <v>3229138069</v>
      </c>
      <c r="D10" s="183" t="s">
        <v>480</v>
      </c>
      <c r="E10" s="183">
        <v>259</v>
      </c>
      <c r="F10" s="183" t="s">
        <v>1313</v>
      </c>
      <c r="I10" s="184">
        <v>57000</v>
      </c>
      <c r="J10" s="185" t="s">
        <v>234</v>
      </c>
      <c r="K10" s="183"/>
      <c r="L10" s="184"/>
      <c r="M10" s="186"/>
      <c r="N10" s="187" t="s">
        <v>28</v>
      </c>
      <c r="O10" s="187" t="s">
        <v>20</v>
      </c>
      <c r="P10" s="187"/>
      <c r="Q10" s="187" t="s">
        <v>126</v>
      </c>
      <c r="R10" s="187" t="s">
        <v>5206</v>
      </c>
    </row>
    <row r="11" spans="1:26" x14ac:dyDescent="0.25">
      <c r="A11" s="187" t="s">
        <v>5207</v>
      </c>
      <c r="B11" s="191">
        <v>1098576057</v>
      </c>
      <c r="C11" s="191" t="s">
        <v>5208</v>
      </c>
      <c r="D11" s="187" t="s">
        <v>571</v>
      </c>
      <c r="E11" s="187" t="s">
        <v>5209</v>
      </c>
      <c r="F11" s="183" t="s">
        <v>1313</v>
      </c>
      <c r="I11" s="192">
        <v>57000</v>
      </c>
      <c r="J11" s="185" t="s">
        <v>234</v>
      </c>
      <c r="K11" s="187"/>
      <c r="L11" s="192"/>
      <c r="M11" s="205"/>
      <c r="N11" s="187" t="s">
        <v>28</v>
      </c>
      <c r="O11" s="187" t="s">
        <v>20</v>
      </c>
      <c r="P11" s="187"/>
      <c r="Q11" s="187" t="s">
        <v>5210</v>
      </c>
      <c r="R11" s="187" t="s">
        <v>126</v>
      </c>
    </row>
    <row r="12" spans="1:26" x14ac:dyDescent="0.25">
      <c r="A12" s="183" t="s">
        <v>5211</v>
      </c>
      <c r="B12" s="183">
        <v>1007478273</v>
      </c>
      <c r="C12" s="183" t="s">
        <v>5212</v>
      </c>
      <c r="D12" s="183" t="s">
        <v>3157</v>
      </c>
      <c r="E12" s="183" t="s">
        <v>3141</v>
      </c>
      <c r="F12" s="183" t="s">
        <v>1783</v>
      </c>
      <c r="I12" s="184">
        <v>82000</v>
      </c>
      <c r="J12" s="185" t="s">
        <v>234</v>
      </c>
      <c r="K12" s="183"/>
      <c r="L12" s="184"/>
      <c r="M12" s="186"/>
      <c r="N12" s="187" t="s">
        <v>3029</v>
      </c>
      <c r="O12" s="187" t="s">
        <v>20</v>
      </c>
      <c r="P12" s="187"/>
      <c r="Q12" s="183" t="s">
        <v>4419</v>
      </c>
      <c r="R12" s="183" t="s">
        <v>2730</v>
      </c>
    </row>
    <row r="13" spans="1:26" x14ac:dyDescent="0.25">
      <c r="A13" s="183" t="s">
        <v>5213</v>
      </c>
      <c r="B13" s="183">
        <v>1113314474</v>
      </c>
      <c r="C13" s="183">
        <v>3104378954</v>
      </c>
      <c r="D13" s="183" t="s">
        <v>3536</v>
      </c>
      <c r="E13" s="183" t="s">
        <v>3268</v>
      </c>
      <c r="F13" s="183" t="s">
        <v>2731</v>
      </c>
      <c r="I13" s="184">
        <v>82000</v>
      </c>
      <c r="J13" s="185" t="s">
        <v>234</v>
      </c>
      <c r="K13" s="183"/>
      <c r="L13" s="184"/>
      <c r="M13" s="186"/>
      <c r="N13" s="187" t="s">
        <v>3029</v>
      </c>
      <c r="O13" s="187" t="s">
        <v>20</v>
      </c>
      <c r="P13" s="187"/>
      <c r="Q13" s="183" t="s">
        <v>3298</v>
      </c>
      <c r="R13" s="183" t="s">
        <v>5214</v>
      </c>
    </row>
    <row r="14" spans="1:26" x14ac:dyDescent="0.25">
      <c r="A14" s="187" t="s">
        <v>5215</v>
      </c>
      <c r="B14" s="191">
        <v>1364372</v>
      </c>
      <c r="C14" s="187" t="s">
        <v>5216</v>
      </c>
      <c r="D14" s="187" t="s">
        <v>5217</v>
      </c>
      <c r="E14" s="183" t="s">
        <v>2730</v>
      </c>
      <c r="F14" s="187" t="s">
        <v>105</v>
      </c>
      <c r="I14" s="192">
        <v>42000</v>
      </c>
      <c r="J14" s="185" t="s">
        <v>234</v>
      </c>
      <c r="K14" s="187"/>
      <c r="L14" s="192"/>
      <c r="M14" s="205"/>
      <c r="N14" s="187" t="s">
        <v>2730</v>
      </c>
      <c r="O14" s="187" t="s">
        <v>20</v>
      </c>
      <c r="P14" s="187"/>
      <c r="Q14" s="187" t="s">
        <v>5218</v>
      </c>
      <c r="R14" s="187" t="s">
        <v>2815</v>
      </c>
    </row>
    <row r="15" spans="1:26" x14ac:dyDescent="0.25">
      <c r="A15" s="183" t="s">
        <v>5219</v>
      </c>
      <c r="B15" s="183">
        <v>24674767</v>
      </c>
      <c r="C15" s="183">
        <v>3143072808</v>
      </c>
      <c r="D15" s="183" t="s">
        <v>523</v>
      </c>
      <c r="E15" s="183">
        <v>27</v>
      </c>
      <c r="F15" s="183" t="s">
        <v>2944</v>
      </c>
      <c r="I15" s="184">
        <v>42000</v>
      </c>
      <c r="J15" s="185" t="s">
        <v>234</v>
      </c>
      <c r="K15" s="183"/>
      <c r="L15" s="184"/>
      <c r="M15" s="186"/>
      <c r="N15" s="187" t="s">
        <v>28</v>
      </c>
      <c r="O15" s="187" t="s">
        <v>20</v>
      </c>
      <c r="P15" s="187"/>
      <c r="Q15" s="183" t="s">
        <v>5220</v>
      </c>
      <c r="R15" s="183"/>
    </row>
    <row r="16" spans="1:26" x14ac:dyDescent="0.25">
      <c r="A16" s="183" t="s">
        <v>5221</v>
      </c>
      <c r="B16" s="183">
        <v>1094923990</v>
      </c>
      <c r="C16" s="183">
        <v>3102626572</v>
      </c>
      <c r="D16" s="183" t="s">
        <v>2991</v>
      </c>
      <c r="E16" s="183" t="s">
        <v>2730</v>
      </c>
      <c r="F16" s="183" t="s">
        <v>105</v>
      </c>
      <c r="I16" s="184">
        <v>42000</v>
      </c>
      <c r="J16" s="185" t="s">
        <v>234</v>
      </c>
      <c r="K16" s="183"/>
      <c r="L16" s="184"/>
      <c r="M16" s="186"/>
      <c r="N16" s="187" t="s">
        <v>2730</v>
      </c>
      <c r="O16" s="187" t="s">
        <v>20</v>
      </c>
      <c r="P16" s="187"/>
      <c r="Q16" s="183" t="s">
        <v>5222</v>
      </c>
      <c r="R16" s="183" t="s">
        <v>2737</v>
      </c>
    </row>
    <row r="17" spans="1:18" x14ac:dyDescent="0.25">
      <c r="A17" s="183" t="s">
        <v>5223</v>
      </c>
      <c r="B17" s="191">
        <v>24806306</v>
      </c>
      <c r="C17" s="183">
        <v>3147625601</v>
      </c>
      <c r="D17" s="183" t="s">
        <v>5224</v>
      </c>
      <c r="E17" s="183" t="s">
        <v>105</v>
      </c>
      <c r="F17" s="184">
        <v>122000</v>
      </c>
      <c r="G17" s="184"/>
      <c r="I17" s="184">
        <v>122000</v>
      </c>
      <c r="J17" s="216"/>
      <c r="K17" s="184"/>
      <c r="L17" s="186"/>
      <c r="M17" s="187" t="s">
        <v>3354</v>
      </c>
      <c r="N17" s="187" t="s">
        <v>20</v>
      </c>
      <c r="O17" s="187"/>
      <c r="P17" s="183" t="s">
        <v>4154</v>
      </c>
      <c r="Q17" s="183" t="s">
        <v>4290</v>
      </c>
    </row>
    <row r="18" spans="1:18" x14ac:dyDescent="0.25">
      <c r="A18" s="183" t="s">
        <v>5225</v>
      </c>
      <c r="B18" s="183">
        <v>1094910769</v>
      </c>
      <c r="C18" s="183">
        <v>3217733742</v>
      </c>
      <c r="D18" s="183" t="s">
        <v>538</v>
      </c>
      <c r="E18" s="183">
        <v>221</v>
      </c>
      <c r="F18" s="183" t="s">
        <v>2944</v>
      </c>
      <c r="G18" s="184">
        <v>42000</v>
      </c>
      <c r="H18" s="183"/>
      <c r="I18" s="184">
        <f>G18</f>
        <v>42000</v>
      </c>
      <c r="J18" s="185" t="s">
        <v>234</v>
      </c>
      <c r="K18" s="183"/>
      <c r="L18" s="184"/>
      <c r="M18" s="186"/>
      <c r="N18" s="187" t="s">
        <v>28</v>
      </c>
      <c r="O18" s="187" t="s">
        <v>20</v>
      </c>
      <c r="P18" s="187"/>
      <c r="Q18" s="183" t="s">
        <v>5226</v>
      </c>
      <c r="R18" s="183" t="s">
        <v>384</v>
      </c>
    </row>
    <row r="19" spans="1:18" x14ac:dyDescent="0.25">
      <c r="A19" s="187" t="s">
        <v>5227</v>
      </c>
      <c r="B19" s="259">
        <v>1005821100</v>
      </c>
      <c r="C19" s="191" t="s">
        <v>5228</v>
      </c>
      <c r="D19" s="187" t="s">
        <v>533</v>
      </c>
      <c r="E19" s="187">
        <v>591</v>
      </c>
      <c r="F19" s="187" t="s">
        <v>25</v>
      </c>
      <c r="G19" s="192">
        <v>42000</v>
      </c>
      <c r="H19" s="187"/>
      <c r="I19" s="192">
        <v>42000</v>
      </c>
      <c r="J19" s="185" t="s">
        <v>234</v>
      </c>
      <c r="K19" s="187"/>
      <c r="L19" s="192"/>
      <c r="M19" s="205"/>
      <c r="N19" s="187" t="s">
        <v>28</v>
      </c>
      <c r="O19" s="187" t="s">
        <v>20</v>
      </c>
      <c r="P19" s="187"/>
      <c r="Q19" s="187" t="s">
        <v>5229</v>
      </c>
      <c r="R19" s="187" t="s">
        <v>5230</v>
      </c>
    </row>
    <row r="20" spans="1:18" x14ac:dyDescent="0.25">
      <c r="A20" s="183" t="s">
        <v>5231</v>
      </c>
      <c r="B20" s="183">
        <v>900925172</v>
      </c>
      <c r="C20" s="183" t="s">
        <v>5232</v>
      </c>
      <c r="D20" s="183" t="s">
        <v>5233</v>
      </c>
      <c r="E20" s="183" t="s">
        <v>2730</v>
      </c>
      <c r="F20" s="183" t="s">
        <v>4929</v>
      </c>
      <c r="G20" s="184">
        <v>82000</v>
      </c>
      <c r="H20" s="185">
        <v>15580</v>
      </c>
      <c r="I20" s="184">
        <f>G20+H20</f>
        <v>97580</v>
      </c>
      <c r="J20" s="185" t="s">
        <v>234</v>
      </c>
      <c r="K20" s="183"/>
      <c r="L20" s="184"/>
      <c r="M20" s="186"/>
      <c r="N20" s="187" t="s">
        <v>3353</v>
      </c>
      <c r="O20" s="187" t="s">
        <v>20</v>
      </c>
      <c r="P20" s="187"/>
      <c r="Q20" s="183" t="s">
        <v>3365</v>
      </c>
      <c r="R20" s="183" t="s">
        <v>5234</v>
      </c>
    </row>
    <row r="21" spans="1:18" ht="15.75" customHeight="1" x14ac:dyDescent="0.25">
      <c r="A21" s="183" t="s">
        <v>5235</v>
      </c>
      <c r="B21" s="252">
        <v>9801823</v>
      </c>
      <c r="C21" s="183">
        <v>3187880997</v>
      </c>
      <c r="D21" s="183" t="s">
        <v>489</v>
      </c>
      <c r="E21" s="183" t="s">
        <v>5236</v>
      </c>
      <c r="F21" s="183" t="s">
        <v>2944</v>
      </c>
      <c r="G21" s="184">
        <v>42000</v>
      </c>
      <c r="H21" s="183"/>
      <c r="I21" s="184">
        <f>G21</f>
        <v>42000</v>
      </c>
      <c r="J21" s="185" t="s">
        <v>26</v>
      </c>
      <c r="K21" s="183" t="s">
        <v>5119</v>
      </c>
      <c r="L21" s="184">
        <v>42000</v>
      </c>
      <c r="M21" s="186"/>
      <c r="N21" s="187" t="s">
        <v>28</v>
      </c>
      <c r="O21" s="187" t="s">
        <v>20</v>
      </c>
      <c r="P21" s="187"/>
      <c r="Q21" s="183" t="s">
        <v>5237</v>
      </c>
      <c r="R21" s="183" t="s">
        <v>286</v>
      </c>
    </row>
    <row r="22" spans="1:18" ht="15.75" customHeight="1" x14ac:dyDescent="0.25">
      <c r="A22" s="183" t="s">
        <v>5238</v>
      </c>
      <c r="B22" s="183">
        <v>1144038885</v>
      </c>
      <c r="C22" s="183">
        <v>3183937066</v>
      </c>
      <c r="D22" s="183" t="s">
        <v>5239</v>
      </c>
      <c r="E22" s="183" t="s">
        <v>2731</v>
      </c>
      <c r="F22" s="184">
        <v>42000</v>
      </c>
      <c r="G22" s="184"/>
      <c r="H22" s="184">
        <v>42000</v>
      </c>
      <c r="I22" s="185" t="s">
        <v>26</v>
      </c>
      <c r="J22" s="183" t="s">
        <v>189</v>
      </c>
      <c r="K22" s="184">
        <v>42000</v>
      </c>
      <c r="L22" s="186"/>
      <c r="M22" s="187" t="s">
        <v>3354</v>
      </c>
      <c r="N22" s="187" t="s">
        <v>20</v>
      </c>
      <c r="O22" s="187"/>
      <c r="P22" s="183" t="s">
        <v>4045</v>
      </c>
      <c r="Q22" s="183" t="s">
        <v>4254</v>
      </c>
    </row>
    <row r="23" spans="1:18" ht="15.75" customHeight="1" x14ac:dyDescent="0.25">
      <c r="A23" s="187" t="s">
        <v>5240</v>
      </c>
      <c r="B23" s="191">
        <v>1088026959</v>
      </c>
      <c r="C23" s="191" t="s">
        <v>5241</v>
      </c>
      <c r="D23" s="187" t="s">
        <v>4669</v>
      </c>
      <c r="E23" s="187" t="s">
        <v>5242</v>
      </c>
      <c r="F23" s="187" t="s">
        <v>2944</v>
      </c>
      <c r="G23" s="192">
        <v>42000</v>
      </c>
      <c r="H23" s="187"/>
      <c r="I23" s="192">
        <v>42000</v>
      </c>
      <c r="J23" s="185" t="s">
        <v>234</v>
      </c>
      <c r="K23" s="187"/>
      <c r="L23" s="192"/>
      <c r="M23" s="205"/>
      <c r="N23" s="187" t="s">
        <v>28</v>
      </c>
      <c r="O23" s="187" t="s">
        <v>20</v>
      </c>
      <c r="P23" s="187"/>
      <c r="Q23" s="187" t="s">
        <v>497</v>
      </c>
      <c r="R23" s="187" t="s">
        <v>5243</v>
      </c>
    </row>
    <row r="24" spans="1:18" ht="15.75" customHeight="1" x14ac:dyDescent="0.25">
      <c r="A24" s="183" t="s">
        <v>5244</v>
      </c>
      <c r="B24" s="183"/>
      <c r="C24" s="183"/>
      <c r="D24" s="183" t="s">
        <v>4378</v>
      </c>
      <c r="E24" s="183" t="s">
        <v>2944</v>
      </c>
      <c r="F24" s="184">
        <v>42000</v>
      </c>
      <c r="G24" s="184">
        <v>7980</v>
      </c>
      <c r="H24" s="184">
        <v>49980</v>
      </c>
      <c r="I24" s="185" t="s">
        <v>234</v>
      </c>
      <c r="J24" s="216"/>
      <c r="K24" s="184"/>
      <c r="L24" s="186"/>
      <c r="M24" s="187" t="s">
        <v>3354</v>
      </c>
      <c r="N24" s="187" t="s">
        <v>20</v>
      </c>
      <c r="O24" s="187"/>
      <c r="P24" s="183" t="s">
        <v>4083</v>
      </c>
      <c r="Q24" s="183" t="s">
        <v>5245</v>
      </c>
    </row>
    <row r="25" spans="1:18" ht="15.75" customHeight="1" x14ac:dyDescent="0.25">
      <c r="A25" s="183" t="s">
        <v>5246</v>
      </c>
      <c r="B25" s="183">
        <v>94286821</v>
      </c>
      <c r="C25" s="183">
        <v>3173790189</v>
      </c>
      <c r="D25" s="183" t="s">
        <v>5247</v>
      </c>
      <c r="E25" s="183" t="s">
        <v>3028</v>
      </c>
      <c r="F25" s="183" t="s">
        <v>5248</v>
      </c>
      <c r="G25" s="184">
        <v>82000</v>
      </c>
      <c r="H25" s="185"/>
      <c r="I25" s="184">
        <f>G25</f>
        <v>82000</v>
      </c>
      <c r="J25" s="185" t="s">
        <v>26</v>
      </c>
      <c r="K25" s="183" t="s">
        <v>85</v>
      </c>
      <c r="L25" s="184">
        <v>82000</v>
      </c>
      <c r="M25" s="186"/>
      <c r="N25" s="187" t="s">
        <v>3029</v>
      </c>
      <c r="O25" s="187" t="s">
        <v>20</v>
      </c>
      <c r="P25" s="187"/>
      <c r="Q25" s="183" t="s">
        <v>3101</v>
      </c>
      <c r="R25" s="183" t="s">
        <v>5249</v>
      </c>
    </row>
    <row r="26" spans="1:18" ht="15.75" customHeight="1" x14ac:dyDescent="0.25">
      <c r="A26" s="187" t="s">
        <v>4758</v>
      </c>
      <c r="B26" s="191">
        <v>1115185090</v>
      </c>
      <c r="C26" s="187" t="s">
        <v>4759</v>
      </c>
      <c r="D26" s="187" t="s">
        <v>4760</v>
      </c>
      <c r="E26" s="206">
        <v>617</v>
      </c>
      <c r="F26" s="187" t="s">
        <v>2571</v>
      </c>
      <c r="G26" s="192">
        <v>42000</v>
      </c>
      <c r="H26" s="187"/>
      <c r="I26" s="192">
        <v>42000</v>
      </c>
      <c r="J26" s="185" t="s">
        <v>26</v>
      </c>
      <c r="K26" s="216" t="s">
        <v>189</v>
      </c>
      <c r="L26" s="184">
        <v>42000</v>
      </c>
      <c r="M26" s="186"/>
      <c r="N26" s="187" t="s">
        <v>4135</v>
      </c>
      <c r="O26" s="187" t="s">
        <v>20</v>
      </c>
      <c r="P26" s="187"/>
      <c r="Q26" s="187" t="s">
        <v>4761</v>
      </c>
      <c r="R26" s="187" t="s">
        <v>4762</v>
      </c>
    </row>
    <row r="27" spans="1:18" ht="15.75" customHeight="1" x14ac:dyDescent="0.25">
      <c r="A27" s="183" t="s">
        <v>5238</v>
      </c>
      <c r="B27" s="183">
        <v>1144038885</v>
      </c>
      <c r="C27" s="183">
        <v>3183937066</v>
      </c>
      <c r="D27" s="183" t="s">
        <v>5239</v>
      </c>
      <c r="E27" s="188"/>
      <c r="F27" s="183" t="s">
        <v>2731</v>
      </c>
      <c r="G27" s="184">
        <v>42000</v>
      </c>
      <c r="H27" s="184"/>
      <c r="I27" s="184">
        <v>42000</v>
      </c>
      <c r="J27" s="185" t="s">
        <v>26</v>
      </c>
      <c r="K27" s="183" t="s">
        <v>189</v>
      </c>
      <c r="L27" s="184">
        <v>42000</v>
      </c>
      <c r="M27" s="186"/>
      <c r="N27" s="187" t="s">
        <v>3354</v>
      </c>
      <c r="O27" s="187" t="s">
        <v>20</v>
      </c>
      <c r="P27" s="187"/>
      <c r="Q27" s="183" t="s">
        <v>4045</v>
      </c>
      <c r="R27" s="183" t="s">
        <v>4254</v>
      </c>
    </row>
    <row r="28" spans="1:18" ht="15.75" customHeight="1" x14ac:dyDescent="0.25">
      <c r="A28" s="189" t="s">
        <v>5250</v>
      </c>
      <c r="B28" s="183">
        <v>9774353</v>
      </c>
      <c r="C28" s="183">
        <v>3147039955</v>
      </c>
      <c r="D28" s="183" t="s">
        <v>5251</v>
      </c>
      <c r="E28" s="183" t="s">
        <v>2730</v>
      </c>
      <c r="F28" s="183" t="s">
        <v>1783</v>
      </c>
      <c r="G28" s="185">
        <v>82000</v>
      </c>
      <c r="H28" s="185"/>
      <c r="I28" s="184">
        <f t="shared" ref="I28:I31" si="0">G28</f>
        <v>82000</v>
      </c>
      <c r="J28" s="185" t="s">
        <v>26</v>
      </c>
      <c r="K28" s="183" t="s">
        <v>427</v>
      </c>
      <c r="L28" s="184">
        <v>82000</v>
      </c>
      <c r="M28" s="186"/>
      <c r="N28" s="187" t="s">
        <v>4380</v>
      </c>
      <c r="O28" s="187" t="s">
        <v>20</v>
      </c>
      <c r="P28" s="187"/>
      <c r="Q28" s="183" t="s">
        <v>5252</v>
      </c>
      <c r="R28" s="183" t="s">
        <v>5253</v>
      </c>
    </row>
    <row r="29" spans="1:18" ht="15.75" customHeight="1" x14ac:dyDescent="0.25">
      <c r="A29" s="189" t="s">
        <v>5254</v>
      </c>
      <c r="B29" s="189">
        <v>16260563</v>
      </c>
      <c r="C29" s="189">
        <v>3104719568</v>
      </c>
      <c r="D29" s="191" t="s">
        <v>5255</v>
      </c>
      <c r="E29" s="183" t="s">
        <v>2730</v>
      </c>
      <c r="F29" s="189" t="s">
        <v>4929</v>
      </c>
      <c r="G29" s="185">
        <v>82000</v>
      </c>
      <c r="H29" s="184"/>
      <c r="I29" s="184">
        <f t="shared" si="0"/>
        <v>82000</v>
      </c>
      <c r="J29" s="185" t="s">
        <v>26</v>
      </c>
      <c r="K29" s="183" t="s">
        <v>85</v>
      </c>
      <c r="L29" s="184">
        <v>82000</v>
      </c>
      <c r="M29" s="186"/>
      <c r="N29" s="187" t="s">
        <v>4380</v>
      </c>
      <c r="O29" s="187" t="s">
        <v>20</v>
      </c>
      <c r="P29" s="187"/>
      <c r="Q29" s="189" t="s">
        <v>3142</v>
      </c>
      <c r="R29" s="189" t="s">
        <v>5256</v>
      </c>
    </row>
    <row r="30" spans="1:18" ht="15.75" customHeight="1" x14ac:dyDescent="0.25">
      <c r="A30" s="189" t="s">
        <v>5250</v>
      </c>
      <c r="B30" s="189">
        <v>30318907</v>
      </c>
      <c r="C30" s="189">
        <v>3006168261</v>
      </c>
      <c r="D30" s="191" t="s">
        <v>5257</v>
      </c>
      <c r="E30" s="183" t="s">
        <v>2730</v>
      </c>
      <c r="F30" s="189" t="s">
        <v>4929</v>
      </c>
      <c r="G30" s="185">
        <v>82000</v>
      </c>
      <c r="H30" s="184"/>
      <c r="I30" s="184">
        <f t="shared" si="0"/>
        <v>82000</v>
      </c>
      <c r="J30" s="185" t="s">
        <v>26</v>
      </c>
      <c r="K30" s="183" t="s">
        <v>427</v>
      </c>
      <c r="L30" s="184">
        <v>82000</v>
      </c>
      <c r="M30" s="186"/>
      <c r="N30" s="187" t="s">
        <v>4380</v>
      </c>
      <c r="O30" s="187" t="s">
        <v>20</v>
      </c>
      <c r="P30" s="187"/>
      <c r="Q30" s="189" t="s">
        <v>5258</v>
      </c>
      <c r="R30" s="189" t="s">
        <v>5259</v>
      </c>
    </row>
    <row r="31" spans="1:18" ht="15.75" customHeight="1" x14ac:dyDescent="0.25">
      <c r="A31" s="183" t="s">
        <v>5235</v>
      </c>
      <c r="B31" s="252">
        <v>9801823</v>
      </c>
      <c r="C31" s="183">
        <v>3187880997</v>
      </c>
      <c r="D31" s="183" t="s">
        <v>489</v>
      </c>
      <c r="E31" s="183" t="s">
        <v>5236</v>
      </c>
      <c r="F31" s="183" t="s">
        <v>2944</v>
      </c>
      <c r="G31" s="184">
        <v>42000</v>
      </c>
      <c r="H31" s="183"/>
      <c r="I31" s="184">
        <f t="shared" si="0"/>
        <v>42000</v>
      </c>
      <c r="J31" s="185" t="s">
        <v>26</v>
      </c>
      <c r="K31" s="183" t="s">
        <v>5119</v>
      </c>
      <c r="L31" s="184">
        <v>42000</v>
      </c>
      <c r="M31" s="186"/>
      <c r="N31" s="187" t="s">
        <v>28</v>
      </c>
      <c r="O31" s="187" t="s">
        <v>20</v>
      </c>
      <c r="P31" s="187"/>
      <c r="Q31" s="183" t="s">
        <v>5237</v>
      </c>
      <c r="R31" s="183" t="s">
        <v>286</v>
      </c>
    </row>
    <row r="32" spans="1:18" ht="15.75" customHeight="1" x14ac:dyDescent="0.25">
      <c r="A32" s="187" t="s">
        <v>816</v>
      </c>
      <c r="B32" s="259">
        <v>1120388184</v>
      </c>
      <c r="C32" s="191" t="s">
        <v>5260</v>
      </c>
      <c r="D32" s="187" t="s">
        <v>555</v>
      </c>
      <c r="E32" s="187" t="s">
        <v>5261</v>
      </c>
      <c r="F32" s="187" t="s">
        <v>2944</v>
      </c>
      <c r="G32" s="192">
        <v>42000</v>
      </c>
      <c r="H32" s="187"/>
      <c r="I32" s="192">
        <v>42000</v>
      </c>
      <c r="J32" s="185" t="s">
        <v>26</v>
      </c>
      <c r="K32" s="187" t="s">
        <v>5119</v>
      </c>
      <c r="L32" s="192">
        <v>42000</v>
      </c>
      <c r="M32" s="205"/>
      <c r="N32" s="187" t="s">
        <v>28</v>
      </c>
      <c r="O32" s="187" t="s">
        <v>20</v>
      </c>
      <c r="P32" s="187"/>
      <c r="Q32" s="187" t="s">
        <v>771</v>
      </c>
      <c r="R32" s="187" t="s">
        <v>5262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I22">
    <cfRule type="containsText" dxfId="95" priority="1" operator="containsText" text="AL DIA">
      <formula>NOT(ISERROR(SEARCH(("AL DIA"),(I22))))</formula>
    </cfRule>
  </conditionalFormatting>
  <conditionalFormatting sqref="I22">
    <cfRule type="containsText" dxfId="94" priority="2" operator="containsText" text="PENDIENTE">
      <formula>NOT(ISERROR(SEARCH(("PENDIENTE"),(I22))))</formula>
    </cfRule>
  </conditionalFormatting>
  <conditionalFormatting sqref="I24">
    <cfRule type="containsText" dxfId="93" priority="3" operator="containsText" text="AL DIA">
      <formula>NOT(ISERROR(SEARCH(("AL DIA"),(I24))))</formula>
    </cfRule>
  </conditionalFormatting>
  <conditionalFormatting sqref="I24">
    <cfRule type="containsText" dxfId="92" priority="4" operator="containsText" text="PENDIENTE">
      <formula>NOT(ISERROR(SEARCH(("PENDIENTE"),(I24))))</formula>
    </cfRule>
  </conditionalFormatting>
  <conditionalFormatting sqref="J5">
    <cfRule type="containsText" dxfId="91" priority="5" operator="containsText" text="AL DIA">
      <formula>NOT(ISERROR(SEARCH(("AL DIA"),(J5))))</formula>
    </cfRule>
  </conditionalFormatting>
  <conditionalFormatting sqref="J5">
    <cfRule type="containsText" dxfId="90" priority="6" operator="containsText" text="PENDIENTE">
      <formula>NOT(ISERROR(SEARCH(("PENDIENTE"),(J5))))</formula>
    </cfRule>
  </conditionalFormatting>
  <conditionalFormatting sqref="J9:J16">
    <cfRule type="containsText" dxfId="89" priority="7" operator="containsText" text="AL DIA">
      <formula>NOT(ISERROR(SEARCH(("AL DIA"),(J9))))</formula>
    </cfRule>
  </conditionalFormatting>
  <conditionalFormatting sqref="J9:J16">
    <cfRule type="containsText" dxfId="88" priority="8" operator="containsText" text="PENDIENTE">
      <formula>NOT(ISERROR(SEARCH(("PENDIENTE"),(J9))))</formula>
    </cfRule>
  </conditionalFormatting>
  <conditionalFormatting sqref="J18:J21">
    <cfRule type="containsText" dxfId="87" priority="9" operator="containsText" text="AL DIA">
      <formula>NOT(ISERROR(SEARCH(("AL DIA"),(J18))))</formula>
    </cfRule>
  </conditionalFormatting>
  <conditionalFormatting sqref="J18:J21">
    <cfRule type="containsText" dxfId="86" priority="10" operator="containsText" text="PENDIENTE">
      <formula>NOT(ISERROR(SEARCH(("PENDIENTE"),(J18))))</formula>
    </cfRule>
  </conditionalFormatting>
  <conditionalFormatting sqref="J23">
    <cfRule type="containsText" dxfId="85" priority="11" operator="containsText" text="AL DIA">
      <formula>NOT(ISERROR(SEARCH(("AL DIA"),(J23))))</formula>
    </cfRule>
  </conditionalFormatting>
  <conditionalFormatting sqref="J23">
    <cfRule type="containsText" dxfId="84" priority="12" operator="containsText" text="PENDIENTE">
      <formula>NOT(ISERROR(SEARCH(("PENDIENTE"),(J23))))</formula>
    </cfRule>
  </conditionalFormatting>
  <conditionalFormatting sqref="J25:J32">
    <cfRule type="containsText" dxfId="83" priority="13" operator="containsText" text="AL DIA">
      <formula>NOT(ISERROR(SEARCH(("AL DIA"),(J25))))</formula>
    </cfRule>
  </conditionalFormatting>
  <conditionalFormatting sqref="J25:J32">
    <cfRule type="containsText" dxfId="82" priority="14" operator="containsText" text="PENDIENTE">
      <formula>NOT(ISERROR(SEARCH(("PENDIENTE"),(J25))))</formula>
    </cfRule>
  </conditionalFormatting>
  <conditionalFormatting sqref="M6">
    <cfRule type="containsText" dxfId="81" priority="15" operator="containsText" text="RETIRADO">
      <formula>NOT(ISERROR(SEARCH(("RETIRADO"),(M6))))</formula>
    </cfRule>
  </conditionalFormatting>
  <conditionalFormatting sqref="M6">
    <cfRule type="containsText" dxfId="80" priority="16" operator="containsText" text="ACTIVO">
      <formula>NOT(ISERROR(SEARCH(("ACTIVO"),(M6))))</formula>
    </cfRule>
  </conditionalFormatting>
  <conditionalFormatting sqref="N2">
    <cfRule type="containsText" dxfId="79" priority="17" operator="containsText" text="RETIRADO">
      <formula>NOT(ISERROR(SEARCH(("RETIRADO"),(N2))))</formula>
    </cfRule>
  </conditionalFormatting>
  <conditionalFormatting sqref="N2">
    <cfRule type="containsText" dxfId="78" priority="18" operator="containsText" text="ACTIVO">
      <formula>NOT(ISERROR(SEARCH(("ACTIVO"),(N2))))</formula>
    </cfRule>
  </conditionalFormatting>
  <conditionalFormatting sqref="N7:N8">
    <cfRule type="containsText" dxfId="77" priority="19" operator="containsText" text="RETIRADO">
      <formula>NOT(ISERROR(SEARCH(("RETIRADO"),(N7))))</formula>
    </cfRule>
  </conditionalFormatting>
  <conditionalFormatting sqref="N7:N8">
    <cfRule type="containsText" dxfId="76" priority="20" operator="containsText" text="ACTIVO">
      <formula>NOT(ISERROR(SEARCH(("ACTIVO"),(N7))))</formula>
    </cfRule>
  </conditionalFormatting>
  <conditionalFormatting sqref="N17">
    <cfRule type="containsText" dxfId="75" priority="21" operator="containsText" text="RETIRADO">
      <formula>NOT(ISERROR(SEARCH(("RETIRADO"),(N17))))</formula>
    </cfRule>
  </conditionalFormatting>
  <conditionalFormatting sqref="N17">
    <cfRule type="containsText" dxfId="74" priority="22" operator="containsText" text="ACTIVO">
      <formula>NOT(ISERROR(SEARCH(("ACTIVO"),(N17))))</formula>
    </cfRule>
  </conditionalFormatting>
  <conditionalFormatting sqref="N22">
    <cfRule type="containsText" dxfId="73" priority="23" operator="containsText" text="RETIRADO">
      <formula>NOT(ISERROR(SEARCH(("RETIRADO"),(N22))))</formula>
    </cfRule>
  </conditionalFormatting>
  <conditionalFormatting sqref="N22">
    <cfRule type="containsText" dxfId="72" priority="24" operator="containsText" text="ACTIVO">
      <formula>NOT(ISERROR(SEARCH(("ACTIVO"),(N22))))</formula>
    </cfRule>
  </conditionalFormatting>
  <conditionalFormatting sqref="N24">
    <cfRule type="containsText" dxfId="71" priority="25" operator="containsText" text="RETIRADO">
      <formula>NOT(ISERROR(SEARCH(("RETIRADO"),(N24))))</formula>
    </cfRule>
  </conditionalFormatting>
  <conditionalFormatting sqref="N24">
    <cfRule type="containsText" dxfId="70" priority="26" operator="containsText" text="ACTIVO">
      <formula>NOT(ISERROR(SEARCH(("ACTIVO"),(N24))))</formula>
    </cfRule>
  </conditionalFormatting>
  <conditionalFormatting sqref="O5">
    <cfRule type="containsText" dxfId="69" priority="27" operator="containsText" text="RETIRADO">
      <formula>NOT(ISERROR(SEARCH(("RETIRADO"),(O5))))</formula>
    </cfRule>
  </conditionalFormatting>
  <conditionalFormatting sqref="O5">
    <cfRule type="containsText" dxfId="68" priority="28" operator="containsText" text="ACTIVO">
      <formula>NOT(ISERROR(SEARCH(("ACTIVO"),(O5))))</formula>
    </cfRule>
  </conditionalFormatting>
  <conditionalFormatting sqref="O9:O10">
    <cfRule type="containsText" dxfId="67" priority="29" operator="containsText" text="RETIRADO">
      <formula>NOT(ISERROR(SEARCH(("RETIRADO"),(O9))))</formula>
    </cfRule>
  </conditionalFormatting>
  <conditionalFormatting sqref="O9:O10">
    <cfRule type="containsText" dxfId="66" priority="30" operator="containsText" text="ACTIVO">
      <formula>NOT(ISERROR(SEARCH(("ACTIVO"),(O9))))</formula>
    </cfRule>
  </conditionalFormatting>
  <conditionalFormatting sqref="O12:O13">
    <cfRule type="containsText" dxfId="65" priority="31" operator="containsText" text="RETIRADO">
      <formula>NOT(ISERROR(SEARCH(("RETIRADO"),(O12))))</formula>
    </cfRule>
  </conditionalFormatting>
  <conditionalFormatting sqref="O12:O13">
    <cfRule type="containsText" dxfId="64" priority="32" operator="containsText" text="ACTIVO">
      <formula>NOT(ISERROR(SEARCH(("ACTIVO"),(O12))))</formula>
    </cfRule>
  </conditionalFormatting>
  <conditionalFormatting sqref="O15:O16">
    <cfRule type="containsText" dxfId="63" priority="33" operator="containsText" text="RETIRADO">
      <formula>NOT(ISERROR(SEARCH(("RETIRADO"),(O15))))</formula>
    </cfRule>
  </conditionalFormatting>
  <conditionalFormatting sqref="O15:O16">
    <cfRule type="containsText" dxfId="62" priority="34" operator="containsText" text="ACTIVO">
      <formula>NOT(ISERROR(SEARCH(("ACTIVO"),(O15))))</formula>
    </cfRule>
  </conditionalFormatting>
  <conditionalFormatting sqref="O18">
    <cfRule type="containsText" dxfId="61" priority="35" operator="containsText" text="RETIRADO">
      <formula>NOT(ISERROR(SEARCH(("RETIRADO"),(O18))))</formula>
    </cfRule>
  </conditionalFormatting>
  <conditionalFormatting sqref="O18">
    <cfRule type="containsText" dxfId="60" priority="36" operator="containsText" text="ACTIVO">
      <formula>NOT(ISERROR(SEARCH(("ACTIVO"),(O18))))</formula>
    </cfRule>
  </conditionalFormatting>
  <conditionalFormatting sqref="O20:O21">
    <cfRule type="containsText" dxfId="59" priority="37" operator="containsText" text="RETIRADO">
      <formula>NOT(ISERROR(SEARCH(("RETIRADO"),(O20))))</formula>
    </cfRule>
  </conditionalFormatting>
  <conditionalFormatting sqref="O20:O21">
    <cfRule type="containsText" dxfId="58" priority="38" operator="containsText" text="ACTIVO">
      <formula>NOT(ISERROR(SEARCH(("ACTIVO"),(O20))))</formula>
    </cfRule>
  </conditionalFormatting>
  <conditionalFormatting sqref="O25:O31">
    <cfRule type="containsText" dxfId="57" priority="39" operator="containsText" text="RETIRADO">
      <formula>NOT(ISERROR(SEARCH(("RETIRADO"),(O25))))</formula>
    </cfRule>
  </conditionalFormatting>
  <conditionalFormatting sqref="O25:O31">
    <cfRule type="containsText" dxfId="56" priority="40" operator="containsText" text="ACTIVO">
      <formula>NOT(ISERROR(SEARCH(("ACTIVO"),(O25))))</formula>
    </cfRule>
  </conditionalFormatting>
  <conditionalFormatting sqref="R26">
    <cfRule type="containsText" dxfId="55" priority="41" operator="containsText" text="AL DIA">
      <formula>NOT(ISERROR(SEARCH(("AL DIA"),(R26))))</formula>
    </cfRule>
  </conditionalFormatting>
  <conditionalFormatting sqref="R26">
    <cfRule type="containsText" dxfId="54" priority="42" operator="containsText" text="PENDIENTE">
      <formula>NOT(ISERROR(SEARCH(("PENDIENTE"),(R26))))</formula>
    </cfRule>
  </conditionalFormatting>
  <dataValidations count="10">
    <dataValidation type="list" allowBlank="1" showErrorMessage="1" sqref="J14 J20 J25 J28:J30" xr:uid="{00000000-0002-0000-0800-000000000000}">
      <formula1>$W$2:$W$3</formula1>
    </dataValidation>
    <dataValidation type="list" allowBlank="1" showErrorMessage="1" sqref="O16" xr:uid="{00000000-0002-0000-0800-000001000000}">
      <formula1>$Y$1:$Y$2</formula1>
    </dataValidation>
    <dataValidation type="list" allowBlank="1" showErrorMessage="1" sqref="M6 O12:O13 R26" xr:uid="{00000000-0002-0000-0800-000002000000}">
      <formula1>$W$1:$W$2</formula1>
    </dataValidation>
    <dataValidation type="list" allowBlank="1" showErrorMessage="1" sqref="J16" xr:uid="{00000000-0002-0000-0800-000003000000}">
      <formula1>$X$2:$X$3</formula1>
    </dataValidation>
    <dataValidation type="list" allowBlank="1" showErrorMessage="1" sqref="O20 O28:O30" xr:uid="{00000000-0002-0000-0800-000004000000}">
      <formula1>$V$1:$V$2</formula1>
    </dataValidation>
    <dataValidation type="list" allowBlank="1" showErrorMessage="1" sqref="J5 J9:J13 J15 J18:J19 J21 J23 J31:J32" xr:uid="{00000000-0002-0000-0800-000005000000}">
      <formula1>$V$2:$V$3</formula1>
    </dataValidation>
    <dataValidation type="list" allowBlank="1" showErrorMessage="1" sqref="N7:N8 O25" xr:uid="{00000000-0002-0000-0800-000006000000}">
      <formula1>$U$1:$U$2</formula1>
    </dataValidation>
    <dataValidation type="list" allowBlank="1" showErrorMessage="1" sqref="I22 I24 J26:J27" xr:uid="{00000000-0002-0000-0800-000007000000}">
      <formula1>$W$2</formula1>
    </dataValidation>
    <dataValidation type="list" allowBlank="1" showErrorMessage="1" sqref="N2 O5 O9:O10 O15 O18 O21 O31" xr:uid="{00000000-0002-0000-0800-000008000000}">
      <formula1>$T$1:$T$2</formula1>
    </dataValidation>
    <dataValidation type="list" allowBlank="1" showErrorMessage="1" sqref="N22 O27" xr:uid="{00000000-0002-0000-0800-000009000000}">
      <formula1>$X$1:$X$2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2" width="10.7109375" customWidth="1"/>
    <col min="3" max="3" width="42.85546875" customWidth="1"/>
    <col min="4" max="4" width="12.42578125" customWidth="1"/>
    <col min="5" max="5" width="26" customWidth="1"/>
    <col min="6" max="13" width="10.7109375" customWidth="1"/>
    <col min="14" max="14" width="21.5703125" customWidth="1"/>
    <col min="15" max="26" width="10.7109375" customWidth="1"/>
  </cols>
  <sheetData>
    <row r="1" spans="1:20" x14ac:dyDescent="0.25">
      <c r="C1" s="253" t="s">
        <v>0</v>
      </c>
      <c r="D1" s="254" t="s">
        <v>2721</v>
      </c>
      <c r="E1" s="253" t="s">
        <v>2</v>
      </c>
      <c r="F1" s="253" t="s">
        <v>3</v>
      </c>
      <c r="G1" s="253" t="s">
        <v>5</v>
      </c>
      <c r="H1" s="253" t="s">
        <v>6</v>
      </c>
      <c r="I1" s="255" t="s">
        <v>7</v>
      </c>
      <c r="J1" s="256" t="s">
        <v>2724</v>
      </c>
      <c r="K1" s="255" t="s">
        <v>8</v>
      </c>
      <c r="L1" s="253" t="s">
        <v>9</v>
      </c>
      <c r="M1" s="253" t="s">
        <v>10</v>
      </c>
      <c r="N1" s="255" t="s">
        <v>11</v>
      </c>
      <c r="O1" s="257" t="s">
        <v>12</v>
      </c>
      <c r="P1" s="258" t="s">
        <v>13</v>
      </c>
      <c r="Q1" s="258" t="s">
        <v>14</v>
      </c>
      <c r="R1" s="258" t="s">
        <v>15</v>
      </c>
      <c r="S1" s="258" t="s">
        <v>16</v>
      </c>
      <c r="T1" s="258" t="s">
        <v>17</v>
      </c>
    </row>
    <row r="2" spans="1:20" x14ac:dyDescent="0.25">
      <c r="A2" s="261">
        <v>45717</v>
      </c>
      <c r="B2" s="206" t="s">
        <v>21</v>
      </c>
      <c r="C2" s="206" t="s">
        <v>5227</v>
      </c>
      <c r="D2" s="262">
        <v>1005821100</v>
      </c>
      <c r="E2" s="263" t="s">
        <v>5228</v>
      </c>
      <c r="F2" s="206" t="s">
        <v>533</v>
      </c>
      <c r="G2" s="206">
        <v>591</v>
      </c>
      <c r="H2" s="206" t="s">
        <v>25</v>
      </c>
      <c r="I2" s="264">
        <v>42000</v>
      </c>
      <c r="J2" s="206"/>
      <c r="K2" s="264">
        <v>42000</v>
      </c>
      <c r="L2" s="206" t="s">
        <v>26</v>
      </c>
      <c r="M2" s="206"/>
      <c r="N2" s="264"/>
      <c r="O2" s="265"/>
      <c r="P2" s="206" t="s">
        <v>28</v>
      </c>
      <c r="Q2" s="206" t="s">
        <v>20</v>
      </c>
      <c r="R2" s="206"/>
      <c r="S2" s="206" t="s">
        <v>5263</v>
      </c>
      <c r="T2" s="206"/>
    </row>
    <row r="3" spans="1:20" x14ac:dyDescent="0.25">
      <c r="A3" s="261">
        <v>45721</v>
      </c>
      <c r="B3" s="206" t="s">
        <v>21</v>
      </c>
      <c r="C3" s="206" t="s">
        <v>172</v>
      </c>
      <c r="D3" s="262">
        <v>1099684189</v>
      </c>
      <c r="E3" s="263" t="s">
        <v>479</v>
      </c>
      <c r="F3" s="206" t="s">
        <v>480</v>
      </c>
      <c r="G3" s="206">
        <v>876</v>
      </c>
      <c r="H3" s="206" t="s">
        <v>25</v>
      </c>
      <c r="I3" s="264">
        <v>42000</v>
      </c>
      <c r="J3" s="206"/>
      <c r="K3" s="264">
        <v>42000</v>
      </c>
      <c r="L3" s="206" t="s">
        <v>26</v>
      </c>
      <c r="M3" s="206" t="s">
        <v>5264</v>
      </c>
      <c r="N3" s="264">
        <v>42000</v>
      </c>
      <c r="O3" s="265">
        <v>45782</v>
      </c>
      <c r="P3" s="206" t="s">
        <v>28</v>
      </c>
      <c r="Q3" s="206" t="s">
        <v>20</v>
      </c>
      <c r="R3" s="206"/>
      <c r="S3" s="206" t="s">
        <v>481</v>
      </c>
      <c r="T3" s="206"/>
    </row>
    <row r="4" spans="1:20" x14ac:dyDescent="0.25">
      <c r="A4" s="261">
        <v>45721</v>
      </c>
      <c r="B4" s="206" t="s">
        <v>21</v>
      </c>
      <c r="C4" s="206" t="s">
        <v>482</v>
      </c>
      <c r="D4" s="262">
        <v>24807824</v>
      </c>
      <c r="E4" s="263" t="s">
        <v>483</v>
      </c>
      <c r="F4" s="206" t="s">
        <v>484</v>
      </c>
      <c r="G4" s="206">
        <v>877</v>
      </c>
      <c r="H4" s="206" t="s">
        <v>25</v>
      </c>
      <c r="I4" s="264">
        <v>42000</v>
      </c>
      <c r="J4" s="206"/>
      <c r="K4" s="264">
        <v>42000</v>
      </c>
      <c r="L4" s="206" t="s">
        <v>26</v>
      </c>
      <c r="M4" s="206"/>
      <c r="N4" s="264"/>
      <c r="O4" s="265"/>
      <c r="P4" s="206" t="s">
        <v>28</v>
      </c>
      <c r="Q4" s="206" t="s">
        <v>20</v>
      </c>
      <c r="R4" s="206"/>
      <c r="S4" s="206" t="s">
        <v>485</v>
      </c>
      <c r="T4" s="206"/>
    </row>
    <row r="5" spans="1:20" x14ac:dyDescent="0.25">
      <c r="A5" s="261">
        <v>45722</v>
      </c>
      <c r="B5" s="206" t="s">
        <v>21</v>
      </c>
      <c r="C5" s="206" t="s">
        <v>487</v>
      </c>
      <c r="D5" s="262">
        <v>9801331</v>
      </c>
      <c r="E5" s="263" t="s">
        <v>488</v>
      </c>
      <c r="F5" s="206" t="s">
        <v>489</v>
      </c>
      <c r="G5" s="206"/>
      <c r="H5" s="206" t="s">
        <v>25</v>
      </c>
      <c r="I5" s="264">
        <v>42000</v>
      </c>
      <c r="J5" s="206"/>
      <c r="K5" s="264">
        <v>42000</v>
      </c>
      <c r="L5" s="206" t="s">
        <v>26</v>
      </c>
      <c r="M5" s="206" t="s">
        <v>5264</v>
      </c>
      <c r="N5" s="264">
        <v>42000</v>
      </c>
      <c r="O5" s="265">
        <v>45780</v>
      </c>
      <c r="P5" s="206" t="s">
        <v>28</v>
      </c>
      <c r="Q5" s="206" t="s">
        <v>20</v>
      </c>
      <c r="R5" s="206"/>
      <c r="S5" s="206" t="s">
        <v>490</v>
      </c>
      <c r="T5" s="206" t="s">
        <v>491</v>
      </c>
    </row>
    <row r="6" spans="1:20" x14ac:dyDescent="0.25">
      <c r="A6" s="261">
        <v>45723</v>
      </c>
      <c r="B6" s="206" t="s">
        <v>21</v>
      </c>
      <c r="C6" s="206" t="s">
        <v>5265</v>
      </c>
      <c r="D6" s="262">
        <v>32549370</v>
      </c>
      <c r="E6" s="263">
        <v>323613237</v>
      </c>
      <c r="F6" s="206" t="s">
        <v>5127</v>
      </c>
      <c r="G6" s="206"/>
      <c r="H6" s="206" t="s">
        <v>25</v>
      </c>
      <c r="I6" s="264">
        <v>42000</v>
      </c>
      <c r="J6" s="206"/>
      <c r="K6" s="264">
        <v>42000</v>
      </c>
      <c r="L6" s="206" t="s">
        <v>26</v>
      </c>
      <c r="M6" s="206"/>
      <c r="N6" s="264"/>
      <c r="O6" s="265"/>
      <c r="P6" s="206" t="s">
        <v>28</v>
      </c>
      <c r="Q6" s="206" t="s">
        <v>20</v>
      </c>
      <c r="R6" s="206"/>
      <c r="S6" s="206" t="s">
        <v>5194</v>
      </c>
      <c r="T6" s="206" t="s">
        <v>198</v>
      </c>
    </row>
    <row r="7" spans="1:20" x14ac:dyDescent="0.25">
      <c r="A7" s="261">
        <v>45723</v>
      </c>
      <c r="B7" s="206" t="s">
        <v>21</v>
      </c>
      <c r="C7" s="206" t="s">
        <v>493</v>
      </c>
      <c r="D7" s="262">
        <v>1099682885</v>
      </c>
      <c r="E7" s="263" t="s">
        <v>494</v>
      </c>
      <c r="F7" s="206" t="s">
        <v>495</v>
      </c>
      <c r="G7" s="206"/>
      <c r="H7" s="206" t="s">
        <v>25</v>
      </c>
      <c r="I7" s="264">
        <v>42000</v>
      </c>
      <c r="J7" s="206"/>
      <c r="K7" s="264">
        <v>42000</v>
      </c>
      <c r="L7" s="206" t="s">
        <v>26</v>
      </c>
      <c r="M7" s="206" t="s">
        <v>5264</v>
      </c>
      <c r="N7" s="264">
        <v>42000</v>
      </c>
      <c r="O7" s="265">
        <v>45781</v>
      </c>
      <c r="P7" s="206" t="s">
        <v>28</v>
      </c>
      <c r="Q7" s="206" t="s">
        <v>20</v>
      </c>
      <c r="R7" s="206"/>
      <c r="S7" s="206" t="s">
        <v>496</v>
      </c>
      <c r="T7" s="206" t="s">
        <v>497</v>
      </c>
    </row>
    <row r="8" spans="1:20" x14ac:dyDescent="0.25">
      <c r="A8" s="261">
        <v>45724</v>
      </c>
      <c r="B8" s="206" t="s">
        <v>21</v>
      </c>
      <c r="C8" s="206" t="s">
        <v>504</v>
      </c>
      <c r="D8" s="262">
        <v>1094888968</v>
      </c>
      <c r="E8" s="263" t="s">
        <v>505</v>
      </c>
      <c r="F8" s="206" t="s">
        <v>506</v>
      </c>
      <c r="G8" s="206"/>
      <c r="H8" s="206" t="s">
        <v>25</v>
      </c>
      <c r="I8" s="264">
        <v>42000</v>
      </c>
      <c r="J8" s="206"/>
      <c r="K8" s="264">
        <v>42000</v>
      </c>
      <c r="L8" s="206" t="s">
        <v>26</v>
      </c>
      <c r="M8" s="206"/>
      <c r="N8" s="264"/>
      <c r="O8" s="265"/>
      <c r="P8" s="206" t="s">
        <v>28</v>
      </c>
      <c r="Q8" s="206" t="s">
        <v>20</v>
      </c>
      <c r="R8" s="206"/>
      <c r="S8" s="206" t="s">
        <v>507</v>
      </c>
      <c r="T8" s="206" t="s">
        <v>508</v>
      </c>
    </row>
    <row r="9" spans="1:20" x14ac:dyDescent="0.25">
      <c r="A9" s="261">
        <v>45724</v>
      </c>
      <c r="B9" s="206" t="s">
        <v>21</v>
      </c>
      <c r="C9" s="206" t="s">
        <v>499</v>
      </c>
      <c r="D9" s="262">
        <v>1099683227</v>
      </c>
      <c r="E9" s="263" t="s">
        <v>500</v>
      </c>
      <c r="F9" s="206" t="s">
        <v>501</v>
      </c>
      <c r="G9" s="206">
        <v>595</v>
      </c>
      <c r="H9" s="206" t="s">
        <v>25</v>
      </c>
      <c r="I9" s="264">
        <v>42000</v>
      </c>
      <c r="J9" s="206"/>
      <c r="K9" s="264">
        <v>42000</v>
      </c>
      <c r="L9" s="206" t="s">
        <v>26</v>
      </c>
      <c r="M9" s="206"/>
      <c r="N9" s="264"/>
      <c r="O9" s="265"/>
      <c r="P9" s="206" t="s">
        <v>28</v>
      </c>
      <c r="Q9" s="206" t="s">
        <v>20</v>
      </c>
      <c r="R9" s="206"/>
      <c r="S9" s="206" t="s">
        <v>502</v>
      </c>
      <c r="T9" s="206" t="s">
        <v>30</v>
      </c>
    </row>
    <row r="10" spans="1:20" x14ac:dyDescent="0.25">
      <c r="A10" s="261">
        <v>45724</v>
      </c>
      <c r="B10" s="206" t="s">
        <v>21</v>
      </c>
      <c r="C10" s="206" t="s">
        <v>510</v>
      </c>
      <c r="D10" s="262">
        <v>4427621</v>
      </c>
      <c r="E10" s="263" t="s">
        <v>511</v>
      </c>
      <c r="F10" s="206" t="s">
        <v>5266</v>
      </c>
      <c r="G10" s="206">
        <v>594</v>
      </c>
      <c r="H10" s="206" t="s">
        <v>25</v>
      </c>
      <c r="I10" s="264">
        <v>42000</v>
      </c>
      <c r="J10" s="206"/>
      <c r="K10" s="264">
        <v>42000</v>
      </c>
      <c r="L10" s="206" t="s">
        <v>26</v>
      </c>
      <c r="M10" s="206"/>
      <c r="N10" s="264"/>
      <c r="O10" s="265"/>
      <c r="P10" s="206" t="s">
        <v>28</v>
      </c>
      <c r="Q10" s="206" t="s">
        <v>20</v>
      </c>
      <c r="R10" s="206"/>
      <c r="S10" s="206" t="s">
        <v>513</v>
      </c>
      <c r="T10" s="206" t="s">
        <v>30</v>
      </c>
    </row>
    <row r="11" spans="1:20" x14ac:dyDescent="0.25">
      <c r="A11" s="261">
        <v>45727</v>
      </c>
      <c r="B11" s="206" t="s">
        <v>21</v>
      </c>
      <c r="C11" s="206" t="s">
        <v>481</v>
      </c>
      <c r="D11" s="262"/>
      <c r="E11" s="263" t="s">
        <v>5267</v>
      </c>
      <c r="F11" s="206" t="s">
        <v>1120</v>
      </c>
      <c r="G11" s="206">
        <v>429</v>
      </c>
      <c r="H11" s="206" t="s">
        <v>35</v>
      </c>
      <c r="I11" s="264">
        <v>57000</v>
      </c>
      <c r="J11" s="206"/>
      <c r="K11" s="264">
        <v>57000</v>
      </c>
      <c r="L11" s="206" t="s">
        <v>26</v>
      </c>
      <c r="M11" s="206"/>
      <c r="N11" s="264"/>
      <c r="O11" s="265"/>
      <c r="P11" s="206" t="s">
        <v>28</v>
      </c>
      <c r="Q11" s="206" t="s">
        <v>20</v>
      </c>
      <c r="R11" s="206"/>
      <c r="S11" s="206" t="s">
        <v>4621</v>
      </c>
      <c r="T11" s="206" t="s">
        <v>126</v>
      </c>
    </row>
    <row r="12" spans="1:20" x14ac:dyDescent="0.25">
      <c r="A12" s="261">
        <v>45727</v>
      </c>
      <c r="B12" s="206" t="s">
        <v>21</v>
      </c>
      <c r="C12" s="206" t="s">
        <v>5268</v>
      </c>
      <c r="D12" s="262">
        <v>1099683571</v>
      </c>
      <c r="E12" s="263" t="s">
        <v>5269</v>
      </c>
      <c r="F12" s="206" t="s">
        <v>1138</v>
      </c>
      <c r="G12" s="206"/>
      <c r="H12" s="206" t="s">
        <v>5270</v>
      </c>
      <c r="I12" s="264">
        <v>42000</v>
      </c>
      <c r="J12" s="206"/>
      <c r="K12" s="264">
        <v>42000</v>
      </c>
      <c r="L12" s="206" t="s">
        <v>26</v>
      </c>
      <c r="M12" s="206"/>
      <c r="N12" s="264"/>
      <c r="O12" s="265"/>
      <c r="P12" s="206" t="s">
        <v>28</v>
      </c>
      <c r="Q12" s="206" t="s">
        <v>20</v>
      </c>
      <c r="R12" s="206"/>
      <c r="S12" s="206" t="s">
        <v>5271</v>
      </c>
      <c r="T12" s="206" t="s">
        <v>30</v>
      </c>
    </row>
    <row r="13" spans="1:20" x14ac:dyDescent="0.25">
      <c r="A13" s="261">
        <v>45729</v>
      </c>
      <c r="B13" s="206" t="s">
        <v>21</v>
      </c>
      <c r="C13" s="206" t="s">
        <v>521</v>
      </c>
      <c r="D13" s="262">
        <v>9800329</v>
      </c>
      <c r="E13" s="263" t="s">
        <v>522</v>
      </c>
      <c r="F13" s="206" t="s">
        <v>523</v>
      </c>
      <c r="G13" s="206">
        <v>598</v>
      </c>
      <c r="H13" s="206" t="s">
        <v>25</v>
      </c>
      <c r="I13" s="264">
        <v>42000</v>
      </c>
      <c r="J13" s="206"/>
      <c r="K13" s="264">
        <v>42000</v>
      </c>
      <c r="L13" s="206" t="s">
        <v>26</v>
      </c>
      <c r="M13" s="206"/>
      <c r="N13" s="264">
        <v>42000</v>
      </c>
      <c r="O13" s="265">
        <v>45774</v>
      </c>
      <c r="P13" s="206" t="s">
        <v>28</v>
      </c>
      <c r="Q13" s="206" t="s">
        <v>20</v>
      </c>
      <c r="R13" s="206"/>
      <c r="S13" s="206" t="s">
        <v>524</v>
      </c>
      <c r="T13" s="206" t="s">
        <v>107</v>
      </c>
    </row>
    <row r="14" spans="1:20" x14ac:dyDescent="0.25">
      <c r="A14" s="261">
        <v>45729</v>
      </c>
      <c r="B14" s="206" t="s">
        <v>21</v>
      </c>
      <c r="C14" s="206" t="s">
        <v>515</v>
      </c>
      <c r="D14" s="262">
        <v>1010046041</v>
      </c>
      <c r="E14" s="263" t="s">
        <v>516</v>
      </c>
      <c r="F14" s="206" t="s">
        <v>517</v>
      </c>
      <c r="G14" s="206"/>
      <c r="H14" s="206" t="s">
        <v>518</v>
      </c>
      <c r="I14" s="264">
        <v>67000</v>
      </c>
      <c r="J14" s="206"/>
      <c r="K14" s="264">
        <v>67000</v>
      </c>
      <c r="L14" s="206" t="s">
        <v>26</v>
      </c>
      <c r="M14" s="206"/>
      <c r="N14" s="264"/>
      <c r="O14" s="265"/>
      <c r="P14" s="206" t="s">
        <v>28</v>
      </c>
      <c r="Q14" s="206" t="s">
        <v>20</v>
      </c>
      <c r="R14" s="206"/>
      <c r="S14" s="206" t="s">
        <v>519</v>
      </c>
      <c r="T14" s="206" t="s">
        <v>36</v>
      </c>
    </row>
    <row r="15" spans="1:20" x14ac:dyDescent="0.25">
      <c r="A15" s="261">
        <v>45731</v>
      </c>
      <c r="B15" s="206" t="s">
        <v>21</v>
      </c>
      <c r="C15" s="206" t="s">
        <v>526</v>
      </c>
      <c r="D15" s="262">
        <v>1004737525</v>
      </c>
      <c r="E15" s="263" t="s">
        <v>527</v>
      </c>
      <c r="F15" s="206" t="s">
        <v>528</v>
      </c>
      <c r="G15" s="206"/>
      <c r="H15" s="206" t="s">
        <v>25</v>
      </c>
      <c r="I15" s="264">
        <v>42000</v>
      </c>
      <c r="J15" s="206"/>
      <c r="K15" s="264">
        <v>42000</v>
      </c>
      <c r="L15" s="206" t="s">
        <v>26</v>
      </c>
      <c r="M15" s="206"/>
      <c r="N15" s="264"/>
      <c r="O15" s="265"/>
      <c r="P15" s="206" t="s">
        <v>28</v>
      </c>
      <c r="Q15" s="206" t="s">
        <v>20</v>
      </c>
      <c r="R15" s="206"/>
      <c r="S15" s="206" t="s">
        <v>529</v>
      </c>
      <c r="T15" s="206" t="s">
        <v>61</v>
      </c>
    </row>
    <row r="16" spans="1:20" x14ac:dyDescent="0.25">
      <c r="A16" s="261">
        <v>45733</v>
      </c>
      <c r="B16" s="206" t="s">
        <v>21</v>
      </c>
      <c r="C16" s="206" t="s">
        <v>531</v>
      </c>
      <c r="D16" s="262">
        <v>41941488</v>
      </c>
      <c r="E16" s="263" t="s">
        <v>532</v>
      </c>
      <c r="F16" s="206" t="s">
        <v>533</v>
      </c>
      <c r="G16" s="206">
        <v>600</v>
      </c>
      <c r="H16" s="206" t="s">
        <v>25</v>
      </c>
      <c r="I16" s="264">
        <v>42000</v>
      </c>
      <c r="J16" s="206"/>
      <c r="K16" s="264">
        <v>42000</v>
      </c>
      <c r="L16" s="206" t="s">
        <v>26</v>
      </c>
      <c r="M16" s="206"/>
      <c r="N16" s="264"/>
      <c r="O16" s="265"/>
      <c r="P16" s="206" t="s">
        <v>28</v>
      </c>
      <c r="Q16" s="206" t="s">
        <v>20</v>
      </c>
      <c r="R16" s="206"/>
      <c r="S16" s="206" t="s">
        <v>534</v>
      </c>
      <c r="T16" s="206" t="s">
        <v>30</v>
      </c>
    </row>
    <row r="17" spans="1:26" x14ac:dyDescent="0.25">
      <c r="A17" s="261">
        <v>45734</v>
      </c>
      <c r="B17" s="206" t="s">
        <v>21</v>
      </c>
      <c r="C17" s="206" t="s">
        <v>4731</v>
      </c>
      <c r="D17" s="262">
        <v>1110285051</v>
      </c>
      <c r="E17" s="263" t="s">
        <v>4732</v>
      </c>
      <c r="F17" s="206" t="s">
        <v>1033</v>
      </c>
      <c r="G17" s="206">
        <v>701</v>
      </c>
      <c r="H17" s="206" t="s">
        <v>188</v>
      </c>
      <c r="I17" s="264">
        <v>102000</v>
      </c>
      <c r="J17" s="206"/>
      <c r="K17" s="264">
        <v>102000</v>
      </c>
      <c r="L17" s="206" t="s">
        <v>26</v>
      </c>
      <c r="M17" s="206"/>
      <c r="N17" s="264"/>
      <c r="O17" s="265"/>
      <c r="P17" s="206" t="s">
        <v>28</v>
      </c>
      <c r="Q17" s="206" t="s">
        <v>20</v>
      </c>
      <c r="R17" s="206"/>
      <c r="S17" s="206" t="s">
        <v>5272</v>
      </c>
      <c r="T17" s="206" t="s">
        <v>107</v>
      </c>
    </row>
    <row r="18" spans="1:26" x14ac:dyDescent="0.25">
      <c r="A18" s="261">
        <v>45734</v>
      </c>
      <c r="B18" s="206" t="s">
        <v>21</v>
      </c>
      <c r="C18" s="206" t="s">
        <v>536</v>
      </c>
      <c r="D18" s="262">
        <v>1094957150</v>
      </c>
      <c r="E18" s="263" t="s">
        <v>537</v>
      </c>
      <c r="F18" s="206" t="s">
        <v>538</v>
      </c>
      <c r="G18" s="206">
        <v>197</v>
      </c>
      <c r="H18" s="206" t="s">
        <v>25</v>
      </c>
      <c r="I18" s="264">
        <v>42000</v>
      </c>
      <c r="J18" s="206"/>
      <c r="K18" s="264">
        <v>42000</v>
      </c>
      <c r="L18" s="206" t="s">
        <v>26</v>
      </c>
      <c r="M18" s="206" t="s">
        <v>5264</v>
      </c>
      <c r="N18" s="264">
        <v>42000</v>
      </c>
      <c r="O18" s="265">
        <v>45782</v>
      </c>
      <c r="P18" s="206" t="s">
        <v>28</v>
      </c>
      <c r="Q18" s="206" t="s">
        <v>20</v>
      </c>
      <c r="R18" s="206"/>
      <c r="S18" s="206" t="s">
        <v>539</v>
      </c>
      <c r="T18" s="206"/>
    </row>
    <row r="19" spans="1:26" x14ac:dyDescent="0.25">
      <c r="A19" s="261">
        <v>45735</v>
      </c>
      <c r="B19" s="206" t="s">
        <v>21</v>
      </c>
      <c r="C19" s="206" t="s">
        <v>541</v>
      </c>
      <c r="D19" s="262">
        <v>1001509881</v>
      </c>
      <c r="E19" s="263" t="s">
        <v>542</v>
      </c>
      <c r="F19" s="206" t="s">
        <v>543</v>
      </c>
      <c r="G19" s="206">
        <v>702</v>
      </c>
      <c r="H19" s="206" t="s">
        <v>25</v>
      </c>
      <c r="I19" s="264">
        <v>42000</v>
      </c>
      <c r="J19" s="206"/>
      <c r="K19" s="264">
        <v>42000</v>
      </c>
      <c r="L19" s="206" t="s">
        <v>26</v>
      </c>
      <c r="M19" s="206"/>
      <c r="N19" s="264"/>
      <c r="O19" s="265"/>
      <c r="P19" s="206" t="s">
        <v>28</v>
      </c>
      <c r="Q19" s="206" t="s">
        <v>20</v>
      </c>
      <c r="R19" s="206"/>
      <c r="S19" s="206" t="s">
        <v>544</v>
      </c>
      <c r="T19" s="206" t="s">
        <v>545</v>
      </c>
    </row>
    <row r="20" spans="1:26" x14ac:dyDescent="0.25">
      <c r="A20" s="261">
        <v>45735</v>
      </c>
      <c r="B20" s="206" t="s">
        <v>21</v>
      </c>
      <c r="C20" s="206" t="s">
        <v>5273</v>
      </c>
      <c r="D20" s="262">
        <v>29136055</v>
      </c>
      <c r="E20" s="263" t="s">
        <v>5274</v>
      </c>
      <c r="F20" s="206" t="s">
        <v>834</v>
      </c>
      <c r="G20" s="206"/>
      <c r="H20" s="206" t="s">
        <v>25</v>
      </c>
      <c r="I20" s="264">
        <v>42000</v>
      </c>
      <c r="J20" s="206"/>
      <c r="K20" s="264">
        <v>42000</v>
      </c>
      <c r="L20" s="206" t="s">
        <v>26</v>
      </c>
      <c r="M20" s="206"/>
      <c r="N20" s="264"/>
      <c r="O20" s="265"/>
      <c r="P20" s="206" t="s">
        <v>28</v>
      </c>
      <c r="Q20" s="206" t="s">
        <v>20</v>
      </c>
      <c r="R20" s="206"/>
      <c r="S20" s="206" t="s">
        <v>67</v>
      </c>
      <c r="T20" s="206" t="s">
        <v>5275</v>
      </c>
    </row>
    <row r="21" spans="1:26" ht="15.75" customHeight="1" x14ac:dyDescent="0.25">
      <c r="A21" s="261">
        <v>45736</v>
      </c>
      <c r="B21" s="206" t="s">
        <v>21</v>
      </c>
      <c r="C21" s="206" t="s">
        <v>550</v>
      </c>
      <c r="D21" s="262">
        <v>15528038</v>
      </c>
      <c r="E21" s="263">
        <v>3216480205</v>
      </c>
      <c r="F21" s="206" t="s">
        <v>551</v>
      </c>
      <c r="G21" s="206">
        <v>425</v>
      </c>
      <c r="H21" s="206" t="s">
        <v>25</v>
      </c>
      <c r="I21" s="264">
        <v>42000</v>
      </c>
      <c r="J21" s="206"/>
      <c r="K21" s="264">
        <v>42000</v>
      </c>
      <c r="L21" s="206" t="s">
        <v>26</v>
      </c>
      <c r="M21" s="206"/>
      <c r="N21" s="264"/>
      <c r="O21" s="265"/>
      <c r="P21" s="206" t="s">
        <v>28</v>
      </c>
      <c r="Q21" s="206" t="s">
        <v>20</v>
      </c>
      <c r="R21" s="206"/>
      <c r="S21" s="206" t="s">
        <v>552</v>
      </c>
      <c r="T21" s="206" t="s">
        <v>286</v>
      </c>
    </row>
    <row r="22" spans="1:26" ht="15.75" customHeight="1" x14ac:dyDescent="0.25">
      <c r="A22" s="261">
        <v>45736</v>
      </c>
      <c r="B22" s="206" t="s">
        <v>21</v>
      </c>
      <c r="C22" s="206" t="s">
        <v>546</v>
      </c>
      <c r="D22" s="262">
        <v>1007727367</v>
      </c>
      <c r="E22" s="263">
        <v>3232866210</v>
      </c>
      <c r="F22" s="206" t="s">
        <v>547</v>
      </c>
      <c r="G22" s="206">
        <v>385</v>
      </c>
      <c r="H22" s="206" t="s">
        <v>25</v>
      </c>
      <c r="I22" s="264">
        <v>42000</v>
      </c>
      <c r="J22" s="206"/>
      <c r="K22" s="264">
        <v>42000</v>
      </c>
      <c r="L22" s="206" t="s">
        <v>26</v>
      </c>
      <c r="M22" s="206" t="s">
        <v>5264</v>
      </c>
      <c r="N22" s="264">
        <v>42000</v>
      </c>
      <c r="O22" s="265">
        <v>45770</v>
      </c>
      <c r="P22" s="206" t="s">
        <v>28</v>
      </c>
      <c r="Q22" s="206" t="s">
        <v>20</v>
      </c>
      <c r="R22" s="206"/>
      <c r="S22" s="206" t="s">
        <v>548</v>
      </c>
      <c r="T22" s="206" t="s">
        <v>30</v>
      </c>
    </row>
    <row r="23" spans="1:26" ht="15.75" customHeight="1" x14ac:dyDescent="0.25">
      <c r="A23" s="261">
        <v>45741</v>
      </c>
      <c r="B23" s="206" t="s">
        <v>21</v>
      </c>
      <c r="C23" s="206" t="s">
        <v>4667</v>
      </c>
      <c r="D23" s="262">
        <v>24578949</v>
      </c>
      <c r="E23" s="263" t="s">
        <v>4668</v>
      </c>
      <c r="F23" s="206" t="s">
        <v>4669</v>
      </c>
      <c r="G23" s="206">
        <v>705</v>
      </c>
      <c r="H23" s="206" t="s">
        <v>25</v>
      </c>
      <c r="I23" s="264">
        <v>42000</v>
      </c>
      <c r="J23" s="206"/>
      <c r="K23" s="264">
        <v>42000</v>
      </c>
      <c r="L23" s="206" t="s">
        <v>26</v>
      </c>
      <c r="M23" s="206"/>
      <c r="N23" s="264"/>
      <c r="O23" s="265"/>
      <c r="P23" s="206" t="s">
        <v>28</v>
      </c>
      <c r="Q23" s="206" t="s">
        <v>20</v>
      </c>
      <c r="R23" s="206"/>
      <c r="S23" s="206" t="s">
        <v>4670</v>
      </c>
      <c r="T23" s="266" t="s">
        <v>5276</v>
      </c>
    </row>
    <row r="24" spans="1:26" ht="15.75" customHeight="1" x14ac:dyDescent="0.25">
      <c r="A24" s="261">
        <v>45741</v>
      </c>
      <c r="B24" s="206" t="s">
        <v>21</v>
      </c>
      <c r="C24" s="206" t="s">
        <v>4622</v>
      </c>
      <c r="D24" s="262">
        <v>1004777510</v>
      </c>
      <c r="E24" s="263" t="s">
        <v>5277</v>
      </c>
      <c r="F24" s="206" t="s">
        <v>812</v>
      </c>
      <c r="G24" s="206">
        <v>706</v>
      </c>
      <c r="H24" s="206" t="s">
        <v>25</v>
      </c>
      <c r="I24" s="264">
        <v>42000</v>
      </c>
      <c r="J24" s="206"/>
      <c r="K24" s="264">
        <v>42000</v>
      </c>
      <c r="L24" s="206" t="s">
        <v>26</v>
      </c>
      <c r="M24" s="206"/>
      <c r="N24" s="264"/>
      <c r="O24" s="265"/>
      <c r="P24" s="206" t="s">
        <v>28</v>
      </c>
      <c r="Q24" s="206" t="s">
        <v>20</v>
      </c>
      <c r="R24" s="206"/>
      <c r="S24" s="206" t="s">
        <v>107</v>
      </c>
      <c r="T24" s="206" t="s">
        <v>4623</v>
      </c>
    </row>
    <row r="25" spans="1:26" ht="15.75" customHeight="1" x14ac:dyDescent="0.25">
      <c r="A25" s="261">
        <v>45742</v>
      </c>
      <c r="B25" s="206" t="s">
        <v>21</v>
      </c>
      <c r="C25" s="206" t="s">
        <v>553</v>
      </c>
      <c r="D25" s="262">
        <v>1007063808</v>
      </c>
      <c r="E25" s="263" t="s">
        <v>554</v>
      </c>
      <c r="F25" s="206" t="s">
        <v>555</v>
      </c>
      <c r="G25" s="206">
        <v>707</v>
      </c>
      <c r="H25" s="206" t="s">
        <v>25</v>
      </c>
      <c r="I25" s="264">
        <v>42000</v>
      </c>
      <c r="J25" s="206"/>
      <c r="K25" s="264">
        <v>42000</v>
      </c>
      <c r="L25" s="206" t="s">
        <v>26</v>
      </c>
      <c r="M25" s="206" t="s">
        <v>5264</v>
      </c>
      <c r="N25" s="264">
        <v>42000</v>
      </c>
      <c r="O25" s="265">
        <v>45782</v>
      </c>
      <c r="P25" s="206" t="s">
        <v>28</v>
      </c>
      <c r="Q25" s="206" t="s">
        <v>20</v>
      </c>
      <c r="R25" s="206"/>
      <c r="S25" s="206" t="s">
        <v>30</v>
      </c>
      <c r="T25" s="206" t="s">
        <v>556</v>
      </c>
    </row>
    <row r="26" spans="1:26" ht="15.75" customHeight="1" x14ac:dyDescent="0.25">
      <c r="A26" s="261">
        <v>45742</v>
      </c>
      <c r="B26" s="206" t="s">
        <v>564</v>
      </c>
      <c r="C26" s="206" t="s">
        <v>565</v>
      </c>
      <c r="D26" s="262"/>
      <c r="E26" s="263"/>
      <c r="F26" s="206" t="s">
        <v>566</v>
      </c>
      <c r="G26" s="206">
        <v>867</v>
      </c>
      <c r="H26" s="206" t="s">
        <v>465</v>
      </c>
      <c r="I26" s="264" t="s">
        <v>465</v>
      </c>
      <c r="J26" s="206"/>
      <c r="K26" s="264" t="s">
        <v>465</v>
      </c>
      <c r="L26" s="206" t="s">
        <v>26</v>
      </c>
      <c r="M26" s="206"/>
      <c r="N26" s="264"/>
      <c r="O26" s="265"/>
      <c r="P26" s="206" t="s">
        <v>28</v>
      </c>
      <c r="Q26" s="206" t="s">
        <v>20</v>
      </c>
      <c r="R26" s="206"/>
      <c r="S26" s="206" t="s">
        <v>568</v>
      </c>
      <c r="T26" s="206" t="s">
        <v>569</v>
      </c>
    </row>
    <row r="27" spans="1:26" ht="15.75" customHeight="1" x14ac:dyDescent="0.25">
      <c r="A27" s="261">
        <v>45742</v>
      </c>
      <c r="B27" s="206" t="s">
        <v>21</v>
      </c>
      <c r="C27" s="206" t="s">
        <v>558</v>
      </c>
      <c r="D27" s="262">
        <v>1099683205</v>
      </c>
      <c r="E27" s="263" t="s">
        <v>559</v>
      </c>
      <c r="F27" s="206" t="s">
        <v>560</v>
      </c>
      <c r="G27" s="206">
        <v>709</v>
      </c>
      <c r="H27" s="206" t="s">
        <v>25</v>
      </c>
      <c r="I27" s="264">
        <v>42000</v>
      </c>
      <c r="J27" s="206"/>
      <c r="K27" s="264">
        <v>42000</v>
      </c>
      <c r="L27" s="206" t="s">
        <v>26</v>
      </c>
      <c r="M27" s="206"/>
      <c r="N27" s="264"/>
      <c r="O27" s="265"/>
      <c r="P27" s="206" t="s">
        <v>28</v>
      </c>
      <c r="Q27" s="206" t="s">
        <v>20</v>
      </c>
      <c r="R27" s="206"/>
      <c r="S27" s="206" t="s">
        <v>561</v>
      </c>
      <c r="T27" s="206" t="s">
        <v>562</v>
      </c>
    </row>
    <row r="28" spans="1:26" ht="15.75" customHeight="1" x14ac:dyDescent="0.25">
      <c r="A28" s="261">
        <v>45745</v>
      </c>
      <c r="B28" s="206" t="s">
        <v>21</v>
      </c>
      <c r="C28" s="206" t="s">
        <v>575</v>
      </c>
      <c r="D28" s="262">
        <v>1010060425</v>
      </c>
      <c r="E28" s="263" t="s">
        <v>576</v>
      </c>
      <c r="F28" s="206" t="s">
        <v>577</v>
      </c>
      <c r="G28" s="206">
        <v>711</v>
      </c>
      <c r="H28" s="206" t="s">
        <v>25</v>
      </c>
      <c r="I28" s="264">
        <v>42000</v>
      </c>
      <c r="J28" s="206"/>
      <c r="K28" s="264">
        <v>42000</v>
      </c>
      <c r="L28" s="206" t="s">
        <v>26</v>
      </c>
      <c r="M28" s="206"/>
      <c r="N28" s="264"/>
      <c r="O28" s="265"/>
      <c r="P28" s="206" t="s">
        <v>28</v>
      </c>
      <c r="Q28" s="206" t="s">
        <v>20</v>
      </c>
      <c r="R28" s="206"/>
      <c r="S28" s="206" t="s">
        <v>30</v>
      </c>
      <c r="T28" s="206" t="s">
        <v>534</v>
      </c>
    </row>
    <row r="29" spans="1:26" ht="15.75" customHeight="1" x14ac:dyDescent="0.25">
      <c r="A29" s="261">
        <v>45745</v>
      </c>
      <c r="B29" s="206" t="s">
        <v>21</v>
      </c>
      <c r="C29" s="206" t="s">
        <v>570</v>
      </c>
      <c r="D29" s="262">
        <v>1094957013</v>
      </c>
      <c r="E29" s="263">
        <v>3178701718</v>
      </c>
      <c r="F29" s="206" t="s">
        <v>571</v>
      </c>
      <c r="G29" s="206">
        <v>299</v>
      </c>
      <c r="H29" s="206" t="s">
        <v>2571</v>
      </c>
      <c r="I29" s="264">
        <v>42000</v>
      </c>
      <c r="J29" s="206"/>
      <c r="K29" s="264">
        <v>42000</v>
      </c>
      <c r="L29" s="206" t="s">
        <v>26</v>
      </c>
      <c r="M29" s="206" t="s">
        <v>5264</v>
      </c>
      <c r="N29" s="264">
        <v>42000</v>
      </c>
      <c r="O29" s="265">
        <v>45782</v>
      </c>
      <c r="P29" s="206" t="s">
        <v>28</v>
      </c>
      <c r="Q29" s="206" t="s">
        <v>20</v>
      </c>
      <c r="R29" s="206"/>
      <c r="S29" s="206" t="s">
        <v>572</v>
      </c>
      <c r="T29" s="206" t="s">
        <v>573</v>
      </c>
    </row>
    <row r="30" spans="1:26" ht="15.75" customHeight="1" x14ac:dyDescent="0.25">
      <c r="A30" s="267">
        <v>45721</v>
      </c>
      <c r="B30" s="204" t="s">
        <v>564</v>
      </c>
      <c r="C30" s="204" t="s">
        <v>3285</v>
      </c>
      <c r="D30" s="260">
        <v>43643585</v>
      </c>
      <c r="E30" s="260">
        <v>3193401742</v>
      </c>
      <c r="F30" s="260" t="s">
        <v>3286</v>
      </c>
      <c r="G30" s="260" t="s">
        <v>3141</v>
      </c>
      <c r="H30" s="188" t="s">
        <v>421</v>
      </c>
      <c r="I30" s="268">
        <v>82000</v>
      </c>
      <c r="J30" s="219"/>
      <c r="K30" s="268">
        <v>82000</v>
      </c>
      <c r="L30" s="219" t="s">
        <v>26</v>
      </c>
      <c r="M30" s="188" t="s">
        <v>5278</v>
      </c>
      <c r="N30" s="268"/>
      <c r="O30" s="269"/>
      <c r="P30" s="204" t="s">
        <v>3029</v>
      </c>
      <c r="Q30" s="204"/>
      <c r="R30" s="204"/>
      <c r="S30" s="204" t="s">
        <v>3287</v>
      </c>
      <c r="T30" s="188" t="s">
        <v>3288</v>
      </c>
    </row>
    <row r="31" spans="1:26" ht="15.75" customHeight="1" x14ac:dyDescent="0.25">
      <c r="A31" s="270">
        <v>45728</v>
      </c>
      <c r="B31" s="227" t="s">
        <v>564</v>
      </c>
      <c r="C31" s="220" t="s">
        <v>3290</v>
      </c>
      <c r="D31" s="220">
        <v>14136955</v>
      </c>
      <c r="E31" s="220" t="s">
        <v>3291</v>
      </c>
      <c r="F31" s="220" t="s">
        <v>3292</v>
      </c>
      <c r="G31" s="220"/>
      <c r="H31" s="220" t="s">
        <v>421</v>
      </c>
      <c r="I31" s="224">
        <v>82000</v>
      </c>
      <c r="J31" s="225"/>
      <c r="K31" s="224">
        <v>82000</v>
      </c>
      <c r="L31" s="225" t="s">
        <v>26</v>
      </c>
      <c r="M31" s="220" t="s">
        <v>5278</v>
      </c>
      <c r="N31" s="224">
        <v>82000</v>
      </c>
      <c r="O31" s="226">
        <v>45784</v>
      </c>
      <c r="P31" s="227" t="s">
        <v>3029</v>
      </c>
      <c r="Q31" s="227"/>
      <c r="R31" s="227"/>
      <c r="S31" s="220" t="s">
        <v>3197</v>
      </c>
      <c r="T31" s="220" t="s">
        <v>3293</v>
      </c>
      <c r="U31" s="229"/>
      <c r="V31" s="229"/>
      <c r="W31" s="229"/>
      <c r="X31" s="229"/>
      <c r="Y31" s="229"/>
      <c r="Z31" s="229"/>
    </row>
    <row r="32" spans="1:26" ht="15.75" customHeight="1" x14ac:dyDescent="0.25">
      <c r="A32" s="267">
        <v>45737</v>
      </c>
      <c r="B32" s="204" t="s">
        <v>564</v>
      </c>
      <c r="C32" s="188" t="s">
        <v>3556</v>
      </c>
      <c r="D32" s="188">
        <v>38141996</v>
      </c>
      <c r="E32" s="188" t="s">
        <v>5279</v>
      </c>
      <c r="F32" s="188" t="s">
        <v>5280</v>
      </c>
      <c r="G32" s="188"/>
      <c r="H32" s="188" t="s">
        <v>421</v>
      </c>
      <c r="I32" s="268">
        <v>82000</v>
      </c>
      <c r="J32" s="219"/>
      <c r="K32" s="268">
        <v>82000</v>
      </c>
      <c r="L32" s="219" t="s">
        <v>26</v>
      </c>
      <c r="M32" s="188" t="s">
        <v>5278</v>
      </c>
      <c r="N32" s="268"/>
      <c r="O32" s="269"/>
      <c r="P32" s="204" t="s">
        <v>3029</v>
      </c>
      <c r="Q32" s="204"/>
      <c r="R32" s="204"/>
      <c r="S32" s="188" t="s">
        <v>5281</v>
      </c>
      <c r="T32" s="188" t="s">
        <v>5282</v>
      </c>
    </row>
    <row r="33" spans="1:20" ht="15.75" customHeight="1" x14ac:dyDescent="0.25">
      <c r="A33" s="267">
        <v>45720</v>
      </c>
      <c r="B33" s="204" t="s">
        <v>564</v>
      </c>
      <c r="C33" s="188" t="s">
        <v>2976</v>
      </c>
      <c r="D33" s="188">
        <v>16202404</v>
      </c>
      <c r="E33" s="188" t="s">
        <v>2977</v>
      </c>
      <c r="F33" s="188" t="s">
        <v>2978</v>
      </c>
      <c r="G33" s="188" t="s">
        <v>2730</v>
      </c>
      <c r="H33" s="188" t="s">
        <v>105</v>
      </c>
      <c r="I33" s="268">
        <v>42000</v>
      </c>
      <c r="J33" s="219"/>
      <c r="K33" s="268">
        <v>42000</v>
      </c>
      <c r="L33" s="219" t="s">
        <v>26</v>
      </c>
      <c r="M33" s="188"/>
      <c r="N33" s="268"/>
      <c r="O33" s="269"/>
      <c r="P33" s="204" t="s">
        <v>2730</v>
      </c>
      <c r="Q33" s="204" t="s">
        <v>20</v>
      </c>
      <c r="R33" s="204"/>
      <c r="S33" s="188" t="s">
        <v>2979</v>
      </c>
      <c r="T33" s="188" t="s">
        <v>2970</v>
      </c>
    </row>
    <row r="34" spans="1:20" ht="15.75" customHeight="1" x14ac:dyDescent="0.25">
      <c r="A34" s="267">
        <v>45723</v>
      </c>
      <c r="B34" s="204" t="s">
        <v>564</v>
      </c>
      <c r="C34" s="188" t="s">
        <v>2981</v>
      </c>
      <c r="D34" s="188">
        <v>1053778809</v>
      </c>
      <c r="E34" s="188" t="s">
        <v>2982</v>
      </c>
      <c r="F34" s="188"/>
      <c r="G34" s="188" t="s">
        <v>2730</v>
      </c>
      <c r="H34" s="188" t="s">
        <v>25</v>
      </c>
      <c r="I34" s="268">
        <v>42000</v>
      </c>
      <c r="J34" s="219"/>
      <c r="K34" s="268">
        <v>42000</v>
      </c>
      <c r="L34" s="219" t="s">
        <v>26</v>
      </c>
      <c r="M34" s="188"/>
      <c r="N34" s="268"/>
      <c r="O34" s="269"/>
      <c r="P34" s="204" t="s">
        <v>2730</v>
      </c>
      <c r="Q34" s="204" t="s">
        <v>20</v>
      </c>
      <c r="R34" s="204"/>
      <c r="S34" s="188" t="s">
        <v>2822</v>
      </c>
      <c r="T34" s="188" t="s">
        <v>2983</v>
      </c>
    </row>
    <row r="35" spans="1:20" ht="15.75" customHeight="1" x14ac:dyDescent="0.25">
      <c r="A35" s="267">
        <v>45723</v>
      </c>
      <c r="B35" s="204" t="s">
        <v>564</v>
      </c>
      <c r="C35" s="188" t="s">
        <v>2985</v>
      </c>
      <c r="D35" s="188">
        <v>1010091807</v>
      </c>
      <c r="E35" s="188">
        <v>3106274614</v>
      </c>
      <c r="F35" s="188" t="s">
        <v>2986</v>
      </c>
      <c r="G35" s="188" t="s">
        <v>2730</v>
      </c>
      <c r="H35" s="188" t="s">
        <v>105</v>
      </c>
      <c r="I35" s="268">
        <v>42000</v>
      </c>
      <c r="J35" s="219"/>
      <c r="K35" s="268">
        <v>42000</v>
      </c>
      <c r="L35" s="219" t="s">
        <v>26</v>
      </c>
      <c r="M35" s="188"/>
      <c r="N35" s="268"/>
      <c r="O35" s="269"/>
      <c r="P35" s="204" t="s">
        <v>2730</v>
      </c>
      <c r="Q35" s="204" t="s">
        <v>20</v>
      </c>
      <c r="R35" s="204"/>
      <c r="S35" s="188" t="s">
        <v>2822</v>
      </c>
      <c r="T35" s="188" t="s">
        <v>2987</v>
      </c>
    </row>
    <row r="36" spans="1:20" ht="15.75" customHeight="1" x14ac:dyDescent="0.25">
      <c r="A36" s="267">
        <v>45729</v>
      </c>
      <c r="B36" s="204" t="s">
        <v>564</v>
      </c>
      <c r="C36" s="188" t="s">
        <v>2989</v>
      </c>
      <c r="D36" s="188">
        <v>79280763</v>
      </c>
      <c r="E36" s="188" t="s">
        <v>2990</v>
      </c>
      <c r="F36" s="188" t="s">
        <v>2991</v>
      </c>
      <c r="G36" s="188" t="s">
        <v>2730</v>
      </c>
      <c r="H36" s="188" t="s">
        <v>105</v>
      </c>
      <c r="I36" s="268">
        <v>42000</v>
      </c>
      <c r="J36" s="219"/>
      <c r="K36" s="268">
        <v>42000</v>
      </c>
      <c r="L36" s="219" t="s">
        <v>26</v>
      </c>
      <c r="M36" s="188" t="s">
        <v>5264</v>
      </c>
      <c r="N36" s="268">
        <v>42000</v>
      </c>
      <c r="O36" s="269">
        <v>45779</v>
      </c>
      <c r="P36" s="204" t="s">
        <v>2730</v>
      </c>
      <c r="Q36" s="204" t="s">
        <v>20</v>
      </c>
      <c r="R36" s="204"/>
      <c r="S36" s="188" t="s">
        <v>2737</v>
      </c>
      <c r="T36" s="188" t="s">
        <v>2992</v>
      </c>
    </row>
    <row r="37" spans="1:20" ht="15.75" customHeight="1" x14ac:dyDescent="0.25">
      <c r="A37" s="267">
        <v>45735</v>
      </c>
      <c r="B37" s="204" t="s">
        <v>564</v>
      </c>
      <c r="C37" s="188" t="s">
        <v>2868</v>
      </c>
      <c r="D37" s="188">
        <v>1099709160</v>
      </c>
      <c r="E37" s="188" t="s">
        <v>2869</v>
      </c>
      <c r="F37" s="188" t="s">
        <v>2870</v>
      </c>
      <c r="G37" s="188" t="s">
        <v>2730</v>
      </c>
      <c r="H37" s="188" t="s">
        <v>105</v>
      </c>
      <c r="I37" s="268">
        <v>42000</v>
      </c>
      <c r="J37" s="219"/>
      <c r="K37" s="268">
        <v>42000</v>
      </c>
      <c r="L37" s="219" t="s">
        <v>26</v>
      </c>
      <c r="M37" s="188"/>
      <c r="N37" s="268"/>
      <c r="O37" s="269"/>
      <c r="P37" s="204" t="s">
        <v>2730</v>
      </c>
      <c r="Q37" s="204" t="s">
        <v>20</v>
      </c>
      <c r="R37" s="204"/>
      <c r="S37" s="188" t="s">
        <v>5283</v>
      </c>
      <c r="T37" s="188" t="s">
        <v>5284</v>
      </c>
    </row>
    <row r="38" spans="1:20" ht="15.75" customHeight="1" x14ac:dyDescent="0.25">
      <c r="A38" s="267">
        <v>45735</v>
      </c>
      <c r="B38" s="204" t="s">
        <v>564</v>
      </c>
      <c r="C38" s="188" t="s">
        <v>5285</v>
      </c>
      <c r="D38" s="188">
        <v>33818040</v>
      </c>
      <c r="E38" s="188" t="s">
        <v>5286</v>
      </c>
      <c r="F38" s="188" t="s">
        <v>4634</v>
      </c>
      <c r="G38" s="188" t="s">
        <v>2730</v>
      </c>
      <c r="H38" s="188" t="s">
        <v>105</v>
      </c>
      <c r="I38" s="268">
        <v>42000</v>
      </c>
      <c r="J38" s="219"/>
      <c r="K38" s="268">
        <v>42000</v>
      </c>
      <c r="L38" s="219" t="s">
        <v>26</v>
      </c>
      <c r="M38" s="188"/>
      <c r="N38" s="268"/>
      <c r="O38" s="269"/>
      <c r="P38" s="204" t="s">
        <v>2730</v>
      </c>
      <c r="Q38" s="204" t="s">
        <v>20</v>
      </c>
      <c r="R38" s="204"/>
      <c r="S38" s="188" t="s">
        <v>5287</v>
      </c>
      <c r="T38" s="188" t="s">
        <v>2975</v>
      </c>
    </row>
    <row r="39" spans="1:20" ht="15.75" customHeight="1" x14ac:dyDescent="0.25">
      <c r="A39" s="267">
        <v>45744</v>
      </c>
      <c r="B39" s="204" t="s">
        <v>564</v>
      </c>
      <c r="C39" s="188" t="s">
        <v>3556</v>
      </c>
      <c r="D39" s="188">
        <v>38141996</v>
      </c>
      <c r="E39" s="188" t="s">
        <v>3557</v>
      </c>
      <c r="F39" s="188" t="s">
        <v>3558</v>
      </c>
      <c r="G39" s="188" t="s">
        <v>3141</v>
      </c>
      <c r="H39" s="188" t="s">
        <v>421</v>
      </c>
      <c r="I39" s="268">
        <v>82000</v>
      </c>
      <c r="J39" s="219"/>
      <c r="K39" s="268">
        <v>82000</v>
      </c>
      <c r="L39" s="219" t="s">
        <v>234</v>
      </c>
      <c r="M39" s="188"/>
      <c r="N39" s="268"/>
      <c r="O39" s="269"/>
      <c r="P39" s="204" t="s">
        <v>3353</v>
      </c>
      <c r="Q39" s="204" t="s">
        <v>20</v>
      </c>
      <c r="R39" s="204"/>
      <c r="S39" s="188" t="s">
        <v>3559</v>
      </c>
      <c r="T39" s="188" t="s">
        <v>3560</v>
      </c>
    </row>
    <row r="40" spans="1:20" ht="15.75" customHeight="1" x14ac:dyDescent="0.25">
      <c r="A40" s="267">
        <v>45722</v>
      </c>
      <c r="B40" s="204" t="s">
        <v>564</v>
      </c>
      <c r="C40" s="188" t="s">
        <v>3562</v>
      </c>
      <c r="D40" s="188">
        <v>1114822681</v>
      </c>
      <c r="E40" s="188" t="s">
        <v>3563</v>
      </c>
      <c r="F40" s="188" t="s">
        <v>3564</v>
      </c>
      <c r="G40" s="188" t="s">
        <v>2730</v>
      </c>
      <c r="H40" s="188" t="s">
        <v>421</v>
      </c>
      <c r="I40" s="268">
        <v>82000</v>
      </c>
      <c r="J40" s="219"/>
      <c r="K40" s="268">
        <v>82000</v>
      </c>
      <c r="L40" s="219" t="s">
        <v>234</v>
      </c>
      <c r="M40" s="188"/>
      <c r="N40" s="268"/>
      <c r="O40" s="269"/>
      <c r="P40" s="204" t="s">
        <v>3353</v>
      </c>
      <c r="Q40" s="204" t="s">
        <v>20</v>
      </c>
      <c r="R40" s="204"/>
      <c r="S40" s="188" t="s">
        <v>3565</v>
      </c>
      <c r="T40" s="188" t="s">
        <v>3548</v>
      </c>
    </row>
    <row r="41" spans="1:20" ht="15.75" customHeight="1" x14ac:dyDescent="0.25">
      <c r="A41" s="267">
        <v>45720</v>
      </c>
      <c r="B41" s="204" t="s">
        <v>564</v>
      </c>
      <c r="C41" s="188" t="s">
        <v>4752</v>
      </c>
      <c r="D41" s="188">
        <v>66963371</v>
      </c>
      <c r="E41" s="188" t="s">
        <v>4753</v>
      </c>
      <c r="F41" s="188" t="s">
        <v>4754</v>
      </c>
      <c r="G41" s="188" t="s">
        <v>5288</v>
      </c>
      <c r="H41" s="188" t="s">
        <v>25</v>
      </c>
      <c r="I41" s="268">
        <v>42000</v>
      </c>
      <c r="J41" s="268"/>
      <c r="K41" s="268">
        <v>42000</v>
      </c>
      <c r="L41" s="219" t="s">
        <v>26</v>
      </c>
      <c r="M41" s="271"/>
      <c r="N41" s="268"/>
      <c r="O41" s="269"/>
      <c r="P41" s="204" t="s">
        <v>3354</v>
      </c>
      <c r="Q41" s="204" t="s">
        <v>20</v>
      </c>
      <c r="R41" s="204"/>
      <c r="S41" s="188" t="s">
        <v>4755</v>
      </c>
      <c r="T41" s="188"/>
    </row>
    <row r="42" spans="1:20" ht="15.75" customHeight="1" x14ac:dyDescent="0.25">
      <c r="A42" s="267">
        <v>45720</v>
      </c>
      <c r="B42" s="204" t="s">
        <v>564</v>
      </c>
      <c r="C42" s="188" t="s">
        <v>4222</v>
      </c>
      <c r="D42" s="188">
        <v>1115182573</v>
      </c>
      <c r="E42" s="188" t="s">
        <v>4223</v>
      </c>
      <c r="F42" s="188" t="s">
        <v>4224</v>
      </c>
      <c r="G42" s="188" t="s">
        <v>4225</v>
      </c>
      <c r="H42" s="188" t="s">
        <v>25</v>
      </c>
      <c r="I42" s="268">
        <v>42000</v>
      </c>
      <c r="J42" s="268"/>
      <c r="K42" s="268">
        <v>42000</v>
      </c>
      <c r="L42" s="219" t="s">
        <v>26</v>
      </c>
      <c r="M42" s="271"/>
      <c r="N42" s="268"/>
      <c r="O42" s="269"/>
      <c r="P42" s="204" t="s">
        <v>3354</v>
      </c>
      <c r="Q42" s="204" t="s">
        <v>20</v>
      </c>
      <c r="R42" s="204"/>
      <c r="S42" s="188" t="s">
        <v>4226</v>
      </c>
      <c r="T42" s="188" t="s">
        <v>4227</v>
      </c>
    </row>
    <row r="43" spans="1:20" ht="15.75" customHeight="1" x14ac:dyDescent="0.25">
      <c r="A43" s="267">
        <v>45720</v>
      </c>
      <c r="B43" s="204" t="s">
        <v>564</v>
      </c>
      <c r="C43" s="188" t="s">
        <v>4229</v>
      </c>
      <c r="D43" s="188">
        <v>1030533569</v>
      </c>
      <c r="E43" s="188">
        <v>3147122221</v>
      </c>
      <c r="F43" s="188" t="s">
        <v>4230</v>
      </c>
      <c r="G43" s="188" t="s">
        <v>4231</v>
      </c>
      <c r="H43" s="188" t="s">
        <v>25</v>
      </c>
      <c r="I43" s="268">
        <v>42000</v>
      </c>
      <c r="J43" s="268"/>
      <c r="K43" s="268">
        <v>42000</v>
      </c>
      <c r="L43" s="219" t="s">
        <v>26</v>
      </c>
      <c r="M43" s="271"/>
      <c r="N43" s="268"/>
      <c r="O43" s="269"/>
      <c r="P43" s="204" t="s">
        <v>3354</v>
      </c>
      <c r="Q43" s="204" t="s">
        <v>20</v>
      </c>
      <c r="R43" s="204"/>
      <c r="S43" s="188" t="s">
        <v>4232</v>
      </c>
      <c r="T43" s="188"/>
    </row>
    <row r="44" spans="1:20" ht="15.75" customHeight="1" x14ac:dyDescent="0.25">
      <c r="A44" s="267">
        <v>45720</v>
      </c>
      <c r="B44" s="204" t="s">
        <v>564</v>
      </c>
      <c r="C44" s="188" t="s">
        <v>4701</v>
      </c>
      <c r="D44" s="188">
        <v>14684079</v>
      </c>
      <c r="E44" s="188" t="s">
        <v>4702</v>
      </c>
      <c r="F44" s="188" t="s">
        <v>4703</v>
      </c>
      <c r="G44" s="188" t="s">
        <v>5289</v>
      </c>
      <c r="H44" s="188" t="s">
        <v>25</v>
      </c>
      <c r="I44" s="268">
        <v>42000</v>
      </c>
      <c r="J44" s="268"/>
      <c r="K44" s="268">
        <v>42000</v>
      </c>
      <c r="L44" s="219" t="s">
        <v>26</v>
      </c>
      <c r="M44" s="271"/>
      <c r="N44" s="268"/>
      <c r="O44" s="269"/>
      <c r="P44" s="204" t="s">
        <v>3354</v>
      </c>
      <c r="Q44" s="204" t="s">
        <v>20</v>
      </c>
      <c r="R44" s="204"/>
      <c r="S44" s="188" t="s">
        <v>4704</v>
      </c>
      <c r="T44" s="188" t="s">
        <v>4705</v>
      </c>
    </row>
    <row r="45" spans="1:20" ht="15.75" customHeight="1" x14ac:dyDescent="0.25">
      <c r="A45" s="267">
        <v>45720</v>
      </c>
      <c r="B45" s="204" t="s">
        <v>564</v>
      </c>
      <c r="C45" s="188" t="s">
        <v>4235</v>
      </c>
      <c r="D45" s="188">
        <v>1105785374</v>
      </c>
      <c r="E45" s="188" t="s">
        <v>4236</v>
      </c>
      <c r="F45" s="188" t="s">
        <v>4237</v>
      </c>
      <c r="G45" s="188" t="s">
        <v>1782</v>
      </c>
      <c r="H45" s="188" t="s">
        <v>421</v>
      </c>
      <c r="I45" s="268">
        <v>82000</v>
      </c>
      <c r="J45" s="268"/>
      <c r="K45" s="268">
        <v>82000</v>
      </c>
      <c r="L45" s="219" t="s">
        <v>26</v>
      </c>
      <c r="M45" s="271"/>
      <c r="N45" s="268"/>
      <c r="O45" s="269"/>
      <c r="P45" s="204" t="s">
        <v>3354</v>
      </c>
      <c r="Q45" s="204" t="s">
        <v>20</v>
      </c>
      <c r="R45" s="204"/>
      <c r="S45" s="188" t="s">
        <v>423</v>
      </c>
      <c r="T45" s="188" t="s">
        <v>4238</v>
      </c>
    </row>
    <row r="46" spans="1:20" ht="15.75" customHeight="1" x14ac:dyDescent="0.25">
      <c r="A46" s="267">
        <v>45723</v>
      </c>
      <c r="B46" s="204" t="s">
        <v>564</v>
      </c>
      <c r="C46" s="188" t="s">
        <v>4240</v>
      </c>
      <c r="D46" s="188">
        <v>52311692</v>
      </c>
      <c r="E46" s="188" t="s">
        <v>4241</v>
      </c>
      <c r="F46" s="188" t="s">
        <v>4230</v>
      </c>
      <c r="G46" s="188" t="s">
        <v>4242</v>
      </c>
      <c r="H46" s="188" t="s">
        <v>25</v>
      </c>
      <c r="I46" s="268">
        <v>42000</v>
      </c>
      <c r="J46" s="268"/>
      <c r="K46" s="268">
        <v>42000</v>
      </c>
      <c r="L46" s="219" t="s">
        <v>26</v>
      </c>
      <c r="M46" s="271"/>
      <c r="N46" s="268"/>
      <c r="O46" s="269"/>
      <c r="P46" s="204" t="s">
        <v>3354</v>
      </c>
      <c r="Q46" s="204" t="s">
        <v>20</v>
      </c>
      <c r="R46" s="204"/>
      <c r="S46" s="188" t="s">
        <v>4243</v>
      </c>
      <c r="T46" s="188" t="s">
        <v>4244</v>
      </c>
    </row>
    <row r="47" spans="1:20" ht="15.75" customHeight="1" x14ac:dyDescent="0.25">
      <c r="A47" s="267">
        <v>45726</v>
      </c>
      <c r="B47" s="204" t="s">
        <v>564</v>
      </c>
      <c r="C47" s="188" t="s">
        <v>4876</v>
      </c>
      <c r="D47" s="188">
        <v>66964065</v>
      </c>
      <c r="E47" s="188" t="s">
        <v>4877</v>
      </c>
      <c r="F47" s="188" t="s">
        <v>4878</v>
      </c>
      <c r="G47" s="188" t="s">
        <v>4879</v>
      </c>
      <c r="H47" s="188" t="s">
        <v>25</v>
      </c>
      <c r="I47" s="268">
        <v>42000</v>
      </c>
      <c r="J47" s="268"/>
      <c r="K47" s="268">
        <v>42000</v>
      </c>
      <c r="L47" s="219" t="s">
        <v>26</v>
      </c>
      <c r="M47" s="271"/>
      <c r="N47" s="268"/>
      <c r="O47" s="269"/>
      <c r="P47" s="204" t="s">
        <v>3354</v>
      </c>
      <c r="Q47" s="204" t="s">
        <v>20</v>
      </c>
      <c r="R47" s="204"/>
      <c r="S47" s="188" t="s">
        <v>4880</v>
      </c>
      <c r="T47" s="188" t="s">
        <v>4881</v>
      </c>
    </row>
    <row r="48" spans="1:20" ht="15.75" customHeight="1" x14ac:dyDescent="0.25">
      <c r="A48" s="267">
        <v>45726</v>
      </c>
      <c r="B48" s="204" t="s">
        <v>564</v>
      </c>
      <c r="C48" s="188" t="s">
        <v>4162</v>
      </c>
      <c r="D48" s="188">
        <v>1094934792</v>
      </c>
      <c r="E48" s="188" t="s">
        <v>4163</v>
      </c>
      <c r="F48" s="188" t="s">
        <v>4164</v>
      </c>
      <c r="G48" s="188" t="s">
        <v>4165</v>
      </c>
      <c r="H48" s="188" t="s">
        <v>2944</v>
      </c>
      <c r="I48" s="268">
        <v>82000</v>
      </c>
      <c r="J48" s="268"/>
      <c r="K48" s="268">
        <v>82000</v>
      </c>
      <c r="L48" s="219" t="s">
        <v>26</v>
      </c>
      <c r="M48" s="271"/>
      <c r="N48" s="268"/>
      <c r="O48" s="269"/>
      <c r="P48" s="204" t="s">
        <v>3354</v>
      </c>
      <c r="Q48" s="204" t="s">
        <v>20</v>
      </c>
      <c r="R48" s="204"/>
      <c r="S48" s="188" t="s">
        <v>4166</v>
      </c>
      <c r="T48" s="188" t="s">
        <v>4167</v>
      </c>
    </row>
    <row r="49" spans="1:20" ht="15.75" customHeight="1" x14ac:dyDescent="0.25">
      <c r="A49" s="261">
        <v>45729</v>
      </c>
      <c r="B49" s="206" t="s">
        <v>564</v>
      </c>
      <c r="C49" s="188" t="s">
        <v>4255</v>
      </c>
      <c r="D49" s="188">
        <v>29138166</v>
      </c>
      <c r="E49" s="188">
        <v>315195210</v>
      </c>
      <c r="F49" s="188" t="s">
        <v>4256</v>
      </c>
      <c r="G49" s="188" t="s">
        <v>1782</v>
      </c>
      <c r="H49" s="188" t="s">
        <v>2731</v>
      </c>
      <c r="I49" s="268">
        <v>82000</v>
      </c>
      <c r="J49" s="268"/>
      <c r="K49" s="268">
        <v>82000</v>
      </c>
      <c r="L49" s="219" t="s">
        <v>26</v>
      </c>
      <c r="M49" s="271"/>
      <c r="N49" s="268"/>
      <c r="O49" s="269"/>
      <c r="P49" s="204" t="s">
        <v>3354</v>
      </c>
      <c r="Q49" s="204" t="s">
        <v>20</v>
      </c>
      <c r="R49" s="204"/>
      <c r="S49" s="188" t="s">
        <v>4257</v>
      </c>
      <c r="T49" s="188" t="s">
        <v>423</v>
      </c>
    </row>
    <row r="50" spans="1:20" ht="15.75" customHeight="1" x14ac:dyDescent="0.25">
      <c r="A50" s="261">
        <v>45741</v>
      </c>
      <c r="B50" s="206" t="s">
        <v>564</v>
      </c>
      <c r="C50" s="188" t="s">
        <v>5290</v>
      </c>
      <c r="D50" s="188">
        <v>66961327</v>
      </c>
      <c r="E50" s="188" t="s">
        <v>4247</v>
      </c>
      <c r="F50" s="188" t="s">
        <v>4248</v>
      </c>
      <c r="G50" s="188"/>
      <c r="H50" s="188" t="s">
        <v>25</v>
      </c>
      <c r="I50" s="268">
        <v>42000</v>
      </c>
      <c r="J50" s="268"/>
      <c r="K50" s="268">
        <v>42000</v>
      </c>
      <c r="L50" s="219" t="s">
        <v>26</v>
      </c>
      <c r="M50" s="271"/>
      <c r="N50" s="268"/>
      <c r="O50" s="269"/>
      <c r="P50" s="204" t="s">
        <v>3354</v>
      </c>
      <c r="Q50" s="204" t="s">
        <v>20</v>
      </c>
      <c r="R50" s="204"/>
      <c r="S50" s="188" t="s">
        <v>4249</v>
      </c>
      <c r="T50" s="188" t="s">
        <v>4250</v>
      </c>
    </row>
    <row r="51" spans="1:20" ht="15.75" customHeight="1" x14ac:dyDescent="0.25">
      <c r="A51" s="261">
        <v>45742</v>
      </c>
      <c r="B51" s="206" t="s">
        <v>564</v>
      </c>
      <c r="C51" s="188" t="s">
        <v>4262</v>
      </c>
      <c r="D51" s="188">
        <v>1094913969</v>
      </c>
      <c r="E51" s="188">
        <v>3206299916</v>
      </c>
      <c r="F51" s="188" t="s">
        <v>4263</v>
      </c>
      <c r="G51" s="188">
        <v>866</v>
      </c>
      <c r="H51" s="188" t="s">
        <v>25</v>
      </c>
      <c r="I51" s="268">
        <v>42000</v>
      </c>
      <c r="J51" s="268"/>
      <c r="K51" s="268">
        <v>42000</v>
      </c>
      <c r="L51" s="219" t="s">
        <v>26</v>
      </c>
      <c r="M51" s="271"/>
      <c r="N51" s="268"/>
      <c r="O51" s="269"/>
      <c r="P51" s="204" t="s">
        <v>3354</v>
      </c>
      <c r="Q51" s="204" t="s">
        <v>20</v>
      </c>
      <c r="R51" s="204"/>
      <c r="S51" s="188" t="s">
        <v>4264</v>
      </c>
      <c r="T51" s="188" t="s">
        <v>4265</v>
      </c>
    </row>
    <row r="52" spans="1:20" ht="15.75" customHeight="1" x14ac:dyDescent="0.25"/>
    <row r="53" spans="1:20" ht="15.75" customHeight="1" x14ac:dyDescent="0.25"/>
    <row r="54" spans="1:20" ht="15.75" customHeight="1" x14ac:dyDescent="0.25"/>
    <row r="55" spans="1:20" ht="15.75" customHeight="1" x14ac:dyDescent="0.25"/>
    <row r="56" spans="1:20" ht="15.75" customHeight="1" x14ac:dyDescent="0.25"/>
    <row r="57" spans="1:20" ht="15.75" customHeight="1" x14ac:dyDescent="0.25"/>
    <row r="58" spans="1:20" ht="15.75" customHeight="1" x14ac:dyDescent="0.25"/>
    <row r="59" spans="1:20" ht="15.75" customHeight="1" x14ac:dyDescent="0.25"/>
    <row r="60" spans="1:20" ht="15.75" customHeight="1" x14ac:dyDescent="0.25"/>
    <row r="61" spans="1:20" ht="15.75" customHeight="1" x14ac:dyDescent="0.25"/>
    <row r="62" spans="1:20" ht="15.75" customHeight="1" x14ac:dyDescent="0.25"/>
    <row r="63" spans="1:20" ht="15.75" customHeight="1" x14ac:dyDescent="0.25"/>
    <row r="64" spans="1:2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T51" xr:uid="{00000000-0009-0000-0000-000009000000}"/>
  <conditionalFormatting sqref="L30:L51">
    <cfRule type="containsText" dxfId="53" priority="1" operator="containsText" text="AL DIA">
      <formula>NOT(ISERROR(SEARCH(("AL DIA"),(L30))))</formula>
    </cfRule>
  </conditionalFormatting>
  <conditionalFormatting sqref="L30:L51">
    <cfRule type="containsText" dxfId="52" priority="2" operator="containsText" text="PENDIENTE">
      <formula>NOT(ISERROR(SEARCH(("PENDIENTE"),(L30))))</formula>
    </cfRule>
  </conditionalFormatting>
  <conditionalFormatting sqref="Q30:Q51">
    <cfRule type="containsText" dxfId="51" priority="3" operator="containsText" text="RETIRADO">
      <formula>NOT(ISERROR(SEARCH(("RETIRADO"),(Q30))))</formula>
    </cfRule>
  </conditionalFormatting>
  <conditionalFormatting sqref="Q30:Q51">
    <cfRule type="containsText" dxfId="50" priority="4" operator="containsText" text="ACTIVO">
      <formula>NOT(ISERROR(SEARCH(("ACTIVO"),(Q30))))</formula>
    </cfRule>
  </conditionalFormatting>
  <dataValidations count="4">
    <dataValidation type="list" allowBlank="1" showErrorMessage="1" sqref="L39:L40" xr:uid="{00000000-0002-0000-0900-000000000000}">
      <formula1>$W$2:$W$3</formula1>
    </dataValidation>
    <dataValidation type="list" allowBlank="1" showErrorMessage="1" sqref="Q33:Q38" xr:uid="{00000000-0002-0000-0900-000001000000}">
      <formula1>$Y$1:$Y$2</formula1>
    </dataValidation>
    <dataValidation type="list" allowBlank="1" showErrorMessage="1" sqref="L30:L32 L41:L51" xr:uid="{00000000-0002-0000-0900-000002000000}">
      <formula1>$W$1:$W$2</formula1>
    </dataValidation>
    <dataValidation type="list" allowBlank="1" showErrorMessage="1" sqref="Q30:Q32 L33:L38 Q39:Q40" xr:uid="{00000000-0002-0000-0900-000003000000}">
      <formula1>$X$1:$X$2</formula1>
    </dataValidation>
  </dataValidations>
  <hyperlinks>
    <hyperlink ref="T23" r:id="rId1" xr:uid="{00000000-0004-0000-0900-000000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000"/>
  <sheetViews>
    <sheetView workbookViewId="0"/>
  </sheetViews>
  <sheetFormatPr baseColWidth="10" defaultColWidth="14.42578125" defaultRowHeight="15" customHeight="1" x14ac:dyDescent="0.25"/>
  <cols>
    <col min="1" max="1" width="41" customWidth="1"/>
    <col min="2" max="2" width="12.42578125" customWidth="1"/>
    <col min="3" max="3" width="26" customWidth="1"/>
    <col min="4" max="26" width="10.7109375" customWidth="1"/>
  </cols>
  <sheetData>
    <row r="1" spans="1:18" x14ac:dyDescent="0.25">
      <c r="A1" s="253" t="s">
        <v>0</v>
      </c>
      <c r="B1" s="254" t="s">
        <v>2721</v>
      </c>
      <c r="C1" s="253" t="s">
        <v>2</v>
      </c>
      <c r="D1" s="253" t="s">
        <v>3</v>
      </c>
      <c r="E1" s="253" t="s">
        <v>5</v>
      </c>
      <c r="F1" s="253" t="s">
        <v>6</v>
      </c>
      <c r="G1" s="255" t="s">
        <v>7</v>
      </c>
      <c r="H1" s="256" t="s">
        <v>2724</v>
      </c>
      <c r="I1" s="255" t="s">
        <v>8</v>
      </c>
      <c r="J1" s="253" t="s">
        <v>9</v>
      </c>
      <c r="K1" s="253" t="s">
        <v>10</v>
      </c>
      <c r="L1" s="255" t="s">
        <v>11</v>
      </c>
      <c r="M1" s="257" t="s">
        <v>12</v>
      </c>
      <c r="N1" s="258" t="s">
        <v>13</v>
      </c>
      <c r="O1" s="258" t="s">
        <v>14</v>
      </c>
      <c r="P1" s="258" t="s">
        <v>15</v>
      </c>
      <c r="Q1" s="258" t="s">
        <v>16</v>
      </c>
      <c r="R1" s="258" t="s">
        <v>17</v>
      </c>
    </row>
    <row r="2" spans="1:18" x14ac:dyDescent="0.25">
      <c r="A2" s="183" t="s">
        <v>5291</v>
      </c>
      <c r="B2" s="183">
        <v>1097394879</v>
      </c>
      <c r="C2" s="183">
        <v>3122737054</v>
      </c>
      <c r="D2" s="183" t="s">
        <v>587</v>
      </c>
      <c r="E2" s="183">
        <v>58</v>
      </c>
      <c r="F2" s="183" t="s">
        <v>1313</v>
      </c>
      <c r="G2" s="184">
        <v>57000</v>
      </c>
      <c r="H2" s="185"/>
      <c r="I2" s="184">
        <v>57000</v>
      </c>
      <c r="J2" s="185" t="s">
        <v>234</v>
      </c>
      <c r="K2" s="183"/>
      <c r="L2" s="184"/>
      <c r="M2" s="186"/>
      <c r="N2" s="187" t="s">
        <v>28</v>
      </c>
      <c r="O2" s="187" t="s">
        <v>20</v>
      </c>
      <c r="P2" s="187"/>
      <c r="Q2" s="183" t="s">
        <v>5292</v>
      </c>
      <c r="R2" s="183" t="s">
        <v>1470</v>
      </c>
    </row>
    <row r="3" spans="1:18" x14ac:dyDescent="0.25">
      <c r="A3" s="183" t="s">
        <v>5293</v>
      </c>
      <c r="B3" s="183">
        <v>1005995981</v>
      </c>
      <c r="C3" s="183">
        <v>3226424817</v>
      </c>
      <c r="D3" s="183" t="s">
        <v>1105</v>
      </c>
      <c r="E3" s="272"/>
      <c r="F3" s="183" t="s">
        <v>2944</v>
      </c>
      <c r="G3" s="184">
        <v>42000</v>
      </c>
      <c r="H3" s="185"/>
      <c r="I3" s="184">
        <v>42000</v>
      </c>
      <c r="J3" s="185" t="s">
        <v>234</v>
      </c>
      <c r="K3" s="183"/>
      <c r="L3" s="184"/>
      <c r="M3" s="186"/>
      <c r="N3" s="187" t="s">
        <v>28</v>
      </c>
      <c r="O3" s="187" t="s">
        <v>20</v>
      </c>
      <c r="P3" s="187"/>
      <c r="Q3" s="183" t="s">
        <v>5294</v>
      </c>
      <c r="R3" s="183" t="s">
        <v>30</v>
      </c>
    </row>
    <row r="4" spans="1:18" x14ac:dyDescent="0.25">
      <c r="A4" s="183" t="s">
        <v>5295</v>
      </c>
      <c r="B4" s="183">
        <v>9730535</v>
      </c>
      <c r="C4" s="183">
        <v>3185684550</v>
      </c>
      <c r="D4" s="183" t="s">
        <v>5296</v>
      </c>
      <c r="E4" s="183"/>
      <c r="F4" s="183" t="s">
        <v>4585</v>
      </c>
      <c r="G4" s="184">
        <v>67000</v>
      </c>
      <c r="H4" s="185"/>
      <c r="I4" s="184">
        <v>67000</v>
      </c>
      <c r="J4" s="185" t="s">
        <v>234</v>
      </c>
      <c r="K4" s="183"/>
      <c r="L4" s="184"/>
      <c r="M4" s="186"/>
      <c r="N4" s="187" t="s">
        <v>28</v>
      </c>
      <c r="O4" s="187" t="s">
        <v>20</v>
      </c>
      <c r="P4" s="187"/>
      <c r="Q4" s="183" t="s">
        <v>5297</v>
      </c>
      <c r="R4" s="183" t="s">
        <v>49</v>
      </c>
    </row>
    <row r="5" spans="1:18" x14ac:dyDescent="0.25">
      <c r="A5" s="183" t="s">
        <v>872</v>
      </c>
      <c r="B5" s="183">
        <v>1099682257</v>
      </c>
      <c r="C5" s="183">
        <v>3212030330</v>
      </c>
      <c r="D5" s="183" t="s">
        <v>600</v>
      </c>
      <c r="E5" s="183"/>
      <c r="F5" s="183" t="s">
        <v>2944</v>
      </c>
      <c r="G5" s="184">
        <v>42000</v>
      </c>
      <c r="H5" s="185"/>
      <c r="I5" s="184">
        <f>G5</f>
        <v>42000</v>
      </c>
      <c r="J5" s="185" t="s">
        <v>234</v>
      </c>
      <c r="K5" s="183"/>
      <c r="L5" s="184"/>
      <c r="M5" s="186"/>
      <c r="N5" s="187" t="s">
        <v>28</v>
      </c>
      <c r="O5" s="187" t="s">
        <v>20</v>
      </c>
      <c r="P5" s="187"/>
      <c r="Q5" s="183" t="s">
        <v>5298</v>
      </c>
      <c r="R5" s="183" t="s">
        <v>1224</v>
      </c>
    </row>
    <row r="6" spans="1:18" x14ac:dyDescent="0.25">
      <c r="A6" s="183" t="s">
        <v>5299</v>
      </c>
      <c r="B6" s="183">
        <v>1099684213</v>
      </c>
      <c r="C6" s="183">
        <v>3206096263</v>
      </c>
      <c r="D6" s="183" t="s">
        <v>5300</v>
      </c>
      <c r="E6" s="183" t="s">
        <v>131</v>
      </c>
      <c r="F6" s="183" t="s">
        <v>2944</v>
      </c>
      <c r="G6" s="184">
        <v>42000</v>
      </c>
      <c r="H6" s="273"/>
      <c r="I6" s="184">
        <v>42000</v>
      </c>
      <c r="J6" s="185" t="s">
        <v>234</v>
      </c>
      <c r="K6" s="183"/>
      <c r="L6" s="184"/>
      <c r="M6" s="186"/>
      <c r="N6" s="187" t="s">
        <v>28</v>
      </c>
      <c r="O6" s="187" t="s">
        <v>20</v>
      </c>
      <c r="P6" s="187"/>
      <c r="Q6" s="187" t="s">
        <v>1852</v>
      </c>
      <c r="R6" s="187" t="s">
        <v>126</v>
      </c>
    </row>
    <row r="7" spans="1:18" x14ac:dyDescent="0.25">
      <c r="A7" s="183" t="s">
        <v>5301</v>
      </c>
      <c r="B7" s="183">
        <v>9801855</v>
      </c>
      <c r="C7" s="183" t="s">
        <v>5302</v>
      </c>
      <c r="D7" s="183" t="s">
        <v>5303</v>
      </c>
      <c r="E7" s="183" t="s">
        <v>5304</v>
      </c>
      <c r="F7" s="183" t="s">
        <v>2944</v>
      </c>
      <c r="G7" s="184">
        <v>42000</v>
      </c>
      <c r="H7" s="185"/>
      <c r="I7" s="184">
        <v>42000</v>
      </c>
      <c r="J7" s="185" t="s">
        <v>234</v>
      </c>
      <c r="K7" s="183"/>
      <c r="L7" s="184"/>
      <c r="M7" s="186"/>
      <c r="N7" s="187" t="s">
        <v>28</v>
      </c>
      <c r="O7" s="187" t="s">
        <v>20</v>
      </c>
      <c r="P7" s="187"/>
      <c r="Q7" s="187" t="s">
        <v>5305</v>
      </c>
      <c r="R7" s="187" t="s">
        <v>366</v>
      </c>
    </row>
    <row r="8" spans="1:18" x14ac:dyDescent="0.25">
      <c r="A8" s="187" t="s">
        <v>752</v>
      </c>
      <c r="B8" s="191">
        <v>4426899</v>
      </c>
      <c r="C8" s="260" t="s">
        <v>5306</v>
      </c>
      <c r="D8" s="204" t="s">
        <v>5307</v>
      </c>
      <c r="E8" s="204" t="s">
        <v>5308</v>
      </c>
      <c r="F8" s="183" t="s">
        <v>2944</v>
      </c>
      <c r="G8" s="192">
        <v>42000</v>
      </c>
      <c r="H8" s="187"/>
      <c r="I8" s="192">
        <v>42000</v>
      </c>
      <c r="J8" s="185" t="s">
        <v>234</v>
      </c>
      <c r="K8" s="187"/>
      <c r="L8" s="192"/>
      <c r="M8" s="205"/>
      <c r="N8" s="187" t="s">
        <v>28</v>
      </c>
      <c r="O8" s="187" t="s">
        <v>20</v>
      </c>
      <c r="P8" s="187"/>
      <c r="Q8" s="187" t="s">
        <v>5309</v>
      </c>
      <c r="R8" s="187" t="s">
        <v>61</v>
      </c>
    </row>
    <row r="9" spans="1:18" x14ac:dyDescent="0.25">
      <c r="A9" s="187" t="s">
        <v>5310</v>
      </c>
      <c r="B9" s="191">
        <v>1122730874</v>
      </c>
      <c r="C9" s="191">
        <v>3113562851</v>
      </c>
      <c r="D9" s="187" t="s">
        <v>714</v>
      </c>
      <c r="E9" s="187" t="s">
        <v>4893</v>
      </c>
      <c r="F9" s="183" t="s">
        <v>2944</v>
      </c>
      <c r="G9" s="192">
        <v>42000</v>
      </c>
      <c r="H9" s="187"/>
      <c r="I9" s="192">
        <v>42000</v>
      </c>
      <c r="J9" s="185" t="s">
        <v>234</v>
      </c>
      <c r="K9" s="187"/>
      <c r="L9" s="192"/>
      <c r="M9" s="205"/>
      <c r="N9" s="187" t="s">
        <v>28</v>
      </c>
      <c r="O9" s="187" t="s">
        <v>20</v>
      </c>
      <c r="P9" s="187"/>
      <c r="Q9" s="187" t="s">
        <v>5311</v>
      </c>
      <c r="R9" s="187" t="s">
        <v>30</v>
      </c>
    </row>
    <row r="10" spans="1:18" x14ac:dyDescent="0.25">
      <c r="A10" s="187" t="s">
        <v>5227</v>
      </c>
      <c r="B10" s="259">
        <v>1005821100</v>
      </c>
      <c r="C10" s="191" t="s">
        <v>5228</v>
      </c>
      <c r="D10" s="187" t="s">
        <v>533</v>
      </c>
      <c r="E10" s="187">
        <v>591</v>
      </c>
      <c r="F10" s="187" t="s">
        <v>25</v>
      </c>
      <c r="G10" s="192">
        <v>42000</v>
      </c>
      <c r="H10" s="187"/>
      <c r="I10" s="192">
        <v>42000</v>
      </c>
      <c r="J10" s="185" t="s">
        <v>234</v>
      </c>
      <c r="K10" s="187"/>
      <c r="L10" s="192"/>
      <c r="M10" s="205"/>
      <c r="N10" s="187" t="s">
        <v>28</v>
      </c>
      <c r="O10" s="187" t="s">
        <v>20</v>
      </c>
      <c r="P10" s="187"/>
      <c r="Q10" s="187" t="s">
        <v>5263</v>
      </c>
      <c r="R10" s="187"/>
    </row>
    <row r="11" spans="1:18" x14ac:dyDescent="0.25">
      <c r="A11" s="183" t="s">
        <v>5312</v>
      </c>
      <c r="B11" s="183">
        <v>29542099</v>
      </c>
      <c r="C11" s="188">
        <v>3183979799</v>
      </c>
      <c r="D11" s="183" t="s">
        <v>3321</v>
      </c>
      <c r="E11" s="183" t="s">
        <v>3028</v>
      </c>
      <c r="F11" s="183" t="s">
        <v>1783</v>
      </c>
      <c r="G11" s="184">
        <v>82000</v>
      </c>
      <c r="H11" s="185"/>
      <c r="I11" s="184">
        <v>82000</v>
      </c>
      <c r="J11" s="185" t="s">
        <v>234</v>
      </c>
      <c r="K11" s="183"/>
      <c r="L11" s="184"/>
      <c r="M11" s="186"/>
      <c r="N11" s="187" t="s">
        <v>3029</v>
      </c>
      <c r="O11" s="187" t="s">
        <v>20</v>
      </c>
      <c r="P11" s="187"/>
      <c r="Q11" s="183" t="s">
        <v>4697</v>
      </c>
      <c r="R11" s="183" t="s">
        <v>5313</v>
      </c>
    </row>
    <row r="12" spans="1:18" x14ac:dyDescent="0.25">
      <c r="A12" s="183" t="s">
        <v>5314</v>
      </c>
      <c r="B12" s="183">
        <v>42097137</v>
      </c>
      <c r="C12" s="188" t="s">
        <v>5315</v>
      </c>
      <c r="D12" s="183" t="s">
        <v>5316</v>
      </c>
      <c r="E12" s="183" t="s">
        <v>3028</v>
      </c>
      <c r="F12" s="183" t="s">
        <v>1783</v>
      </c>
      <c r="G12" s="184">
        <v>82000</v>
      </c>
      <c r="H12" s="185"/>
      <c r="I12" s="184">
        <v>82000</v>
      </c>
      <c r="J12" s="185" t="s">
        <v>234</v>
      </c>
      <c r="K12" s="183"/>
      <c r="L12" s="184"/>
      <c r="M12" s="186"/>
      <c r="N12" s="187" t="s">
        <v>3029</v>
      </c>
      <c r="O12" s="187" t="s">
        <v>20</v>
      </c>
      <c r="P12" s="187"/>
      <c r="Q12" s="274" t="s">
        <v>5317</v>
      </c>
      <c r="R12" s="183" t="s">
        <v>5318</v>
      </c>
    </row>
    <row r="13" spans="1:18" x14ac:dyDescent="0.25">
      <c r="A13" s="183" t="s">
        <v>2868</v>
      </c>
      <c r="B13" s="183">
        <v>1099709160</v>
      </c>
      <c r="C13" s="188" t="s">
        <v>2869</v>
      </c>
      <c r="D13" s="183" t="s">
        <v>2870</v>
      </c>
      <c r="E13" s="183" t="s">
        <v>2730</v>
      </c>
      <c r="F13" s="183" t="s">
        <v>105</v>
      </c>
      <c r="G13" s="184">
        <v>42000</v>
      </c>
      <c r="H13" s="185"/>
      <c r="I13" s="184">
        <v>42000</v>
      </c>
      <c r="J13" s="185" t="s">
        <v>234</v>
      </c>
      <c r="K13" s="183"/>
      <c r="L13" s="184"/>
      <c r="M13" s="186"/>
      <c r="N13" s="187" t="s">
        <v>2730</v>
      </c>
      <c r="O13" s="187" t="s">
        <v>20</v>
      </c>
      <c r="P13" s="187"/>
      <c r="Q13" s="183" t="s">
        <v>5283</v>
      </c>
      <c r="R13" s="183" t="s">
        <v>5284</v>
      </c>
    </row>
    <row r="14" spans="1:18" x14ac:dyDescent="0.25">
      <c r="A14" s="183" t="s">
        <v>5319</v>
      </c>
      <c r="B14" s="183">
        <v>1114120450</v>
      </c>
      <c r="C14" s="188">
        <v>3154221749</v>
      </c>
      <c r="D14" s="183" t="s">
        <v>3171</v>
      </c>
      <c r="E14" s="183" t="s">
        <v>2730</v>
      </c>
      <c r="F14" s="183" t="s">
        <v>4929</v>
      </c>
      <c r="G14" s="184">
        <v>82000</v>
      </c>
      <c r="H14" s="185"/>
      <c r="I14" s="184">
        <f>G14+H14</f>
        <v>82000</v>
      </c>
      <c r="J14" s="185" t="s">
        <v>234</v>
      </c>
      <c r="K14" s="183"/>
      <c r="L14" s="184"/>
      <c r="M14" s="186"/>
      <c r="N14" s="187" t="s">
        <v>3353</v>
      </c>
      <c r="O14" s="187" t="s">
        <v>20</v>
      </c>
      <c r="P14" s="187"/>
      <c r="Q14" s="183" t="s">
        <v>3361</v>
      </c>
      <c r="R14" s="183" t="s">
        <v>5320</v>
      </c>
    </row>
    <row r="15" spans="1:18" x14ac:dyDescent="0.25">
      <c r="A15" s="187" t="s">
        <v>5321</v>
      </c>
      <c r="B15" s="191">
        <v>6028136</v>
      </c>
      <c r="C15" s="187" t="s">
        <v>5322</v>
      </c>
      <c r="D15" s="187" t="s">
        <v>3095</v>
      </c>
      <c r="E15" s="187" t="s">
        <v>2730</v>
      </c>
      <c r="F15" s="187" t="s">
        <v>421</v>
      </c>
      <c r="G15" s="192">
        <v>82000</v>
      </c>
      <c r="H15" s="187"/>
      <c r="I15" s="192">
        <v>82000</v>
      </c>
      <c r="J15" s="185" t="s">
        <v>234</v>
      </c>
      <c r="K15" s="183"/>
      <c r="L15" s="184"/>
      <c r="M15" s="186"/>
      <c r="N15" s="187" t="s">
        <v>3353</v>
      </c>
      <c r="O15" s="187" t="s">
        <v>20</v>
      </c>
      <c r="P15" s="187"/>
      <c r="Q15" s="187" t="s">
        <v>5323</v>
      </c>
      <c r="R15" s="187" t="s">
        <v>5324</v>
      </c>
    </row>
    <row r="16" spans="1:18" x14ac:dyDescent="0.25">
      <c r="A16" s="183" t="s">
        <v>5325</v>
      </c>
      <c r="B16" s="183">
        <v>1113311242</v>
      </c>
      <c r="C16" s="183">
        <v>3007773093</v>
      </c>
      <c r="D16" s="183" t="s">
        <v>3171</v>
      </c>
      <c r="E16" s="183" t="s">
        <v>2730</v>
      </c>
      <c r="F16" s="183" t="s">
        <v>1783</v>
      </c>
      <c r="G16" s="185">
        <v>82000</v>
      </c>
      <c r="H16" s="185"/>
      <c r="I16" s="184">
        <v>82000</v>
      </c>
      <c r="J16" s="185" t="s">
        <v>234</v>
      </c>
      <c r="K16" s="183"/>
      <c r="L16" s="184"/>
      <c r="M16" s="186"/>
      <c r="N16" s="187" t="s">
        <v>4380</v>
      </c>
      <c r="O16" s="187" t="s">
        <v>20</v>
      </c>
      <c r="P16" s="187"/>
      <c r="Q16" s="183" t="s">
        <v>3413</v>
      </c>
      <c r="R16" s="183" t="s">
        <v>5326</v>
      </c>
    </row>
    <row r="17" spans="1:19" x14ac:dyDescent="0.25">
      <c r="A17" s="183" t="s">
        <v>5327</v>
      </c>
      <c r="B17" s="183">
        <v>1007721172</v>
      </c>
      <c r="C17" s="183" t="s">
        <v>5328</v>
      </c>
      <c r="D17" s="183" t="s">
        <v>650</v>
      </c>
      <c r="E17" s="183"/>
      <c r="F17" s="183" t="s">
        <v>2944</v>
      </c>
      <c r="G17" s="184">
        <v>42000</v>
      </c>
      <c r="H17" s="185"/>
      <c r="I17" s="184">
        <f>G17</f>
        <v>42000</v>
      </c>
      <c r="J17" s="185" t="s">
        <v>234</v>
      </c>
      <c r="K17" s="183"/>
      <c r="L17" s="184"/>
      <c r="M17" s="186"/>
      <c r="N17" s="187" t="s">
        <v>28</v>
      </c>
      <c r="O17" s="187" t="s">
        <v>20</v>
      </c>
      <c r="P17" s="187"/>
      <c r="Q17" s="183" t="s">
        <v>5329</v>
      </c>
      <c r="R17" s="183" t="s">
        <v>1224</v>
      </c>
    </row>
    <row r="18" spans="1:19" x14ac:dyDescent="0.25">
      <c r="A18" s="183" t="s">
        <v>5330</v>
      </c>
      <c r="B18" s="183">
        <v>32297361</v>
      </c>
      <c r="C18" s="183" t="s">
        <v>5331</v>
      </c>
      <c r="D18" s="183" t="s">
        <v>618</v>
      </c>
      <c r="E18" s="183" t="s">
        <v>5332</v>
      </c>
      <c r="F18" s="183" t="s">
        <v>2944</v>
      </c>
      <c r="G18" s="184">
        <v>42000</v>
      </c>
      <c r="H18" s="185"/>
      <c r="I18" s="184">
        <v>42000</v>
      </c>
      <c r="J18" s="185" t="s">
        <v>234</v>
      </c>
      <c r="K18" s="183"/>
      <c r="L18" s="184"/>
      <c r="M18" s="186"/>
      <c r="N18" s="187" t="s">
        <v>28</v>
      </c>
      <c r="O18" s="187" t="s">
        <v>20</v>
      </c>
      <c r="P18" s="187"/>
      <c r="Q18" s="187" t="s">
        <v>5333</v>
      </c>
      <c r="R18" s="187" t="s">
        <v>1321</v>
      </c>
    </row>
    <row r="19" spans="1:19" x14ac:dyDescent="0.25">
      <c r="A19" s="187" t="s">
        <v>5334</v>
      </c>
      <c r="B19" s="191">
        <v>24995467</v>
      </c>
      <c r="C19" s="187" t="s">
        <v>5335</v>
      </c>
      <c r="D19" s="187" t="s">
        <v>5336</v>
      </c>
      <c r="E19" s="187" t="s">
        <v>5337</v>
      </c>
      <c r="F19" s="183" t="s">
        <v>2730</v>
      </c>
      <c r="G19" s="192">
        <v>42000</v>
      </c>
      <c r="I19" s="187"/>
      <c r="J19" s="192">
        <v>42000</v>
      </c>
      <c r="K19" s="185" t="s">
        <v>234</v>
      </c>
      <c r="L19" s="187"/>
      <c r="M19" s="192"/>
      <c r="N19" s="205"/>
      <c r="O19" s="187" t="s">
        <v>2730</v>
      </c>
      <c r="P19" s="187" t="s">
        <v>20</v>
      </c>
      <c r="Q19" s="187"/>
      <c r="R19" s="187" t="s">
        <v>5338</v>
      </c>
      <c r="S19" s="187" t="s">
        <v>5339</v>
      </c>
    </row>
    <row r="20" spans="1:19" x14ac:dyDescent="0.25">
      <c r="A20" s="183" t="s">
        <v>5340</v>
      </c>
      <c r="B20" s="183">
        <v>1109410205</v>
      </c>
      <c r="C20" s="183">
        <v>3104822743</v>
      </c>
      <c r="D20" s="189" t="s">
        <v>5341</v>
      </c>
      <c r="E20" s="183" t="s">
        <v>2730</v>
      </c>
      <c r="F20" s="183" t="s">
        <v>4929</v>
      </c>
      <c r="G20" s="184">
        <v>82000</v>
      </c>
      <c r="H20" s="185"/>
      <c r="I20" s="184">
        <f>G20+H20</f>
        <v>82000</v>
      </c>
      <c r="J20" s="185" t="s">
        <v>234</v>
      </c>
      <c r="K20" s="183"/>
      <c r="L20" s="184"/>
      <c r="M20" s="186"/>
      <c r="N20" s="187" t="s">
        <v>3353</v>
      </c>
      <c r="O20" s="187" t="s">
        <v>20</v>
      </c>
      <c r="P20" s="187"/>
      <c r="Q20" s="183" t="s">
        <v>3358</v>
      </c>
      <c r="R20" s="183" t="s">
        <v>3574</v>
      </c>
    </row>
    <row r="21" spans="1:19" ht="15.75" customHeight="1" x14ac:dyDescent="0.25">
      <c r="A21" s="187" t="s">
        <v>5342</v>
      </c>
      <c r="B21" s="191">
        <v>1115191060</v>
      </c>
      <c r="C21" s="191" t="s">
        <v>5343</v>
      </c>
      <c r="D21" s="187" t="s">
        <v>5344</v>
      </c>
      <c r="E21" s="187" t="s">
        <v>5345</v>
      </c>
      <c r="F21" s="183" t="s">
        <v>1313</v>
      </c>
      <c r="G21" s="192">
        <v>57000</v>
      </c>
      <c r="H21" s="187"/>
      <c r="I21" s="192">
        <v>57000</v>
      </c>
      <c r="J21" s="185" t="s">
        <v>234</v>
      </c>
      <c r="K21" s="187"/>
      <c r="L21" s="192"/>
      <c r="M21" s="205"/>
      <c r="N21" s="187" t="s">
        <v>28</v>
      </c>
      <c r="O21" s="187" t="s">
        <v>20</v>
      </c>
      <c r="P21" s="187"/>
      <c r="Q21" s="187" t="s">
        <v>5346</v>
      </c>
      <c r="R21" s="187" t="s">
        <v>30</v>
      </c>
    </row>
    <row r="22" spans="1:19" ht="15.75" customHeight="1" x14ac:dyDescent="0.25">
      <c r="A22" s="187" t="s">
        <v>5347</v>
      </c>
      <c r="B22" s="191">
        <v>42159746</v>
      </c>
      <c r="C22" s="191" t="s">
        <v>5348</v>
      </c>
      <c r="D22" s="187" t="s">
        <v>975</v>
      </c>
      <c r="E22" s="187" t="s">
        <v>5349</v>
      </c>
      <c r="F22" s="187" t="s">
        <v>1313</v>
      </c>
      <c r="G22" s="192">
        <v>42000</v>
      </c>
      <c r="H22" s="187"/>
      <c r="I22" s="192">
        <v>42000</v>
      </c>
      <c r="J22" s="185" t="s">
        <v>234</v>
      </c>
      <c r="K22" s="187"/>
      <c r="L22" s="192"/>
      <c r="M22" s="205"/>
      <c r="N22" s="187" t="s">
        <v>28</v>
      </c>
      <c r="O22" s="187" t="s">
        <v>20</v>
      </c>
      <c r="P22" s="187"/>
      <c r="Q22" s="187" t="s">
        <v>30</v>
      </c>
      <c r="R22" s="187" t="s">
        <v>5350</v>
      </c>
    </row>
    <row r="23" spans="1:19" ht="15.75" customHeight="1" x14ac:dyDescent="0.25">
      <c r="A23" s="187" t="s">
        <v>5351</v>
      </c>
      <c r="B23" s="191">
        <v>9771475</v>
      </c>
      <c r="C23" s="191">
        <v>3148704487</v>
      </c>
      <c r="D23" s="187" t="s">
        <v>5352</v>
      </c>
      <c r="E23" s="187"/>
      <c r="F23" s="187" t="s">
        <v>25</v>
      </c>
      <c r="G23" s="192">
        <v>42000</v>
      </c>
      <c r="H23" s="187"/>
      <c r="I23" s="192">
        <v>42000</v>
      </c>
      <c r="J23" s="185" t="s">
        <v>234</v>
      </c>
      <c r="K23" s="187"/>
      <c r="L23" s="192"/>
      <c r="M23" s="205"/>
      <c r="N23" s="187" t="s">
        <v>28</v>
      </c>
      <c r="O23" s="187" t="s">
        <v>20</v>
      </c>
      <c r="P23" s="187"/>
      <c r="Q23" s="187" t="s">
        <v>5353</v>
      </c>
      <c r="R23" s="187" t="s">
        <v>624</v>
      </c>
    </row>
    <row r="24" spans="1:19" ht="15.75" customHeight="1" x14ac:dyDescent="0.25">
      <c r="A24" s="187" t="s">
        <v>5265</v>
      </c>
      <c r="B24" s="259">
        <v>32549370</v>
      </c>
      <c r="C24" s="191">
        <v>323613237</v>
      </c>
      <c r="D24" s="187" t="s">
        <v>5127</v>
      </c>
      <c r="E24" s="187"/>
      <c r="F24" s="187" t="s">
        <v>25</v>
      </c>
      <c r="G24" s="192">
        <v>42000</v>
      </c>
      <c r="H24" s="187"/>
      <c r="I24" s="192">
        <v>42000</v>
      </c>
      <c r="J24" s="185" t="s">
        <v>234</v>
      </c>
      <c r="K24" s="187"/>
      <c r="L24" s="192"/>
      <c r="M24" s="205"/>
      <c r="N24" s="187" t="s">
        <v>28</v>
      </c>
      <c r="O24" s="187" t="s">
        <v>20</v>
      </c>
      <c r="P24" s="187"/>
      <c r="Q24" s="187" t="s">
        <v>5194</v>
      </c>
      <c r="R24" s="187" t="s">
        <v>198</v>
      </c>
    </row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J2:J18">
    <cfRule type="containsText" dxfId="49" priority="1" operator="containsText" text="AL DIA">
      <formula>NOT(ISERROR(SEARCH(("AL DIA"),(J2))))</formula>
    </cfRule>
  </conditionalFormatting>
  <conditionalFormatting sqref="J2:J18">
    <cfRule type="containsText" dxfId="48" priority="2" operator="containsText" text="PENDIENTE">
      <formula>NOT(ISERROR(SEARCH(("PENDIENTE"),(J2))))</formula>
    </cfRule>
  </conditionalFormatting>
  <conditionalFormatting sqref="J20:J24">
    <cfRule type="containsText" dxfId="47" priority="3" operator="containsText" text="AL DIA">
      <formula>NOT(ISERROR(SEARCH(("AL DIA"),(J20))))</formula>
    </cfRule>
  </conditionalFormatting>
  <conditionalFormatting sqref="J20:J24">
    <cfRule type="containsText" dxfId="46" priority="4" operator="containsText" text="PENDIENTE">
      <formula>NOT(ISERROR(SEARCH(("PENDIENTE"),(J20))))</formula>
    </cfRule>
  </conditionalFormatting>
  <conditionalFormatting sqref="K19">
    <cfRule type="containsText" dxfId="45" priority="5" operator="containsText" text="AL DIA">
      <formula>NOT(ISERROR(SEARCH(("AL DIA"),(K19))))</formula>
    </cfRule>
  </conditionalFormatting>
  <conditionalFormatting sqref="K19">
    <cfRule type="containsText" dxfId="44" priority="6" operator="containsText" text="PENDIENTE">
      <formula>NOT(ISERROR(SEARCH(("PENDIENTE"),(K19))))</formula>
    </cfRule>
  </conditionalFormatting>
  <conditionalFormatting sqref="O2:O7">
    <cfRule type="containsText" dxfId="43" priority="7" operator="containsText" text="RETIRADO">
      <formula>NOT(ISERROR(SEARCH(("RETIRADO"),(O2))))</formula>
    </cfRule>
  </conditionalFormatting>
  <conditionalFormatting sqref="O2:O7">
    <cfRule type="containsText" dxfId="42" priority="8" operator="containsText" text="ACTIVO">
      <formula>NOT(ISERROR(SEARCH(("ACTIVO"),(O2))))</formula>
    </cfRule>
  </conditionalFormatting>
  <conditionalFormatting sqref="O11:O18">
    <cfRule type="containsText" dxfId="41" priority="9" operator="containsText" text="RETIRADO">
      <formula>NOT(ISERROR(SEARCH(("RETIRADO"),(O11))))</formula>
    </cfRule>
  </conditionalFormatting>
  <conditionalFormatting sqref="O11:O18">
    <cfRule type="containsText" dxfId="40" priority="10" operator="containsText" text="ACTIVO">
      <formula>NOT(ISERROR(SEARCH(("ACTIVO"),(O11))))</formula>
    </cfRule>
  </conditionalFormatting>
  <conditionalFormatting sqref="O20">
    <cfRule type="containsText" dxfId="39" priority="11" operator="containsText" text="RETIRADO">
      <formula>NOT(ISERROR(SEARCH(("RETIRADO"),(O20))))</formula>
    </cfRule>
  </conditionalFormatting>
  <conditionalFormatting sqref="O20">
    <cfRule type="containsText" dxfId="38" priority="12" operator="containsText" text="ACTIVO">
      <formula>NOT(ISERROR(SEARCH(("ACTIVO"),(O20))))</formula>
    </cfRule>
  </conditionalFormatting>
  <conditionalFormatting sqref="R15">
    <cfRule type="containsText" dxfId="37" priority="13" operator="containsText" text="AL DIA">
      <formula>NOT(ISERROR(SEARCH(("AL DIA"),(R15))))</formula>
    </cfRule>
  </conditionalFormatting>
  <conditionalFormatting sqref="R15">
    <cfRule type="containsText" dxfId="36" priority="14" operator="containsText" text="PENDIENTE">
      <formula>NOT(ISERROR(SEARCH(("PENDIENTE"),(R15))))</formula>
    </cfRule>
  </conditionalFormatting>
  <dataValidations count="9">
    <dataValidation type="list" allowBlank="1" showErrorMessage="1" sqref="J11:J12 J14:J16 J20" xr:uid="{00000000-0002-0000-0A00-000000000000}">
      <formula1>$W$2:$W$3</formula1>
    </dataValidation>
    <dataValidation type="list" allowBlank="1" showErrorMessage="1" sqref="O13" xr:uid="{00000000-0002-0000-0A00-000001000000}">
      <formula1>$Y$1:$Y$2</formula1>
    </dataValidation>
    <dataValidation type="list" allowBlank="1" showErrorMessage="1" sqref="R15" xr:uid="{00000000-0002-0000-0A00-000002000000}">
      <formula1>$W$1:$W$2</formula1>
    </dataValidation>
    <dataValidation type="list" allowBlank="1" showErrorMessage="1" sqref="J13 K19" xr:uid="{00000000-0002-0000-0A00-000003000000}">
      <formula1>$X$2:$X$3</formula1>
    </dataValidation>
    <dataValidation type="list" allowBlank="1" showErrorMessage="1" sqref="O14 O16 O20" xr:uid="{00000000-0002-0000-0A00-000004000000}">
      <formula1>$V$1:$V$2</formula1>
    </dataValidation>
    <dataValidation type="list" allowBlank="1" showErrorMessage="1" sqref="J2:J10 J17:J18 J21:J24" xr:uid="{00000000-0002-0000-0A00-000005000000}">
      <formula1>$V$2:$V$3</formula1>
    </dataValidation>
    <dataValidation type="list" allowBlank="1" showErrorMessage="1" sqref="O11" xr:uid="{00000000-0002-0000-0A00-000006000000}">
      <formula1>$U$1:$U$2</formula1>
    </dataValidation>
    <dataValidation type="list" allowBlank="1" showErrorMessage="1" sqref="O2:O7 O17:O18" xr:uid="{00000000-0002-0000-0A00-000007000000}">
      <formula1>$T$1:$T$2</formula1>
    </dataValidation>
    <dataValidation type="list" allowBlank="1" showErrorMessage="1" sqref="O12 O15" xr:uid="{00000000-0002-0000-0A00-000008000000}">
      <formula1>$X$1:$X$2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R1000"/>
  <sheetViews>
    <sheetView workbookViewId="0"/>
  </sheetViews>
  <sheetFormatPr baseColWidth="10" defaultColWidth="14.42578125" defaultRowHeight="15" customHeight="1" x14ac:dyDescent="0.25"/>
  <cols>
    <col min="1" max="1" width="44.7109375" customWidth="1"/>
    <col min="2" max="26" width="10.7109375" customWidth="1"/>
  </cols>
  <sheetData>
    <row r="2" spans="1:17" x14ac:dyDescent="0.25">
      <c r="A2" s="183" t="s">
        <v>5354</v>
      </c>
      <c r="B2" s="183">
        <v>24674434</v>
      </c>
      <c r="C2" s="183">
        <v>3128516683</v>
      </c>
      <c r="D2" s="183" t="s">
        <v>1005</v>
      </c>
      <c r="E2" s="183"/>
      <c r="F2" s="183" t="s">
        <v>1313</v>
      </c>
      <c r="G2" s="184">
        <v>57000</v>
      </c>
      <c r="H2" s="185" t="s">
        <v>234</v>
      </c>
      <c r="I2" s="183"/>
      <c r="J2" s="184"/>
      <c r="K2" s="186"/>
      <c r="L2" s="187" t="s">
        <v>28</v>
      </c>
      <c r="M2" s="187" t="s">
        <v>20</v>
      </c>
      <c r="N2" s="187"/>
      <c r="O2" s="183" t="s">
        <v>5355</v>
      </c>
      <c r="P2" s="183" t="s">
        <v>30</v>
      </c>
    </row>
    <row r="3" spans="1:17" x14ac:dyDescent="0.25">
      <c r="A3" s="183" t="s">
        <v>1017</v>
      </c>
      <c r="B3" s="183">
        <v>1096006490</v>
      </c>
      <c r="C3" s="183">
        <v>3154163154</v>
      </c>
      <c r="D3" s="183" t="s">
        <v>697</v>
      </c>
      <c r="E3" s="183">
        <v>90</v>
      </c>
      <c r="F3" s="183" t="s">
        <v>2944</v>
      </c>
      <c r="G3" s="184">
        <v>42000</v>
      </c>
      <c r="H3" s="185" t="s">
        <v>234</v>
      </c>
      <c r="I3" s="183"/>
      <c r="J3" s="184"/>
      <c r="K3" s="186"/>
      <c r="L3" s="187" t="s">
        <v>28</v>
      </c>
      <c r="M3" s="187" t="s">
        <v>20</v>
      </c>
      <c r="N3" s="187"/>
      <c r="O3" s="183" t="s">
        <v>5356</v>
      </c>
      <c r="P3" s="183" t="s">
        <v>43</v>
      </c>
    </row>
    <row r="4" spans="1:17" x14ac:dyDescent="0.25">
      <c r="A4" s="183" t="s">
        <v>5357</v>
      </c>
      <c r="B4" s="252">
        <v>1099682406</v>
      </c>
      <c r="C4" s="188">
        <v>3218921965</v>
      </c>
      <c r="D4" s="183" t="s">
        <v>665</v>
      </c>
      <c r="E4" s="188" t="s">
        <v>5358</v>
      </c>
      <c r="F4" s="183" t="s">
        <v>2944</v>
      </c>
      <c r="G4" s="184">
        <v>42000</v>
      </c>
      <c r="H4" s="185" t="s">
        <v>234</v>
      </c>
      <c r="I4" s="183"/>
      <c r="J4" s="184"/>
      <c r="K4" s="186"/>
      <c r="L4" s="187" t="s">
        <v>28</v>
      </c>
      <c r="M4" s="187" t="s">
        <v>20</v>
      </c>
      <c r="N4" s="187"/>
      <c r="O4" s="187" t="s">
        <v>5359</v>
      </c>
      <c r="P4" s="187" t="s">
        <v>67</v>
      </c>
    </row>
    <row r="5" spans="1:17" x14ac:dyDescent="0.25">
      <c r="A5" s="234" t="s">
        <v>5360</v>
      </c>
      <c r="B5" s="234">
        <v>24673751</v>
      </c>
      <c r="C5" s="234">
        <v>3202398899</v>
      </c>
      <c r="D5" s="234" t="s">
        <v>706</v>
      </c>
      <c r="E5" s="234"/>
      <c r="F5" s="183" t="s">
        <v>2944</v>
      </c>
      <c r="G5" s="235">
        <v>42000</v>
      </c>
      <c r="H5" s="185" t="s">
        <v>234</v>
      </c>
      <c r="I5" s="234"/>
      <c r="J5" s="235"/>
      <c r="K5" s="205"/>
      <c r="L5" s="187" t="s">
        <v>28</v>
      </c>
      <c r="M5" s="187" t="s">
        <v>20</v>
      </c>
      <c r="N5" s="187"/>
      <c r="O5" s="187" t="s">
        <v>5361</v>
      </c>
      <c r="P5" s="187" t="s">
        <v>36</v>
      </c>
    </row>
    <row r="6" spans="1:17" x14ac:dyDescent="0.25">
      <c r="A6" s="183" t="s">
        <v>5362</v>
      </c>
      <c r="B6" s="183">
        <v>27707474</v>
      </c>
      <c r="C6" s="183">
        <v>3206900656</v>
      </c>
      <c r="D6" s="183" t="s">
        <v>678</v>
      </c>
      <c r="E6" s="183" t="s">
        <v>2375</v>
      </c>
      <c r="F6" s="183" t="s">
        <v>2944</v>
      </c>
      <c r="G6" s="184">
        <v>42000</v>
      </c>
      <c r="H6" s="185" t="s">
        <v>234</v>
      </c>
      <c r="I6" s="183"/>
      <c r="J6" s="184"/>
      <c r="K6" s="186"/>
      <c r="L6" s="187" t="s">
        <v>28</v>
      </c>
      <c r="M6" s="187" t="s">
        <v>20</v>
      </c>
      <c r="N6" s="187"/>
      <c r="O6" s="187" t="s">
        <v>5363</v>
      </c>
      <c r="P6" s="187" t="s">
        <v>497</v>
      </c>
    </row>
    <row r="7" spans="1:17" x14ac:dyDescent="0.25">
      <c r="A7" s="183" t="s">
        <v>5364</v>
      </c>
      <c r="B7" s="183">
        <v>1099682801</v>
      </c>
      <c r="C7" s="183" t="s">
        <v>5365</v>
      </c>
      <c r="D7" s="183" t="s">
        <v>702</v>
      </c>
      <c r="E7" s="183" t="s">
        <v>5366</v>
      </c>
      <c r="F7" s="183" t="s">
        <v>2944</v>
      </c>
      <c r="G7" s="184">
        <v>42000</v>
      </c>
      <c r="H7" s="185" t="s">
        <v>234</v>
      </c>
      <c r="I7" s="183"/>
      <c r="J7" s="184"/>
      <c r="K7" s="186"/>
      <c r="L7" s="187" t="s">
        <v>28</v>
      </c>
      <c r="M7" s="187" t="s">
        <v>20</v>
      </c>
      <c r="N7" s="187"/>
      <c r="O7" s="187" t="s">
        <v>5367</v>
      </c>
      <c r="P7" s="187" t="s">
        <v>67</v>
      </c>
    </row>
    <row r="8" spans="1:17" x14ac:dyDescent="0.25">
      <c r="A8" s="187" t="s">
        <v>5368</v>
      </c>
      <c r="B8" s="259">
        <v>24675603</v>
      </c>
      <c r="C8" s="191" t="s">
        <v>5369</v>
      </c>
      <c r="D8" s="187" t="s">
        <v>5370</v>
      </c>
      <c r="E8" s="187"/>
      <c r="F8" s="183" t="s">
        <v>2944</v>
      </c>
      <c r="G8" s="192">
        <v>42000</v>
      </c>
      <c r="H8" s="185" t="s">
        <v>234</v>
      </c>
      <c r="I8" s="187"/>
      <c r="J8" s="192"/>
      <c r="K8" s="205"/>
      <c r="L8" s="187" t="s">
        <v>28</v>
      </c>
      <c r="M8" s="187" t="s">
        <v>20</v>
      </c>
      <c r="N8" s="187"/>
      <c r="O8" s="187" t="s">
        <v>2232</v>
      </c>
      <c r="P8" s="187" t="s">
        <v>49</v>
      </c>
    </row>
    <row r="9" spans="1:17" x14ac:dyDescent="0.25">
      <c r="A9" s="187" t="s">
        <v>5371</v>
      </c>
      <c r="B9" s="191">
        <v>1193423855</v>
      </c>
      <c r="C9" s="260" t="s">
        <v>5372</v>
      </c>
      <c r="D9" s="187" t="s">
        <v>674</v>
      </c>
      <c r="E9" s="204" t="s">
        <v>5373</v>
      </c>
      <c r="F9" s="187" t="s">
        <v>2944</v>
      </c>
      <c r="G9" s="192">
        <v>42000</v>
      </c>
      <c r="H9" s="185" t="s">
        <v>234</v>
      </c>
      <c r="I9" s="187"/>
      <c r="J9" s="192"/>
      <c r="K9" s="205"/>
      <c r="L9" s="187" t="s">
        <v>28</v>
      </c>
      <c r="M9" s="187" t="s">
        <v>20</v>
      </c>
      <c r="N9" s="187"/>
      <c r="O9" s="187" t="s">
        <v>5374</v>
      </c>
      <c r="P9" s="187" t="s">
        <v>107</v>
      </c>
    </row>
    <row r="10" spans="1:17" x14ac:dyDescent="0.25">
      <c r="A10" s="187" t="s">
        <v>5375</v>
      </c>
      <c r="B10" s="191">
        <v>1099709960</v>
      </c>
      <c r="C10" s="260">
        <v>3154900767</v>
      </c>
      <c r="D10" s="187" t="s">
        <v>4837</v>
      </c>
      <c r="E10" s="204" t="s">
        <v>5376</v>
      </c>
      <c r="F10" s="187" t="s">
        <v>2944</v>
      </c>
      <c r="G10" s="192">
        <v>42000</v>
      </c>
      <c r="H10" s="185" t="s">
        <v>234</v>
      </c>
      <c r="I10" s="187"/>
      <c r="J10" s="192"/>
      <c r="K10" s="205"/>
      <c r="L10" s="187" t="s">
        <v>28</v>
      </c>
      <c r="M10" s="187" t="s">
        <v>20</v>
      </c>
      <c r="N10" s="187"/>
      <c r="O10" s="187" t="s">
        <v>126</v>
      </c>
      <c r="P10" s="187" t="s">
        <v>5377</v>
      </c>
    </row>
    <row r="11" spans="1:17" x14ac:dyDescent="0.25">
      <c r="A11" s="187" t="s">
        <v>5268</v>
      </c>
      <c r="B11" s="259">
        <v>1099683571</v>
      </c>
      <c r="C11" s="263" t="s">
        <v>5269</v>
      </c>
      <c r="D11" s="187" t="s">
        <v>1138</v>
      </c>
      <c r="E11" s="206"/>
      <c r="F11" s="187" t="s">
        <v>5270</v>
      </c>
      <c r="G11" s="192">
        <v>42000</v>
      </c>
      <c r="H11" s="185" t="s">
        <v>234</v>
      </c>
      <c r="I11" s="187"/>
      <c r="J11" s="192"/>
      <c r="K11" s="205"/>
      <c r="L11" s="187" t="s">
        <v>28</v>
      </c>
      <c r="M11" s="187" t="s">
        <v>20</v>
      </c>
      <c r="N11" s="187"/>
      <c r="O11" s="187" t="s">
        <v>5271</v>
      </c>
      <c r="P11" s="187" t="s">
        <v>30</v>
      </c>
    </row>
    <row r="12" spans="1:17" x14ac:dyDescent="0.25">
      <c r="A12" s="187" t="s">
        <v>5273</v>
      </c>
      <c r="B12" s="259">
        <v>29136055</v>
      </c>
      <c r="C12" s="191" t="s">
        <v>5274</v>
      </c>
      <c r="D12" s="187" t="s">
        <v>834</v>
      </c>
      <c r="E12" s="187"/>
      <c r="F12" s="187" t="s">
        <v>25</v>
      </c>
      <c r="G12" s="192">
        <v>42000</v>
      </c>
      <c r="H12" s="185" t="s">
        <v>234</v>
      </c>
      <c r="I12" s="187"/>
      <c r="J12" s="192"/>
      <c r="K12" s="205"/>
      <c r="L12" s="187" t="s">
        <v>28</v>
      </c>
      <c r="M12" s="187" t="s">
        <v>20</v>
      </c>
      <c r="N12" s="187"/>
      <c r="O12" s="187" t="s">
        <v>67</v>
      </c>
      <c r="P12" s="187" t="s">
        <v>5275</v>
      </c>
    </row>
    <row r="13" spans="1:17" x14ac:dyDescent="0.25">
      <c r="A13" s="187" t="s">
        <v>5378</v>
      </c>
      <c r="B13" s="259">
        <v>1120388184</v>
      </c>
      <c r="C13" s="263" t="s">
        <v>5260</v>
      </c>
      <c r="D13" s="187" t="s">
        <v>689</v>
      </c>
      <c r="E13" s="206">
        <v>560</v>
      </c>
      <c r="F13" s="187" t="s">
        <v>25</v>
      </c>
      <c r="G13" s="192">
        <v>42000</v>
      </c>
      <c r="H13" s="185" t="s">
        <v>234</v>
      </c>
      <c r="I13" s="187"/>
      <c r="J13" s="192"/>
      <c r="K13" s="205"/>
      <c r="L13" s="187" t="s">
        <v>28</v>
      </c>
      <c r="M13" s="187" t="s">
        <v>20</v>
      </c>
      <c r="N13" s="187"/>
      <c r="O13" s="187" t="s">
        <v>5379</v>
      </c>
      <c r="P13" s="187" t="s">
        <v>771</v>
      </c>
    </row>
    <row r="14" spans="1:17" x14ac:dyDescent="0.25">
      <c r="A14" s="183" t="s">
        <v>5380</v>
      </c>
      <c r="B14" s="183">
        <v>16364346</v>
      </c>
      <c r="C14" s="183" t="s">
        <v>5381</v>
      </c>
      <c r="D14" s="234" t="s">
        <v>5382</v>
      </c>
      <c r="E14" s="234"/>
      <c r="F14" s="183" t="s">
        <v>2730</v>
      </c>
      <c r="G14" s="183" t="s">
        <v>3717</v>
      </c>
      <c r="H14" s="184">
        <v>42000</v>
      </c>
      <c r="I14" s="185" t="s">
        <v>234</v>
      </c>
      <c r="J14" s="183"/>
      <c r="K14" s="184"/>
      <c r="L14" s="186"/>
      <c r="M14" s="187" t="s">
        <v>2730</v>
      </c>
      <c r="N14" s="187" t="s">
        <v>20</v>
      </c>
      <c r="O14" s="187"/>
      <c r="P14" s="183" t="s">
        <v>5383</v>
      </c>
      <c r="Q14" s="183"/>
    </row>
    <row r="15" spans="1:17" x14ac:dyDescent="0.25">
      <c r="A15" s="183" t="s">
        <v>5384</v>
      </c>
      <c r="B15" s="183">
        <v>4525977</v>
      </c>
      <c r="C15" s="183" t="s">
        <v>5385</v>
      </c>
      <c r="D15" s="183" t="s">
        <v>3018</v>
      </c>
      <c r="E15" s="183" t="s">
        <v>5386</v>
      </c>
      <c r="F15" s="183" t="s">
        <v>2730</v>
      </c>
      <c r="G15" s="183" t="s">
        <v>105</v>
      </c>
      <c r="H15" s="184">
        <v>42000</v>
      </c>
      <c r="I15" s="185" t="s">
        <v>234</v>
      </c>
      <c r="J15" s="183"/>
      <c r="K15" s="184"/>
      <c r="L15" s="186"/>
      <c r="M15" s="187" t="s">
        <v>2730</v>
      </c>
      <c r="N15" s="187" t="s">
        <v>20</v>
      </c>
      <c r="O15" s="187"/>
      <c r="P15" s="183" t="s">
        <v>5387</v>
      </c>
      <c r="Q15" s="183" t="s">
        <v>30</v>
      </c>
    </row>
    <row r="16" spans="1:17" x14ac:dyDescent="0.25">
      <c r="A16" s="183" t="s">
        <v>5388</v>
      </c>
      <c r="B16" s="183">
        <v>24995932</v>
      </c>
      <c r="C16" s="183" t="s">
        <v>5389</v>
      </c>
      <c r="D16" s="183" t="s">
        <v>3022</v>
      </c>
      <c r="E16" s="183" t="s">
        <v>5390</v>
      </c>
      <c r="F16" s="183" t="s">
        <v>2730</v>
      </c>
      <c r="G16" s="183" t="s">
        <v>105</v>
      </c>
      <c r="H16" s="184">
        <v>42000</v>
      </c>
      <c r="I16" s="185" t="s">
        <v>234</v>
      </c>
      <c r="J16" s="183"/>
      <c r="K16" s="184"/>
      <c r="L16" s="186"/>
      <c r="M16" s="187" t="s">
        <v>2730</v>
      </c>
      <c r="N16" s="187" t="s">
        <v>20</v>
      </c>
      <c r="O16" s="187"/>
      <c r="P16" s="183" t="s">
        <v>5391</v>
      </c>
      <c r="Q16" s="183" t="s">
        <v>30</v>
      </c>
    </row>
    <row r="17" spans="1:18" x14ac:dyDescent="0.25">
      <c r="A17" s="183" t="s">
        <v>5285</v>
      </c>
      <c r="B17" s="183">
        <v>33818040</v>
      </c>
      <c r="C17" s="183" t="s">
        <v>5286</v>
      </c>
      <c r="D17" s="183" t="s">
        <v>4634</v>
      </c>
      <c r="E17" s="183"/>
      <c r="F17" s="183" t="s">
        <v>2730</v>
      </c>
      <c r="G17" s="183" t="s">
        <v>105</v>
      </c>
      <c r="H17" s="184">
        <v>42000</v>
      </c>
      <c r="I17" s="185" t="s">
        <v>234</v>
      </c>
      <c r="J17" s="183"/>
      <c r="K17" s="184"/>
      <c r="L17" s="186"/>
      <c r="M17" s="187" t="s">
        <v>2730</v>
      </c>
      <c r="N17" s="187" t="s">
        <v>20</v>
      </c>
      <c r="O17" s="187"/>
      <c r="P17" s="183" t="s">
        <v>5287</v>
      </c>
      <c r="Q17" s="183" t="s">
        <v>2975</v>
      </c>
    </row>
    <row r="18" spans="1:18" x14ac:dyDescent="0.25">
      <c r="A18" s="189" t="s">
        <v>5392</v>
      </c>
      <c r="B18" s="275">
        <v>25023502</v>
      </c>
      <c r="C18" s="275">
        <v>3117154210</v>
      </c>
      <c r="D18" s="189" t="s">
        <v>3312</v>
      </c>
      <c r="E18" s="183" t="s">
        <v>2730</v>
      </c>
      <c r="F18" s="189" t="s">
        <v>4929</v>
      </c>
      <c r="G18" s="184">
        <v>82000</v>
      </c>
      <c r="H18" s="185" t="s">
        <v>234</v>
      </c>
      <c r="I18" s="183"/>
      <c r="J18" s="184"/>
      <c r="K18" s="186"/>
      <c r="L18" s="187" t="s">
        <v>3353</v>
      </c>
      <c r="M18" s="187" t="s">
        <v>20</v>
      </c>
      <c r="N18" s="187"/>
      <c r="O18" s="189"/>
      <c r="P18" s="189" t="s">
        <v>5393</v>
      </c>
    </row>
    <row r="19" spans="1:18" x14ac:dyDescent="0.25">
      <c r="A19" s="183" t="s">
        <v>5394</v>
      </c>
      <c r="B19" s="183">
        <v>1007721411</v>
      </c>
      <c r="C19" s="183" t="s">
        <v>5395</v>
      </c>
      <c r="D19" s="183" t="s">
        <v>4740</v>
      </c>
      <c r="E19" s="183" t="s">
        <v>2730</v>
      </c>
      <c r="F19" s="183" t="s">
        <v>1783</v>
      </c>
      <c r="G19" s="184">
        <v>82000</v>
      </c>
      <c r="H19" s="185" t="s">
        <v>234</v>
      </c>
      <c r="I19" s="183"/>
      <c r="J19" s="184"/>
      <c r="K19" s="186"/>
      <c r="L19" s="187" t="s">
        <v>3353</v>
      </c>
      <c r="M19" s="187" t="s">
        <v>20</v>
      </c>
      <c r="N19" s="187"/>
      <c r="O19" s="183" t="s">
        <v>3358</v>
      </c>
      <c r="P19" s="183" t="s">
        <v>5396</v>
      </c>
    </row>
    <row r="20" spans="1:18" x14ac:dyDescent="0.25">
      <c r="A20" s="183" t="s">
        <v>5397</v>
      </c>
      <c r="B20" s="183">
        <v>1109662494</v>
      </c>
      <c r="C20" s="183">
        <v>1</v>
      </c>
      <c r="D20" s="183">
        <v>17</v>
      </c>
      <c r="E20" s="183"/>
      <c r="F20" s="183" t="s">
        <v>2731</v>
      </c>
      <c r="G20" s="268">
        <v>42000</v>
      </c>
      <c r="H20" s="268"/>
      <c r="I20" s="184">
        <v>42000</v>
      </c>
      <c r="J20" s="185" t="s">
        <v>234</v>
      </c>
      <c r="K20" s="183"/>
      <c r="L20" s="184"/>
      <c r="M20" s="186"/>
      <c r="N20" s="187" t="s">
        <v>3354</v>
      </c>
      <c r="O20" s="187" t="s">
        <v>20</v>
      </c>
      <c r="P20" s="187"/>
      <c r="Q20" s="183" t="s">
        <v>5398</v>
      </c>
    </row>
    <row r="21" spans="1:18" ht="15.75" customHeight="1" x14ac:dyDescent="0.25">
      <c r="A21" s="183" t="s">
        <v>5399</v>
      </c>
      <c r="B21" s="183">
        <v>1115182371</v>
      </c>
      <c r="C21" s="183">
        <v>3114331081</v>
      </c>
      <c r="D21" s="183" t="s">
        <v>4298</v>
      </c>
      <c r="E21" s="183"/>
      <c r="F21" s="183" t="s">
        <v>2731</v>
      </c>
      <c r="G21" s="268">
        <v>42000</v>
      </c>
      <c r="H21" s="268"/>
      <c r="I21" s="184">
        <v>42000</v>
      </c>
      <c r="J21" s="185" t="s">
        <v>234</v>
      </c>
      <c r="K21" s="183"/>
      <c r="L21" s="184"/>
      <c r="M21" s="186"/>
      <c r="N21" s="187" t="s">
        <v>3354</v>
      </c>
      <c r="O21" s="187" t="s">
        <v>20</v>
      </c>
      <c r="P21" s="187"/>
      <c r="Q21" s="183"/>
    </row>
    <row r="22" spans="1:18" ht="15.75" customHeight="1" x14ac:dyDescent="0.25">
      <c r="A22" s="183" t="s">
        <v>5400</v>
      </c>
      <c r="B22" s="183">
        <v>1004826893</v>
      </c>
      <c r="C22" s="183" t="s">
        <v>5401</v>
      </c>
      <c r="D22" s="183" t="s">
        <v>4783</v>
      </c>
      <c r="E22" s="183"/>
      <c r="F22" s="183" t="s">
        <v>2944</v>
      </c>
      <c r="G22" s="184">
        <v>42000</v>
      </c>
      <c r="H22" s="184"/>
      <c r="I22" s="184">
        <v>42000</v>
      </c>
      <c r="J22" s="185" t="s">
        <v>234</v>
      </c>
      <c r="K22" s="216"/>
      <c r="L22" s="184"/>
      <c r="M22" s="186"/>
      <c r="N22" s="187" t="s">
        <v>3354</v>
      </c>
      <c r="O22" s="187" t="s">
        <v>20</v>
      </c>
      <c r="P22" s="187"/>
      <c r="Q22" s="183" t="s">
        <v>5402</v>
      </c>
    </row>
    <row r="23" spans="1:18" ht="15.75" customHeight="1" x14ac:dyDescent="0.25">
      <c r="A23" s="183" t="s">
        <v>5403</v>
      </c>
      <c r="B23" s="183">
        <v>6336656</v>
      </c>
      <c r="C23" s="183" t="s">
        <v>5404</v>
      </c>
      <c r="D23" s="183"/>
      <c r="E23" s="183"/>
      <c r="F23" s="183" t="s">
        <v>25</v>
      </c>
      <c r="G23" s="184">
        <v>82000</v>
      </c>
      <c r="H23" s="184"/>
      <c r="I23" s="184">
        <v>82000</v>
      </c>
      <c r="J23" s="185" t="s">
        <v>234</v>
      </c>
      <c r="K23" s="216"/>
      <c r="L23" s="184"/>
      <c r="M23" s="186"/>
      <c r="N23" s="187" t="s">
        <v>3354</v>
      </c>
      <c r="O23" s="187" t="s">
        <v>20</v>
      </c>
      <c r="P23" s="187"/>
      <c r="Q23" s="183" t="s">
        <v>5405</v>
      </c>
    </row>
    <row r="24" spans="1:18" ht="15.75" customHeight="1" x14ac:dyDescent="0.25">
      <c r="A24" s="183" t="s">
        <v>5406</v>
      </c>
      <c r="B24" s="183">
        <v>23849478</v>
      </c>
      <c r="C24" s="183">
        <v>3106830984</v>
      </c>
      <c r="D24" s="183" t="s">
        <v>5407</v>
      </c>
      <c r="E24" s="183"/>
      <c r="F24" s="183" t="s">
        <v>25</v>
      </c>
      <c r="G24" s="268">
        <v>82000</v>
      </c>
      <c r="H24" s="268"/>
      <c r="I24" s="184">
        <v>82000</v>
      </c>
      <c r="J24" s="185" t="s">
        <v>234</v>
      </c>
      <c r="K24" s="216"/>
      <c r="L24" s="184"/>
      <c r="M24" s="186"/>
      <c r="N24" s="187" t="s">
        <v>3354</v>
      </c>
      <c r="O24" s="187" t="s">
        <v>20</v>
      </c>
      <c r="P24" s="187"/>
      <c r="Q24" s="183" t="s">
        <v>5408</v>
      </c>
    </row>
    <row r="25" spans="1:18" ht="15.75" customHeight="1" x14ac:dyDescent="0.25">
      <c r="A25" s="183" t="s">
        <v>5409</v>
      </c>
      <c r="B25" s="183">
        <v>7506779</v>
      </c>
      <c r="C25" s="183">
        <v>3052014451</v>
      </c>
      <c r="D25" s="183" t="s">
        <v>3763</v>
      </c>
      <c r="E25" s="183"/>
      <c r="F25" s="183" t="s">
        <v>3653</v>
      </c>
      <c r="G25" s="184">
        <v>42000</v>
      </c>
      <c r="H25" s="184">
        <v>7900</v>
      </c>
      <c r="I25" s="184">
        <f>G25+H25</f>
        <v>49900</v>
      </c>
      <c r="J25" s="185" t="s">
        <v>234</v>
      </c>
      <c r="K25" s="184"/>
      <c r="L25" s="184"/>
      <c r="M25" s="186"/>
      <c r="N25" s="187" t="s">
        <v>3354</v>
      </c>
      <c r="O25" s="187" t="s">
        <v>20</v>
      </c>
      <c r="P25" s="187"/>
      <c r="Q25" s="183" t="s">
        <v>5410</v>
      </c>
      <c r="R25" s="183"/>
    </row>
    <row r="26" spans="1:18" ht="15.75" customHeight="1" x14ac:dyDescent="0.25">
      <c r="A26" s="189" t="s">
        <v>881</v>
      </c>
      <c r="B26" s="189">
        <v>24675815</v>
      </c>
      <c r="C26" s="189">
        <v>3207806063</v>
      </c>
      <c r="D26" s="189" t="s">
        <v>1053</v>
      </c>
      <c r="E26" s="189" t="s">
        <v>5411</v>
      </c>
      <c r="F26" s="183" t="s">
        <v>2944</v>
      </c>
      <c r="G26" s="184">
        <v>42000</v>
      </c>
      <c r="H26" s="185"/>
      <c r="I26" s="184">
        <v>42000</v>
      </c>
      <c r="J26" s="185" t="s">
        <v>26</v>
      </c>
      <c r="K26" s="189" t="s">
        <v>27</v>
      </c>
      <c r="L26" s="184">
        <v>42000</v>
      </c>
      <c r="M26" s="186">
        <v>45782</v>
      </c>
      <c r="N26" s="187" t="s">
        <v>28</v>
      </c>
      <c r="O26" s="187" t="s">
        <v>20</v>
      </c>
      <c r="P26" s="187"/>
      <c r="Q26" s="187" t="s">
        <v>5412</v>
      </c>
      <c r="R26" s="187" t="s">
        <v>126</v>
      </c>
    </row>
    <row r="27" spans="1:18" ht="15.75" customHeight="1" x14ac:dyDescent="0.25">
      <c r="A27" s="187" t="s">
        <v>5413</v>
      </c>
      <c r="B27" s="191">
        <v>1005367178</v>
      </c>
      <c r="C27" s="191">
        <v>3154824014</v>
      </c>
      <c r="D27" s="183" t="s">
        <v>726</v>
      </c>
      <c r="E27" s="183">
        <v>199</v>
      </c>
      <c r="F27" s="183" t="s">
        <v>2944</v>
      </c>
      <c r="G27" s="184">
        <v>42000</v>
      </c>
      <c r="H27" s="185"/>
      <c r="I27" s="184">
        <f>G27</f>
        <v>42000</v>
      </c>
      <c r="J27" s="185" t="s">
        <v>26</v>
      </c>
      <c r="K27" s="183" t="s">
        <v>27</v>
      </c>
      <c r="L27" s="184">
        <v>42000</v>
      </c>
      <c r="M27" s="186">
        <v>45780</v>
      </c>
      <c r="N27" s="187" t="s">
        <v>28</v>
      </c>
      <c r="O27" s="187" t="s">
        <v>20</v>
      </c>
      <c r="P27" s="187"/>
      <c r="Q27" s="187" t="s">
        <v>5414</v>
      </c>
      <c r="R27" s="183"/>
    </row>
    <row r="28" spans="1:18" ht="15.75" customHeight="1" x14ac:dyDescent="0.25"/>
    <row r="29" spans="1:18" ht="15.75" customHeight="1" x14ac:dyDescent="0.25"/>
    <row r="30" spans="1:18" ht="15.75" customHeight="1" x14ac:dyDescent="0.25"/>
    <row r="31" spans="1:18" ht="15.75" customHeight="1" x14ac:dyDescent="0.25"/>
    <row r="32" spans="1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H2:H13">
    <cfRule type="containsText" dxfId="35" priority="1" operator="containsText" text="AL DIA">
      <formula>NOT(ISERROR(SEARCH(("AL DIA"),(H2))))</formula>
    </cfRule>
  </conditionalFormatting>
  <conditionalFormatting sqref="H2:H13">
    <cfRule type="containsText" dxfId="34" priority="2" operator="containsText" text="PENDIENTE">
      <formula>NOT(ISERROR(SEARCH(("PENDIENTE"),(H2))))</formula>
    </cfRule>
  </conditionalFormatting>
  <conditionalFormatting sqref="H18:H19">
    <cfRule type="containsText" dxfId="33" priority="3" operator="containsText" text="AL DIA">
      <formula>NOT(ISERROR(SEARCH(("AL DIA"),(H18))))</formula>
    </cfRule>
  </conditionalFormatting>
  <conditionalFormatting sqref="H18:H19">
    <cfRule type="containsText" dxfId="32" priority="4" operator="containsText" text="PENDIENTE">
      <formula>NOT(ISERROR(SEARCH(("PENDIENTE"),(H18))))</formula>
    </cfRule>
  </conditionalFormatting>
  <conditionalFormatting sqref="I14:I17">
    <cfRule type="containsText" dxfId="31" priority="5" operator="containsText" text="AL DIA">
      <formula>NOT(ISERROR(SEARCH(("AL DIA"),(I14))))</formula>
    </cfRule>
  </conditionalFormatting>
  <conditionalFormatting sqref="I14:I17">
    <cfRule type="containsText" dxfId="30" priority="6" operator="containsText" text="PENDIENTE">
      <formula>NOT(ISERROR(SEARCH(("PENDIENTE"),(I14))))</formula>
    </cfRule>
  </conditionalFormatting>
  <conditionalFormatting sqref="J20:J27">
    <cfRule type="containsText" dxfId="29" priority="7" operator="containsText" text="AL DIA">
      <formula>NOT(ISERROR(SEARCH(("AL DIA"),(J20))))</formula>
    </cfRule>
  </conditionalFormatting>
  <conditionalFormatting sqref="J20:J27">
    <cfRule type="containsText" dxfId="28" priority="8" operator="containsText" text="PENDIENTE">
      <formula>NOT(ISERROR(SEARCH(("PENDIENTE"),(J20))))</formula>
    </cfRule>
  </conditionalFormatting>
  <conditionalFormatting sqref="M2:M7">
    <cfRule type="containsText" dxfId="27" priority="9" operator="containsText" text="RETIRADO">
      <formula>NOT(ISERROR(SEARCH(("RETIRADO"),(M2))))</formula>
    </cfRule>
  </conditionalFormatting>
  <conditionalFormatting sqref="M2:M7">
    <cfRule type="containsText" dxfId="26" priority="10" operator="containsText" text="ACTIVO">
      <formula>NOT(ISERROR(SEARCH(("ACTIVO"),(M2))))</formula>
    </cfRule>
  </conditionalFormatting>
  <conditionalFormatting sqref="M18:M19">
    <cfRule type="containsText" dxfId="25" priority="11" operator="containsText" text="RETIRADO">
      <formula>NOT(ISERROR(SEARCH(("RETIRADO"),(M18))))</formula>
    </cfRule>
  </conditionalFormatting>
  <conditionalFormatting sqref="M18:M19">
    <cfRule type="containsText" dxfId="24" priority="12" operator="containsText" text="ACTIVO">
      <formula>NOT(ISERROR(SEARCH(("ACTIVO"),(M18))))</formula>
    </cfRule>
  </conditionalFormatting>
  <conditionalFormatting sqref="N14:N17">
    <cfRule type="containsText" dxfId="23" priority="13" operator="containsText" text="RETIRADO">
      <formula>NOT(ISERROR(SEARCH(("RETIRADO"),(N14))))</formula>
    </cfRule>
  </conditionalFormatting>
  <conditionalFormatting sqref="N14:N17">
    <cfRule type="containsText" dxfId="22" priority="14" operator="containsText" text="ACTIVO">
      <formula>NOT(ISERROR(SEARCH(("ACTIVO"),(N14))))</formula>
    </cfRule>
  </conditionalFormatting>
  <conditionalFormatting sqref="O20:O27">
    <cfRule type="containsText" dxfId="21" priority="15" operator="containsText" text="RETIRADO">
      <formula>NOT(ISERROR(SEARCH(("RETIRADO"),(O20))))</formula>
    </cfRule>
  </conditionalFormatting>
  <conditionalFormatting sqref="O20:O27">
    <cfRule type="containsText" dxfId="20" priority="16" operator="containsText" text="ACTIVO">
      <formula>NOT(ISERROR(SEARCH(("ACTIVO"),(O20))))</formula>
    </cfRule>
  </conditionalFormatting>
  <dataValidations count="7">
    <dataValidation type="list" allowBlank="1" showErrorMessage="1" sqref="H2:H13 H18:H19 J26:J27" xr:uid="{00000000-0002-0000-0B00-000000000000}">
      <formula1>$W$2:$W$3</formula1>
    </dataValidation>
    <dataValidation type="list" allowBlank="1" showErrorMessage="1" sqref="N16:N17" xr:uid="{00000000-0002-0000-0B00-000001000000}">
      <formula1>$Y$1:$Y$2</formula1>
    </dataValidation>
    <dataValidation type="list" allowBlank="1" showErrorMessage="1" sqref="I14:I17" xr:uid="{00000000-0002-0000-0B00-000002000000}">
      <formula1>$X$2:$X$3</formula1>
    </dataValidation>
    <dataValidation type="list" allowBlank="1" showErrorMessage="1" sqref="N14:N15 M18" xr:uid="{00000000-0002-0000-0B00-000003000000}">
      <formula1>$V$1:$V$2</formula1>
    </dataValidation>
    <dataValidation type="list" allowBlank="1" showErrorMessage="1" sqref="M2:M7 O26:O27" xr:uid="{00000000-0002-0000-0B00-000004000000}">
      <formula1>$U$1:$U$2</formula1>
    </dataValidation>
    <dataValidation type="list" allowBlank="1" showErrorMessage="1" sqref="J20:J25" xr:uid="{00000000-0002-0000-0B00-000005000000}">
      <formula1>$W$2</formula1>
    </dataValidation>
    <dataValidation type="list" allowBlank="1" showErrorMessage="1" sqref="M19 O20:O21 O25" xr:uid="{00000000-0002-0000-0B00-000006000000}">
      <formula1>$X$1:$X$2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000"/>
  <sheetViews>
    <sheetView workbookViewId="0"/>
  </sheetViews>
  <sheetFormatPr baseColWidth="10" defaultColWidth="14.42578125" defaultRowHeight="15" customHeight="1" x14ac:dyDescent="0.25"/>
  <cols>
    <col min="1" max="1" width="40.85546875" customWidth="1"/>
    <col min="2" max="2" width="10.7109375" customWidth="1"/>
    <col min="3" max="3" width="26" customWidth="1"/>
    <col min="4" max="26" width="10.7109375" customWidth="1"/>
  </cols>
  <sheetData>
    <row r="1" spans="1:16" x14ac:dyDescent="0.25">
      <c r="A1" s="371" t="s">
        <v>28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3"/>
    </row>
    <row r="2" spans="1:16" x14ac:dyDescent="0.25">
      <c r="A2" s="206" t="s">
        <v>510</v>
      </c>
      <c r="B2" s="262">
        <v>4427621</v>
      </c>
      <c r="C2" s="263" t="s">
        <v>511</v>
      </c>
      <c r="D2" s="206" t="s">
        <v>5266</v>
      </c>
      <c r="E2" s="206">
        <v>594</v>
      </c>
      <c r="F2" s="206" t="s">
        <v>25</v>
      </c>
      <c r="G2" s="264">
        <v>42000</v>
      </c>
      <c r="H2" s="219" t="s">
        <v>234</v>
      </c>
      <c r="I2" s="206"/>
      <c r="J2" s="264"/>
      <c r="K2" s="265"/>
      <c r="L2" s="206" t="s">
        <v>28</v>
      </c>
      <c r="M2" s="206" t="s">
        <v>20</v>
      </c>
      <c r="N2" s="206"/>
      <c r="O2" s="206" t="s">
        <v>513</v>
      </c>
      <c r="P2" s="206" t="s">
        <v>30</v>
      </c>
    </row>
    <row r="3" spans="1:16" x14ac:dyDescent="0.25">
      <c r="A3" s="206" t="s">
        <v>481</v>
      </c>
      <c r="B3" s="262">
        <v>900284514</v>
      </c>
      <c r="C3" s="263" t="s">
        <v>5267</v>
      </c>
      <c r="D3" s="206" t="s">
        <v>1120</v>
      </c>
      <c r="E3" s="206">
        <v>429</v>
      </c>
      <c r="F3" s="206" t="s">
        <v>35</v>
      </c>
      <c r="G3" s="276">
        <v>57000</v>
      </c>
      <c r="H3" s="247" t="s">
        <v>234</v>
      </c>
      <c r="I3" s="246"/>
      <c r="J3" s="276"/>
      <c r="K3" s="265"/>
      <c r="L3" s="206" t="s">
        <v>28</v>
      </c>
      <c r="M3" s="206" t="s">
        <v>20</v>
      </c>
      <c r="N3" s="206"/>
      <c r="O3" s="206" t="s">
        <v>4621</v>
      </c>
      <c r="P3" s="206" t="s">
        <v>126</v>
      </c>
    </row>
    <row r="4" spans="1:16" x14ac:dyDescent="0.25">
      <c r="A4" s="206" t="s">
        <v>531</v>
      </c>
      <c r="B4" s="262">
        <v>41941488</v>
      </c>
      <c r="C4" s="263" t="s">
        <v>532</v>
      </c>
      <c r="D4" s="206" t="s">
        <v>533</v>
      </c>
      <c r="E4" s="206">
        <v>600</v>
      </c>
      <c r="F4" s="206" t="s">
        <v>25</v>
      </c>
      <c r="G4" s="264">
        <v>42000</v>
      </c>
      <c r="H4" s="219" t="s">
        <v>234</v>
      </c>
      <c r="I4" s="206"/>
      <c r="J4" s="264"/>
      <c r="K4" s="265"/>
      <c r="L4" s="206" t="s">
        <v>28</v>
      </c>
      <c r="M4" s="206" t="s">
        <v>20</v>
      </c>
      <c r="N4" s="206"/>
      <c r="O4" s="206" t="s">
        <v>534</v>
      </c>
      <c r="P4" s="206" t="s">
        <v>30</v>
      </c>
    </row>
    <row r="5" spans="1:16" x14ac:dyDescent="0.25">
      <c r="A5" s="206" t="s">
        <v>4604</v>
      </c>
      <c r="B5" s="262">
        <v>1085660132</v>
      </c>
      <c r="C5" s="263" t="s">
        <v>4605</v>
      </c>
      <c r="D5" s="206" t="s">
        <v>4606</v>
      </c>
      <c r="E5" s="206">
        <v>716</v>
      </c>
      <c r="F5" s="206" t="s">
        <v>25</v>
      </c>
      <c r="G5" s="264">
        <v>42000</v>
      </c>
      <c r="H5" s="219" t="s">
        <v>234</v>
      </c>
      <c r="I5" s="206"/>
      <c r="J5" s="264"/>
      <c r="K5" s="265"/>
      <c r="L5" s="206" t="s">
        <v>28</v>
      </c>
      <c r="M5" s="206" t="s">
        <v>20</v>
      </c>
      <c r="N5" s="206"/>
      <c r="O5" s="206" t="s">
        <v>4607</v>
      </c>
      <c r="P5" s="206" t="s">
        <v>224</v>
      </c>
    </row>
    <row r="6" spans="1:16" x14ac:dyDescent="0.25">
      <c r="A6" s="206" t="s">
        <v>637</v>
      </c>
      <c r="B6" s="262">
        <v>1007410993</v>
      </c>
      <c r="C6" s="263" t="s">
        <v>638</v>
      </c>
      <c r="D6" s="206" t="s">
        <v>639</v>
      </c>
      <c r="E6" s="206"/>
      <c r="F6" s="206" t="s">
        <v>25</v>
      </c>
      <c r="G6" s="264">
        <v>42000</v>
      </c>
      <c r="H6" s="219" t="s">
        <v>234</v>
      </c>
      <c r="I6" s="206"/>
      <c r="J6" s="264"/>
      <c r="K6" s="265"/>
      <c r="L6" s="206" t="s">
        <v>28</v>
      </c>
      <c r="M6" s="206" t="s">
        <v>20</v>
      </c>
      <c r="N6" s="206"/>
      <c r="O6" s="206" t="s">
        <v>67</v>
      </c>
      <c r="P6" s="206" t="s">
        <v>640</v>
      </c>
    </row>
    <row r="7" spans="1:16" x14ac:dyDescent="0.25">
      <c r="A7" s="188" t="s">
        <v>4694</v>
      </c>
      <c r="B7" s="277">
        <v>800024318</v>
      </c>
      <c r="C7" s="188">
        <v>3113437999</v>
      </c>
      <c r="D7" s="188" t="s">
        <v>919</v>
      </c>
      <c r="E7" s="188"/>
      <c r="F7" s="188" t="s">
        <v>2944</v>
      </c>
      <c r="G7" s="268">
        <v>53550</v>
      </c>
      <c r="H7" s="219" t="s">
        <v>234</v>
      </c>
      <c r="I7" s="188"/>
      <c r="J7" s="268"/>
      <c r="K7" s="269"/>
      <c r="L7" s="204" t="s">
        <v>28</v>
      </c>
      <c r="M7" s="204" t="s">
        <v>20</v>
      </c>
      <c r="N7" s="204"/>
      <c r="O7" s="188" t="s">
        <v>4695</v>
      </c>
      <c r="P7" s="188"/>
    </row>
    <row r="9" spans="1:16" x14ac:dyDescent="0.25">
      <c r="A9" s="371" t="s">
        <v>3029</v>
      </c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3"/>
    </row>
    <row r="10" spans="1:16" x14ac:dyDescent="0.25">
      <c r="A10" s="188" t="s">
        <v>3227</v>
      </c>
      <c r="B10" s="188">
        <v>1116348186</v>
      </c>
      <c r="C10" s="188" t="s">
        <v>3228</v>
      </c>
      <c r="D10" s="188" t="s">
        <v>3229</v>
      </c>
      <c r="E10" s="188" t="s">
        <v>3028</v>
      </c>
      <c r="F10" s="188" t="s">
        <v>1783</v>
      </c>
      <c r="G10" s="268">
        <v>82000</v>
      </c>
      <c r="H10" s="219" t="s">
        <v>234</v>
      </c>
      <c r="I10" s="188"/>
      <c r="J10" s="268"/>
      <c r="K10" s="269"/>
      <c r="L10" s="204" t="s">
        <v>3029</v>
      </c>
      <c r="M10" s="204" t="s">
        <v>20</v>
      </c>
      <c r="N10" s="204"/>
      <c r="O10" s="188" t="s">
        <v>3230</v>
      </c>
      <c r="P10" s="188" t="s">
        <v>3231</v>
      </c>
    </row>
    <row r="12" spans="1:16" x14ac:dyDescent="0.25">
      <c r="A12" s="371" t="s">
        <v>3353</v>
      </c>
      <c r="B12" s="372"/>
      <c r="C12" s="372"/>
      <c r="D12" s="372"/>
      <c r="E12" s="372"/>
      <c r="F12" s="372"/>
      <c r="G12" s="372"/>
      <c r="H12" s="372"/>
      <c r="I12" s="372"/>
      <c r="J12" s="372"/>
      <c r="K12" s="372"/>
      <c r="L12" s="372"/>
      <c r="M12" s="372"/>
      <c r="N12" s="372"/>
      <c r="O12" s="372"/>
      <c r="P12" s="373"/>
    </row>
    <row r="13" spans="1:16" x14ac:dyDescent="0.25">
      <c r="A13" s="188" t="s">
        <v>3499</v>
      </c>
      <c r="B13" s="188">
        <v>94252691</v>
      </c>
      <c r="C13" s="188">
        <v>3103841899</v>
      </c>
      <c r="D13" s="188" t="s">
        <v>3107</v>
      </c>
      <c r="E13" s="188" t="s">
        <v>2730</v>
      </c>
      <c r="F13" s="188" t="s">
        <v>1783</v>
      </c>
      <c r="G13" s="268">
        <v>82000</v>
      </c>
      <c r="H13" s="219" t="s">
        <v>234</v>
      </c>
      <c r="I13" s="188"/>
      <c r="J13" s="268"/>
      <c r="K13" s="269"/>
      <c r="L13" s="204" t="s">
        <v>3353</v>
      </c>
      <c r="M13" s="204" t="s">
        <v>20</v>
      </c>
      <c r="N13" s="204"/>
      <c r="O13" s="188" t="s">
        <v>3471</v>
      </c>
      <c r="P13" s="188" t="s">
        <v>3500</v>
      </c>
    </row>
    <row r="14" spans="1:16" x14ac:dyDescent="0.25">
      <c r="A14" s="188" t="s">
        <v>3571</v>
      </c>
      <c r="B14" s="188">
        <v>900549654</v>
      </c>
      <c r="C14" s="188">
        <v>3117619093</v>
      </c>
      <c r="D14" s="188" t="s">
        <v>3572</v>
      </c>
      <c r="E14" s="188" t="s">
        <v>2730</v>
      </c>
      <c r="F14" s="188" t="s">
        <v>3573</v>
      </c>
      <c r="G14" s="268">
        <v>152000</v>
      </c>
      <c r="H14" s="219" t="s">
        <v>234</v>
      </c>
      <c r="I14" s="188"/>
      <c r="J14" s="268"/>
      <c r="K14" s="269"/>
      <c r="L14" s="204" t="s">
        <v>3353</v>
      </c>
      <c r="M14" s="204" t="s">
        <v>20</v>
      </c>
      <c r="N14" s="204"/>
      <c r="O14" s="188" t="s">
        <v>3574</v>
      </c>
      <c r="P14" s="188"/>
    </row>
    <row r="16" spans="1:16" x14ac:dyDescent="0.25">
      <c r="A16" s="371" t="s">
        <v>3354</v>
      </c>
      <c r="B16" s="372"/>
      <c r="C16" s="372"/>
      <c r="D16" s="372"/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373"/>
    </row>
    <row r="17" spans="1:18" x14ac:dyDescent="0.25">
      <c r="A17" s="188" t="s">
        <v>5409</v>
      </c>
      <c r="B17" s="188">
        <v>7506779</v>
      </c>
      <c r="C17" s="188">
        <v>3052014451</v>
      </c>
      <c r="D17" s="188" t="s">
        <v>3763</v>
      </c>
      <c r="E17" s="188"/>
      <c r="F17" s="188" t="s">
        <v>3653</v>
      </c>
      <c r="G17" s="268">
        <v>42000</v>
      </c>
      <c r="H17" s="268">
        <v>7900</v>
      </c>
      <c r="I17" s="268">
        <v>49900</v>
      </c>
      <c r="J17" s="219" t="s">
        <v>234</v>
      </c>
      <c r="K17" s="268"/>
      <c r="L17" s="268"/>
      <c r="M17" s="269"/>
      <c r="N17" s="204" t="s">
        <v>3354</v>
      </c>
      <c r="O17" s="204" t="s">
        <v>20</v>
      </c>
      <c r="P17" s="204"/>
      <c r="Q17" s="188" t="s">
        <v>5410</v>
      </c>
    </row>
    <row r="18" spans="1:18" x14ac:dyDescent="0.25">
      <c r="A18" s="188" t="s">
        <v>4070</v>
      </c>
      <c r="B18" s="188">
        <v>1094905139</v>
      </c>
      <c r="C18" s="188">
        <v>3225936981</v>
      </c>
      <c r="D18" s="188" t="s">
        <v>4071</v>
      </c>
      <c r="E18" s="188" t="s">
        <v>4072</v>
      </c>
      <c r="F18" s="188" t="s">
        <v>2731</v>
      </c>
      <c r="G18" s="268">
        <v>42000</v>
      </c>
      <c r="H18" s="268"/>
      <c r="I18" s="268">
        <v>42000</v>
      </c>
      <c r="J18" s="219" t="s">
        <v>234</v>
      </c>
      <c r="K18" s="188"/>
      <c r="L18" s="268"/>
      <c r="M18" s="269"/>
      <c r="N18" s="204" t="s">
        <v>3354</v>
      </c>
      <c r="O18" s="204" t="s">
        <v>20</v>
      </c>
      <c r="P18" s="204"/>
      <c r="Q18" s="188" t="s">
        <v>4073</v>
      </c>
    </row>
    <row r="19" spans="1:18" x14ac:dyDescent="0.25">
      <c r="A19" s="188" t="s">
        <v>4882</v>
      </c>
      <c r="B19" s="188">
        <v>41887587</v>
      </c>
      <c r="C19" s="188" t="s">
        <v>5415</v>
      </c>
      <c r="D19" s="188" t="s">
        <v>4883</v>
      </c>
      <c r="E19" s="188" t="s">
        <v>1782</v>
      </c>
      <c r="F19" s="188" t="s">
        <v>1783</v>
      </c>
      <c r="G19" s="268">
        <v>82000</v>
      </c>
      <c r="H19" s="268"/>
      <c r="I19" s="268">
        <v>82000</v>
      </c>
      <c r="J19" s="219" t="s">
        <v>234</v>
      </c>
      <c r="K19" s="188"/>
      <c r="L19" s="268"/>
      <c r="M19" s="269"/>
      <c r="N19" s="204" t="s">
        <v>3354</v>
      </c>
      <c r="O19" s="204" t="s">
        <v>20</v>
      </c>
      <c r="P19" s="204"/>
      <c r="Q19" s="188" t="s">
        <v>423</v>
      </c>
    </row>
    <row r="20" spans="1:18" x14ac:dyDescent="0.25">
      <c r="A20" s="188" t="s">
        <v>5416</v>
      </c>
      <c r="B20" s="188"/>
      <c r="C20" s="188"/>
      <c r="D20" s="188" t="s">
        <v>4039</v>
      </c>
      <c r="E20" s="188"/>
      <c r="F20" s="188"/>
      <c r="G20" s="268">
        <v>100000</v>
      </c>
      <c r="H20" s="268">
        <v>19000</v>
      </c>
      <c r="I20" s="268">
        <v>119000</v>
      </c>
      <c r="J20" s="219" t="s">
        <v>234</v>
      </c>
      <c r="K20" s="188"/>
      <c r="L20" s="268"/>
      <c r="M20" s="269"/>
      <c r="N20" s="204" t="s">
        <v>3354</v>
      </c>
      <c r="O20" s="204" t="s">
        <v>20</v>
      </c>
      <c r="P20" s="204"/>
      <c r="Q20" s="188" t="s">
        <v>4040</v>
      </c>
    </row>
    <row r="21" spans="1:18" ht="15.75" customHeight="1" x14ac:dyDescent="0.25">
      <c r="A21" s="188" t="s">
        <v>5417</v>
      </c>
      <c r="B21" s="188"/>
      <c r="C21" s="188"/>
      <c r="D21" s="188" t="s">
        <v>4057</v>
      </c>
      <c r="E21" s="188"/>
      <c r="F21" s="188"/>
      <c r="G21" s="268">
        <v>100000</v>
      </c>
      <c r="H21" s="268">
        <v>19000</v>
      </c>
      <c r="I21" s="268">
        <v>119000</v>
      </c>
      <c r="J21" s="219" t="s">
        <v>234</v>
      </c>
      <c r="K21" s="188"/>
      <c r="L21" s="268"/>
      <c r="M21" s="269"/>
      <c r="N21" s="204" t="s">
        <v>3354</v>
      </c>
      <c r="O21" s="204" t="s">
        <v>20</v>
      </c>
      <c r="P21" s="204"/>
      <c r="Q21" s="188" t="s">
        <v>4040</v>
      </c>
    </row>
    <row r="22" spans="1:18" ht="15.75" customHeight="1" x14ac:dyDescent="0.25"/>
    <row r="23" spans="1:18" ht="15.75" customHeight="1" x14ac:dyDescent="0.25">
      <c r="A23" s="371" t="s">
        <v>4380</v>
      </c>
      <c r="B23" s="372"/>
      <c r="C23" s="372"/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3"/>
    </row>
    <row r="24" spans="1:18" ht="15.75" customHeight="1" x14ac:dyDescent="0.25">
      <c r="A24" s="188" t="s">
        <v>4639</v>
      </c>
      <c r="B24" s="188">
        <v>94230872</v>
      </c>
      <c r="C24" s="188">
        <v>3167721295</v>
      </c>
      <c r="D24" s="188" t="s">
        <v>3039</v>
      </c>
      <c r="E24" s="188" t="s">
        <v>3141</v>
      </c>
      <c r="F24" s="188" t="s">
        <v>1783</v>
      </c>
      <c r="G24" s="219">
        <v>82000</v>
      </c>
      <c r="H24" s="204"/>
      <c r="I24" s="278">
        <v>82000</v>
      </c>
      <c r="J24" s="219" t="s">
        <v>234</v>
      </c>
      <c r="K24" s="204"/>
      <c r="L24" s="278"/>
      <c r="M24" s="279"/>
      <c r="N24" s="204" t="s">
        <v>4380</v>
      </c>
      <c r="O24" s="204" t="s">
        <v>20</v>
      </c>
      <c r="P24" s="204"/>
      <c r="Q24" s="188" t="s">
        <v>4640</v>
      </c>
      <c r="R24" s="188" t="s">
        <v>4641</v>
      </c>
    </row>
    <row r="25" spans="1:18" ht="15.75" customHeight="1" x14ac:dyDescent="0.25"/>
    <row r="26" spans="1:18" ht="15.75" customHeight="1" x14ac:dyDescent="0.25"/>
    <row r="27" spans="1:18" ht="15.75" customHeight="1" x14ac:dyDescent="0.25"/>
    <row r="28" spans="1:18" ht="15.75" customHeight="1" x14ac:dyDescent="0.25"/>
    <row r="29" spans="1:18" ht="15.75" customHeight="1" x14ac:dyDescent="0.25"/>
    <row r="30" spans="1:18" ht="15.75" customHeight="1" x14ac:dyDescent="0.25"/>
    <row r="31" spans="1:18" ht="15.75" customHeight="1" x14ac:dyDescent="0.25"/>
    <row r="32" spans="1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P1"/>
    <mergeCell ref="A9:P9"/>
    <mergeCell ref="A12:P12"/>
    <mergeCell ref="A16:P16"/>
    <mergeCell ref="A23:P23"/>
  </mergeCells>
  <conditionalFormatting sqref="H2:H7">
    <cfRule type="containsText" dxfId="19" priority="1" operator="containsText" text="AL DIA">
      <formula>NOT(ISERROR(SEARCH(("AL DIA"),(H2))))</formula>
    </cfRule>
  </conditionalFormatting>
  <conditionalFormatting sqref="H2:H7">
    <cfRule type="containsText" dxfId="18" priority="2" operator="containsText" text="PENDIENTE">
      <formula>NOT(ISERROR(SEARCH(("PENDIENTE"),(H2))))</formula>
    </cfRule>
  </conditionalFormatting>
  <conditionalFormatting sqref="H10">
    <cfRule type="containsText" dxfId="17" priority="3" operator="containsText" text="AL DIA">
      <formula>NOT(ISERROR(SEARCH(("AL DIA"),(H10))))</formula>
    </cfRule>
  </conditionalFormatting>
  <conditionalFormatting sqref="H10">
    <cfRule type="containsText" dxfId="16" priority="4" operator="containsText" text="PENDIENTE">
      <formula>NOT(ISERROR(SEARCH(("PENDIENTE"),(H10))))</formula>
    </cfRule>
  </conditionalFormatting>
  <conditionalFormatting sqref="H13:H14">
    <cfRule type="containsText" dxfId="15" priority="5" operator="containsText" text="AL DIA">
      <formula>NOT(ISERROR(SEARCH(("AL DIA"),(H13))))</formula>
    </cfRule>
  </conditionalFormatting>
  <conditionalFormatting sqref="H13:H14">
    <cfRule type="containsText" dxfId="14" priority="6" operator="containsText" text="PENDIENTE">
      <formula>NOT(ISERROR(SEARCH(("PENDIENTE"),(H13))))</formula>
    </cfRule>
  </conditionalFormatting>
  <conditionalFormatting sqref="J17:J21">
    <cfRule type="containsText" dxfId="13" priority="7" operator="containsText" text="AL DIA">
      <formula>NOT(ISERROR(SEARCH(("AL DIA"),(J17))))</formula>
    </cfRule>
  </conditionalFormatting>
  <conditionalFormatting sqref="J17:J21">
    <cfRule type="containsText" dxfId="12" priority="8" operator="containsText" text="PENDIENTE">
      <formula>NOT(ISERROR(SEARCH(("PENDIENTE"),(J17))))</formula>
    </cfRule>
  </conditionalFormatting>
  <conditionalFormatting sqref="J24">
    <cfRule type="containsText" dxfId="11" priority="9" operator="containsText" text="AL DIA">
      <formula>NOT(ISERROR(SEARCH(("AL DIA"),(J24))))</formula>
    </cfRule>
  </conditionalFormatting>
  <conditionalFormatting sqref="J24">
    <cfRule type="containsText" dxfId="10" priority="10" operator="containsText" text="PENDIENTE">
      <formula>NOT(ISERROR(SEARCH(("PENDIENTE"),(J24))))</formula>
    </cfRule>
  </conditionalFormatting>
  <conditionalFormatting sqref="M7">
    <cfRule type="containsText" dxfId="9" priority="11" operator="containsText" text="RETIRADO">
      <formula>NOT(ISERROR(SEARCH(("RETIRADO"),(M7))))</formula>
    </cfRule>
  </conditionalFormatting>
  <conditionalFormatting sqref="M7">
    <cfRule type="containsText" dxfId="8" priority="12" operator="containsText" text="ACTIVO">
      <formula>NOT(ISERROR(SEARCH(("ACTIVO"),(M7))))</formula>
    </cfRule>
  </conditionalFormatting>
  <conditionalFormatting sqref="M10">
    <cfRule type="containsText" dxfId="7" priority="13" operator="containsText" text="RETIRADO">
      <formula>NOT(ISERROR(SEARCH(("RETIRADO"),(M10))))</formula>
    </cfRule>
  </conditionalFormatting>
  <conditionalFormatting sqref="M10">
    <cfRule type="containsText" dxfId="6" priority="14" operator="containsText" text="ACTIVO">
      <formula>NOT(ISERROR(SEARCH(("ACTIVO"),(M10))))</formula>
    </cfRule>
  </conditionalFormatting>
  <conditionalFormatting sqref="M13:M14">
    <cfRule type="containsText" dxfId="5" priority="15" operator="containsText" text="RETIRADO">
      <formula>NOT(ISERROR(SEARCH(("RETIRADO"),(M13))))</formula>
    </cfRule>
  </conditionalFormatting>
  <conditionalFormatting sqref="M13:M14">
    <cfRule type="containsText" dxfId="4" priority="16" operator="containsText" text="ACTIVO">
      <formula>NOT(ISERROR(SEARCH(("ACTIVO"),(M13))))</formula>
    </cfRule>
  </conditionalFormatting>
  <conditionalFormatting sqref="O17:O21">
    <cfRule type="containsText" dxfId="3" priority="17" operator="containsText" text="RETIRADO">
      <formula>NOT(ISERROR(SEARCH(("RETIRADO"),(O17))))</formula>
    </cfRule>
  </conditionalFormatting>
  <conditionalFormatting sqref="O17:O21">
    <cfRule type="containsText" dxfId="2" priority="18" operator="containsText" text="ACTIVO">
      <formula>NOT(ISERROR(SEARCH(("ACTIVO"),(O17))))</formula>
    </cfRule>
  </conditionalFormatting>
  <conditionalFormatting sqref="O24">
    <cfRule type="containsText" dxfId="1" priority="19" operator="containsText" text="RETIRADO">
      <formula>NOT(ISERROR(SEARCH(("RETIRADO"),(O24))))</formula>
    </cfRule>
  </conditionalFormatting>
  <conditionalFormatting sqref="O24">
    <cfRule type="containsText" dxfId="0" priority="20" operator="containsText" text="ACTIVO">
      <formula>NOT(ISERROR(SEARCH(("ACTIVO"),(O24))))</formula>
    </cfRule>
  </conditionalFormatting>
  <dataValidations count="5">
    <dataValidation type="list" allowBlank="1" showErrorMessage="1" sqref="H2:H7 H10 H13:H14 J24" xr:uid="{00000000-0002-0000-0C00-000000000000}">
      <formula1>$W$2:$W$3</formula1>
    </dataValidation>
    <dataValidation type="list" allowBlank="1" showErrorMessage="1" sqref="M7" xr:uid="{00000000-0002-0000-0C00-000001000000}">
      <formula1>$U$1:$U$2</formula1>
    </dataValidation>
    <dataValidation type="list" allowBlank="1" showErrorMessage="1" sqref="J17:J21" xr:uid="{00000000-0002-0000-0C00-000002000000}">
      <formula1>$W$2</formula1>
    </dataValidation>
    <dataValidation type="list" allowBlank="1" showErrorMessage="1" sqref="O24" xr:uid="{00000000-0002-0000-0C00-000003000000}">
      <formula1>$T$1:$T$2</formula1>
    </dataValidation>
    <dataValidation type="list" allowBlank="1" showErrorMessage="1" sqref="M10 M13:M14 O17:O18 O20:O21" xr:uid="{00000000-0002-0000-0C00-000004000000}">
      <formula1>$X$1:$X$2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GENOVA</vt:lpstr>
      <vt:lpstr>BUENAVISTA</vt:lpstr>
      <vt:lpstr>SEVILLA RURAL</vt:lpstr>
      <vt:lpstr>CAICEDONIA</vt:lpstr>
      <vt:lpstr>BARRAGAN</vt:lpstr>
      <vt:lpstr>SEVILLA</vt:lpstr>
      <vt:lpstr>CLIENTES RET JUN</vt:lpstr>
      <vt:lpstr>CLIENTES RET OCT</vt:lpstr>
      <vt:lpstr>CLIENTES RET MARZO</vt:lpstr>
      <vt:lpstr>CLIENTE NUEVOS MARZO</vt:lpstr>
      <vt:lpstr>CLIENTES RET ABRIL</vt:lpstr>
      <vt:lpstr>CLIENTES RET MAYO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Paola Andrea Osorio Sabogal</cp:lastModifiedBy>
  <dcterms:created xsi:type="dcterms:W3CDTF">2023-08-18T20:12:00Z</dcterms:created>
  <dcterms:modified xsi:type="dcterms:W3CDTF">2026-01-03T14:10:53Z</dcterms:modified>
</cp:coreProperties>
</file>